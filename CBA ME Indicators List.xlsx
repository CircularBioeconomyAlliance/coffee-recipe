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02"/>
  <workbookPr defaultThemeVersion="202300"/>
  <mc:AlternateContent xmlns:mc="http://schemas.openxmlformats.org/markup-compatibility/2006">
    <mc:Choice Requires="x15">
      <x15ac:absPath xmlns:x15ac="http://schemas.microsoft.com/office/spreadsheetml/2010/11/ac" url="https://cba2024-my.sharepoint.com/personal/rafael_camargo_circularbioeconomyalliance_org/Documents/AWS Hackathon/"/>
    </mc:Choice>
  </mc:AlternateContent>
  <xr:revisionPtr revIDLastSave="7" documentId="8_{6F4A0997-FDD7-4E4B-B6A8-C80B280EC3EE}" xr6:coauthVersionLast="47" xr6:coauthVersionMax="47" xr10:uidLastSave="{7912CA4E-D344-184E-8F1C-964B77710A64}"/>
  <bookViews>
    <workbookView xWindow="0" yWindow="660" windowWidth="30240" windowHeight="17300" activeTab="1" xr2:uid="{4A484497-797B-374D-BA64-2DAFCD239561}"/>
  </bookViews>
  <sheets>
    <sheet name="Indicators" sheetId="2" r:id="rId1"/>
    <sheet name="Methods" sheetId="3" r:id="rId2"/>
  </sheets>
  <definedNames>
    <definedName name="_xlnm._FilterDatabase" localSheetId="0" hidden="1">Indicators!$A$1:$AM$225</definedName>
    <definedName name="_xlnm._FilterDatabase" localSheetId="1" hidden="1">Methods!$A$1:$AK$802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M225" i="2" l="1"/>
  <c r="AL225" i="2"/>
  <c r="AM224" i="2"/>
  <c r="AL224" i="2"/>
  <c r="AM223" i="2"/>
  <c r="AL223" i="2"/>
  <c r="AM222" i="2"/>
  <c r="AL222" i="2"/>
  <c r="AM221" i="2"/>
  <c r="AL221" i="2"/>
  <c r="AM220" i="2"/>
  <c r="AL220" i="2"/>
  <c r="AM219" i="2"/>
  <c r="AL219" i="2"/>
  <c r="AM218" i="2"/>
  <c r="AL218" i="2"/>
  <c r="AM217" i="2"/>
  <c r="AL217" i="2"/>
  <c r="AM216" i="2"/>
  <c r="AL216" i="2"/>
  <c r="AM215" i="2"/>
  <c r="AL215" i="2"/>
  <c r="AM214" i="2"/>
  <c r="AL214" i="2"/>
  <c r="AM213" i="2"/>
  <c r="AL213" i="2"/>
  <c r="AM212" i="2"/>
  <c r="AL212" i="2"/>
  <c r="AM211" i="2"/>
  <c r="AL211" i="2"/>
  <c r="AM210" i="2"/>
  <c r="AL210" i="2"/>
  <c r="AM209" i="2"/>
  <c r="AL209" i="2"/>
  <c r="AM208" i="2"/>
  <c r="AL208" i="2"/>
  <c r="AM207" i="2"/>
  <c r="AL207" i="2"/>
  <c r="AM206" i="2"/>
  <c r="AL206" i="2"/>
  <c r="AM205" i="2"/>
  <c r="AL205" i="2"/>
  <c r="AM204" i="2"/>
  <c r="AL204" i="2"/>
  <c r="AM203" i="2"/>
  <c r="AL203" i="2"/>
  <c r="AM202" i="2"/>
  <c r="AL202" i="2"/>
  <c r="AM201" i="2"/>
  <c r="AL201" i="2"/>
  <c r="AM200" i="2"/>
  <c r="AL200" i="2"/>
  <c r="AM199" i="2"/>
  <c r="AL199" i="2"/>
  <c r="AM198" i="2"/>
  <c r="AL198" i="2"/>
  <c r="AM197" i="2"/>
  <c r="AL197" i="2"/>
  <c r="AM196" i="2"/>
  <c r="AL196" i="2"/>
  <c r="AM195" i="2"/>
  <c r="AL195" i="2"/>
  <c r="AM194" i="2"/>
  <c r="AL194" i="2"/>
  <c r="AM193" i="2"/>
  <c r="AL193" i="2"/>
  <c r="AM192" i="2"/>
  <c r="AL192" i="2"/>
  <c r="AM191" i="2"/>
  <c r="AL191" i="2"/>
  <c r="AM190" i="2"/>
  <c r="AL190" i="2"/>
  <c r="AM189" i="2"/>
  <c r="AL189" i="2"/>
  <c r="AM188" i="2"/>
  <c r="AL188" i="2"/>
  <c r="AM187" i="2"/>
  <c r="AL187" i="2"/>
  <c r="AM186" i="2"/>
  <c r="AL186" i="2"/>
  <c r="AM185" i="2"/>
  <c r="AL185" i="2"/>
  <c r="AM184" i="2"/>
  <c r="AL184" i="2"/>
  <c r="AM183" i="2"/>
  <c r="AL183" i="2"/>
  <c r="AM182" i="2"/>
  <c r="AL182" i="2"/>
  <c r="AM181" i="2"/>
  <c r="AL181" i="2"/>
  <c r="AM180" i="2"/>
  <c r="AL180" i="2"/>
  <c r="AM179" i="2"/>
  <c r="AL179" i="2"/>
  <c r="AM178" i="2"/>
  <c r="AL178" i="2"/>
  <c r="AM177" i="2"/>
  <c r="AL177" i="2"/>
  <c r="AM176" i="2"/>
  <c r="AL176" i="2"/>
  <c r="AM175" i="2"/>
  <c r="AL175" i="2"/>
  <c r="AM174" i="2"/>
  <c r="AL174" i="2"/>
  <c r="AM173" i="2"/>
  <c r="AL173" i="2"/>
  <c r="AM172" i="2"/>
  <c r="AL172" i="2"/>
  <c r="AM171" i="2"/>
  <c r="AL171" i="2"/>
  <c r="AM170" i="2"/>
  <c r="AL170" i="2"/>
  <c r="AM169" i="2"/>
  <c r="AL169" i="2"/>
  <c r="AM168" i="2"/>
  <c r="AL168" i="2"/>
  <c r="AM167" i="2"/>
  <c r="AL167" i="2"/>
  <c r="AM166" i="2"/>
  <c r="AL166" i="2"/>
  <c r="AM165" i="2"/>
  <c r="AL165" i="2"/>
  <c r="AM164" i="2"/>
  <c r="AL164" i="2"/>
  <c r="AM163" i="2"/>
  <c r="AL163" i="2"/>
  <c r="AM162" i="2"/>
  <c r="AL162" i="2"/>
  <c r="AM161" i="2"/>
  <c r="AL161" i="2"/>
  <c r="AM160" i="2"/>
  <c r="AL160" i="2"/>
  <c r="AM159" i="2"/>
  <c r="AL159" i="2"/>
  <c r="AM158" i="2"/>
  <c r="AL158" i="2"/>
  <c r="AM157" i="2"/>
  <c r="AL157" i="2"/>
  <c r="AM156" i="2"/>
  <c r="AL156" i="2"/>
  <c r="AM155" i="2"/>
  <c r="AL155" i="2"/>
  <c r="AM154" i="2"/>
  <c r="AL154" i="2"/>
  <c r="AM153" i="2"/>
  <c r="AL153" i="2"/>
  <c r="AM152" i="2"/>
  <c r="AL152" i="2"/>
  <c r="AM151" i="2"/>
  <c r="AL151" i="2"/>
  <c r="AM150" i="2"/>
  <c r="AL150" i="2"/>
  <c r="AM149" i="2"/>
  <c r="AL149" i="2"/>
  <c r="AM148" i="2"/>
  <c r="AL148" i="2"/>
  <c r="AM147" i="2"/>
  <c r="AL147" i="2"/>
  <c r="AM146" i="2"/>
  <c r="AL146" i="2"/>
  <c r="AM145" i="2"/>
  <c r="AL145" i="2"/>
  <c r="AM144" i="2"/>
  <c r="AL144" i="2"/>
  <c r="AM143" i="2"/>
  <c r="AL143" i="2"/>
  <c r="AM142" i="2"/>
  <c r="AL142" i="2"/>
  <c r="AM141" i="2"/>
  <c r="AL141" i="2"/>
  <c r="AM140" i="2"/>
  <c r="AL140" i="2"/>
  <c r="AM139" i="2"/>
  <c r="AL139" i="2"/>
  <c r="AM138" i="2"/>
  <c r="AL138" i="2"/>
  <c r="AM137" i="2"/>
  <c r="AL137" i="2"/>
  <c r="AM136" i="2"/>
  <c r="AL136" i="2"/>
  <c r="AM135" i="2"/>
  <c r="AL135" i="2"/>
  <c r="AM134" i="2"/>
  <c r="AL134" i="2"/>
  <c r="AM133" i="2"/>
  <c r="AL133" i="2"/>
  <c r="AM132" i="2"/>
  <c r="AL132" i="2"/>
  <c r="AM131" i="2"/>
  <c r="AL131" i="2"/>
  <c r="AM130" i="2"/>
  <c r="AL130" i="2"/>
  <c r="AM129" i="2"/>
  <c r="AL129" i="2"/>
  <c r="AM128" i="2"/>
  <c r="AL128" i="2"/>
  <c r="AM127" i="2"/>
  <c r="AL127" i="2"/>
  <c r="AM126" i="2"/>
  <c r="AL126" i="2"/>
  <c r="AM125" i="2"/>
  <c r="AL125" i="2"/>
  <c r="AM124" i="2"/>
  <c r="AL124" i="2"/>
  <c r="AM123" i="2"/>
  <c r="AL123" i="2"/>
  <c r="AM122" i="2"/>
  <c r="AL122" i="2"/>
  <c r="AM121" i="2"/>
  <c r="AL121" i="2"/>
  <c r="AM120" i="2"/>
  <c r="AL120" i="2"/>
  <c r="AM119" i="2"/>
  <c r="AL119" i="2"/>
  <c r="AM118" i="2"/>
  <c r="AL118" i="2"/>
  <c r="AM117" i="2"/>
  <c r="AL117" i="2"/>
  <c r="AM116" i="2"/>
  <c r="AL116" i="2"/>
  <c r="AM115" i="2"/>
  <c r="AL115" i="2"/>
  <c r="AM114" i="2"/>
  <c r="AL114" i="2"/>
  <c r="AM113" i="2"/>
  <c r="AL113" i="2"/>
  <c r="AM112" i="2"/>
  <c r="AL112" i="2"/>
  <c r="AM111" i="2"/>
  <c r="AL111" i="2"/>
  <c r="AM110" i="2"/>
  <c r="AL110" i="2"/>
  <c r="AM109" i="2"/>
  <c r="AL109" i="2"/>
  <c r="AM108" i="2"/>
  <c r="AL108" i="2"/>
  <c r="AM107" i="2"/>
  <c r="AL107" i="2"/>
  <c r="AM106" i="2"/>
  <c r="AL106" i="2"/>
  <c r="AM105" i="2"/>
  <c r="AL105" i="2"/>
  <c r="AM104" i="2"/>
  <c r="AL104" i="2"/>
  <c r="AM103" i="2"/>
  <c r="AL103" i="2"/>
  <c r="AM102" i="2"/>
  <c r="AL102" i="2"/>
  <c r="AM101" i="2"/>
  <c r="AL101" i="2"/>
  <c r="AM100" i="2"/>
  <c r="AL100" i="2"/>
  <c r="AM99" i="2"/>
  <c r="AL99" i="2"/>
  <c r="AM98" i="2"/>
  <c r="AL98" i="2"/>
  <c r="AM97" i="2"/>
  <c r="AL97" i="2"/>
  <c r="AM96" i="2"/>
  <c r="AL96" i="2"/>
  <c r="AM95" i="2"/>
  <c r="AL95" i="2"/>
  <c r="AM94" i="2"/>
  <c r="AL94" i="2"/>
  <c r="AM93" i="2"/>
  <c r="AL93" i="2"/>
  <c r="AM92" i="2"/>
  <c r="AL92" i="2"/>
  <c r="AM91" i="2"/>
  <c r="AL91" i="2"/>
  <c r="AM90" i="2"/>
  <c r="AL90" i="2"/>
  <c r="AM89" i="2"/>
  <c r="AL89" i="2"/>
  <c r="AM88" i="2"/>
  <c r="AL88" i="2"/>
  <c r="AM87" i="2"/>
  <c r="AL87" i="2"/>
  <c r="AM86" i="2"/>
  <c r="AL86" i="2"/>
  <c r="AM85" i="2"/>
  <c r="AL85" i="2"/>
  <c r="AM84" i="2"/>
  <c r="AL84" i="2"/>
  <c r="AM83" i="2"/>
  <c r="AL83" i="2"/>
  <c r="AM82" i="2"/>
  <c r="AL82" i="2"/>
  <c r="AM81" i="2"/>
  <c r="AL81" i="2"/>
  <c r="AM80" i="2"/>
  <c r="AL80" i="2"/>
  <c r="AM79" i="2"/>
  <c r="AL79" i="2"/>
  <c r="AM78" i="2"/>
  <c r="AL78" i="2"/>
  <c r="AM77" i="2"/>
  <c r="AL77" i="2"/>
  <c r="AM76" i="2"/>
  <c r="AL76" i="2"/>
  <c r="AM75" i="2"/>
  <c r="AL75" i="2"/>
  <c r="AM74" i="2"/>
  <c r="AL74" i="2"/>
  <c r="AM73" i="2"/>
  <c r="AL73" i="2"/>
  <c r="AM72" i="2"/>
  <c r="AL72" i="2"/>
  <c r="AM71" i="2"/>
  <c r="AL71" i="2"/>
  <c r="AM70" i="2"/>
  <c r="AL70" i="2"/>
  <c r="AM69" i="2"/>
  <c r="AL69" i="2"/>
  <c r="AM68" i="2"/>
  <c r="AL68" i="2"/>
  <c r="AM67" i="2"/>
  <c r="AL67" i="2"/>
  <c r="AM66" i="2"/>
  <c r="AL66" i="2"/>
  <c r="AM65" i="2"/>
  <c r="AL65" i="2"/>
  <c r="AM64" i="2"/>
  <c r="AL64" i="2"/>
  <c r="AM63" i="2"/>
  <c r="AL63" i="2"/>
  <c r="AM62" i="2"/>
  <c r="AL62" i="2"/>
  <c r="AM61" i="2"/>
  <c r="AL61" i="2"/>
  <c r="AM60" i="2"/>
  <c r="AL60" i="2"/>
  <c r="AM59" i="2"/>
  <c r="AL59" i="2"/>
  <c r="AM58" i="2"/>
  <c r="AL58" i="2"/>
  <c r="AM57" i="2"/>
  <c r="AL57" i="2"/>
  <c r="AM56" i="2"/>
  <c r="AL56" i="2"/>
  <c r="AM55" i="2"/>
  <c r="AL55" i="2"/>
  <c r="AM54" i="2"/>
  <c r="AL54" i="2"/>
  <c r="AM53" i="2"/>
  <c r="AL53" i="2"/>
  <c r="AM52" i="2"/>
  <c r="AL52" i="2"/>
  <c r="AM51" i="2"/>
  <c r="AL51" i="2"/>
  <c r="AM50" i="2"/>
  <c r="AL50" i="2"/>
  <c r="AM49" i="2"/>
  <c r="AL49" i="2"/>
  <c r="AM48" i="2"/>
  <c r="AL48" i="2"/>
  <c r="AM47" i="2"/>
  <c r="AL47" i="2"/>
  <c r="AM46" i="2"/>
  <c r="AL46" i="2"/>
  <c r="AM45" i="2"/>
  <c r="AL45" i="2"/>
  <c r="AM44" i="2"/>
  <c r="AL44" i="2"/>
  <c r="AM43" i="2"/>
  <c r="AL43" i="2"/>
  <c r="AM42" i="2"/>
  <c r="AL42" i="2"/>
  <c r="AM41" i="2"/>
  <c r="AL41" i="2"/>
  <c r="AM40" i="2"/>
  <c r="AL40" i="2"/>
  <c r="AM39" i="2"/>
  <c r="AL39" i="2"/>
  <c r="AM38" i="2"/>
  <c r="AL38" i="2"/>
  <c r="AM37" i="2"/>
  <c r="AL37" i="2"/>
  <c r="AM36" i="2"/>
  <c r="AL36" i="2"/>
  <c r="AM35" i="2"/>
  <c r="AL35" i="2"/>
  <c r="AM34" i="2"/>
  <c r="AL34" i="2"/>
  <c r="AM33" i="2"/>
  <c r="AL33" i="2"/>
  <c r="AM32" i="2"/>
  <c r="AL32" i="2"/>
  <c r="AM31" i="2"/>
  <c r="AL31" i="2"/>
  <c r="AM30" i="2"/>
  <c r="AL30" i="2"/>
  <c r="AM29" i="2"/>
  <c r="AL29" i="2"/>
  <c r="AM28" i="2"/>
  <c r="AL28" i="2"/>
  <c r="AM27" i="2"/>
  <c r="AL27" i="2"/>
  <c r="AM26" i="2"/>
  <c r="AL26" i="2"/>
  <c r="AM25" i="2"/>
  <c r="AL25" i="2"/>
  <c r="AM24" i="2"/>
  <c r="AL24" i="2"/>
  <c r="AM23" i="2"/>
  <c r="AL23" i="2"/>
  <c r="AM22" i="2"/>
  <c r="AL22" i="2"/>
  <c r="AM21" i="2"/>
  <c r="AL21" i="2"/>
  <c r="AM20" i="2"/>
  <c r="AL20" i="2"/>
  <c r="AM19" i="2"/>
  <c r="AL19" i="2"/>
  <c r="AM18" i="2"/>
  <c r="AL18" i="2"/>
  <c r="AM17" i="2"/>
  <c r="AL17" i="2"/>
  <c r="AM16" i="2"/>
  <c r="AL16" i="2"/>
  <c r="AM15" i="2"/>
  <c r="AL15" i="2"/>
  <c r="AM14" i="2"/>
  <c r="AL14" i="2"/>
  <c r="AM13" i="2"/>
  <c r="AL13" i="2"/>
  <c r="AM12" i="2"/>
  <c r="AL12" i="2"/>
  <c r="AM11" i="2"/>
  <c r="AL11" i="2"/>
  <c r="AM10" i="2"/>
  <c r="AL10" i="2"/>
  <c r="AM9" i="2"/>
  <c r="AL9" i="2"/>
  <c r="AM8" i="2"/>
  <c r="AL8" i="2"/>
  <c r="AM7" i="2"/>
  <c r="AL7" i="2"/>
  <c r="AM6" i="2"/>
  <c r="AL6" i="2"/>
  <c r="AM5" i="2"/>
  <c r="AL5" i="2"/>
  <c r="AM4" i="2"/>
  <c r="AL4" i="2"/>
  <c r="AM3" i="2"/>
  <c r="AL3" i="2"/>
  <c r="AM2" i="2"/>
  <c r="AL2" i="2"/>
</calcChain>
</file>

<file path=xl/sharedStrings.xml><?xml version="1.0" encoding="utf-8"?>
<sst xmlns="http://schemas.openxmlformats.org/spreadsheetml/2006/main" count="18833" uniqueCount="1687">
  <si>
    <t>Component</t>
  </si>
  <si>
    <t>Unit</t>
  </si>
  <si>
    <t>Field methods</t>
  </si>
  <si>
    <t>Lab methods</t>
  </si>
  <si>
    <t>Remote sensing &amp; modelling</t>
  </si>
  <si>
    <t>Social and partcipatory</t>
  </si>
  <si>
    <t>Production assessments and audits</t>
  </si>
  <si>
    <t>Total principles covered</t>
  </si>
  <si>
    <t>Total criteria covered</t>
  </si>
  <si>
    <t>Biotic</t>
  </si>
  <si>
    <t>Biodiversity</t>
  </si>
  <si>
    <t>Species diversity (shannon-weiner index or simpson index at alpha or gamma scale)</t>
  </si>
  <si>
    <t>relative value</t>
  </si>
  <si>
    <t>x</t>
  </si>
  <si>
    <t>(x)</t>
  </si>
  <si>
    <t>P</t>
  </si>
  <si>
    <t>n/a</t>
  </si>
  <si>
    <t>Species turnover (sorensen dissimilarity indices)</t>
  </si>
  <si>
    <t>S</t>
  </si>
  <si>
    <t>Species eveness</t>
  </si>
  <si>
    <t>Species density</t>
  </si>
  <si>
    <t>species/ha</t>
  </si>
  <si>
    <t>Acoustic diversity</t>
  </si>
  <si>
    <t>Number/Presence of indicator species</t>
  </si>
  <si>
    <t>Yes/No, numeric</t>
  </si>
  <si>
    <t>Number of threathened species according to IUCN Red List</t>
  </si>
  <si>
    <t>Presence/number of keystone species</t>
  </si>
  <si>
    <t>Absence/number of invasive species</t>
  </si>
  <si>
    <t>?</t>
  </si>
  <si>
    <t>Population size/species relative abundance</t>
  </si>
  <si>
    <t># individuals/ %</t>
  </si>
  <si>
    <t>Functional diversity (FDiv, FD, FDis)</t>
  </si>
  <si>
    <t>Number/Presence of Plant functional types</t>
  </si>
  <si>
    <t>Animal movement (migration, immigration and total movement rates)</t>
  </si>
  <si>
    <t>Plant dispersal (e.g. dispersal distance, seed rain density, seed rain quality)</t>
  </si>
  <si>
    <t>m, or seeds/m2, or types of seeds</t>
  </si>
  <si>
    <t>Traits (either by species or as community weighted means)</t>
  </si>
  <si>
    <t>Specific leaf area</t>
  </si>
  <si>
    <t>m2/kg</t>
  </si>
  <si>
    <t>Traits</t>
  </si>
  <si>
    <t>Leaf mass area</t>
  </si>
  <si>
    <t>g/m2</t>
  </si>
  <si>
    <t>Leaf dry matter content</t>
  </si>
  <si>
    <t>g/cm2</t>
  </si>
  <si>
    <t>Wood density</t>
  </si>
  <si>
    <t>Leaf area</t>
  </si>
  <si>
    <t>cm2</t>
  </si>
  <si>
    <t>CSR strategy</t>
  </si>
  <si>
    <t>%C,%S, %R</t>
  </si>
  <si>
    <t>Phenological dates and periods (flowering dates, migration dates, senescence dates...)</t>
  </si>
  <si>
    <t>Dates, time spans</t>
  </si>
  <si>
    <t>Fire resistance (resprouting ability, bark thickness)</t>
  </si>
  <si>
    <t>yes/No, numeric</t>
  </si>
  <si>
    <t>Ecosystems</t>
  </si>
  <si>
    <t>Above Ground Biomass</t>
  </si>
  <si>
    <t>tC/ha</t>
  </si>
  <si>
    <t>Below Ground Biomass</t>
  </si>
  <si>
    <t>Net Primary Productivity</t>
  </si>
  <si>
    <t>tC/ha/y</t>
  </si>
  <si>
    <t>Net Ecosystem Exchange</t>
  </si>
  <si>
    <t>Stem density</t>
  </si>
  <si>
    <t>stems/ha</t>
  </si>
  <si>
    <t>Standing tree volume</t>
  </si>
  <si>
    <t>m2</t>
  </si>
  <si>
    <t>Fallen dead tree volume</t>
  </si>
  <si>
    <t>Basal area</t>
  </si>
  <si>
    <t>m2/ha</t>
  </si>
  <si>
    <t>Tree height</t>
  </si>
  <si>
    <t>m</t>
  </si>
  <si>
    <t>DBH</t>
  </si>
  <si>
    <t>cm</t>
  </si>
  <si>
    <t>Sky view factor</t>
  </si>
  <si>
    <t>%</t>
  </si>
  <si>
    <t>Seedling density</t>
  </si>
  <si>
    <t>seedlings/m2</t>
  </si>
  <si>
    <t>Vegetation cover (e.g. grass cover %, shrub cover % )</t>
  </si>
  <si>
    <t>Understory cover</t>
  </si>
  <si>
    <t>Vegetation classes</t>
  </si>
  <si>
    <t>types</t>
  </si>
  <si>
    <t>Biomass of special vegetation groups (epiphytes, lianas...)</t>
  </si>
  <si>
    <t>kg/m2</t>
  </si>
  <si>
    <t>Plant respiration</t>
  </si>
  <si>
    <t>μmoles CO2/h/m2</t>
  </si>
  <si>
    <t>Vegetation structure complexity (SCI, HCS, ESWI, SDI)</t>
  </si>
  <si>
    <t>Vegetation structure index (VSI)</t>
  </si>
  <si>
    <t>Canopy cover</t>
  </si>
  <si>
    <t>Number of vegetation strata</t>
  </si>
  <si>
    <t>Soil respiration</t>
  </si>
  <si>
    <t>Landscape</t>
  </si>
  <si>
    <t>Ecosystem extent</t>
  </si>
  <si>
    <t>ha or km2</t>
  </si>
  <si>
    <t>Land use Land cover class extent</t>
  </si>
  <si>
    <t>Land use Land cover class change</t>
  </si>
  <si>
    <t>ha/year or km2/year</t>
  </si>
  <si>
    <t>Ecosystem conversion rate/loss (area/time)</t>
  </si>
  <si>
    <t>ha/y</t>
  </si>
  <si>
    <t>Natural hazard extent (e.g. landslide, flooding etc)</t>
  </si>
  <si>
    <t>Avoided emissions from LULCC</t>
  </si>
  <si>
    <t>t CO2/year</t>
  </si>
  <si>
    <t>Patch size and distribution</t>
  </si>
  <si>
    <t>ha, or relative values</t>
  </si>
  <si>
    <t>Patch immigration rate</t>
  </si>
  <si>
    <t>individuals/year</t>
  </si>
  <si>
    <t>Carbon stocks</t>
  </si>
  <si>
    <t>t/ha</t>
  </si>
  <si>
    <t>Normalised Difference Vegetation Index</t>
  </si>
  <si>
    <t>Enhanced Vegetation Index</t>
  </si>
  <si>
    <t>Soil adjusted vegetation index</t>
  </si>
  <si>
    <t>Normalised Difference Water Index</t>
  </si>
  <si>
    <t>Rao's Q diversity</t>
  </si>
  <si>
    <t>Fire frequency</t>
  </si>
  <si>
    <t>fires/time</t>
  </si>
  <si>
    <t>Fire intensity (from active fire detection)</t>
  </si>
  <si>
    <t>kW/m2</t>
  </si>
  <si>
    <t>Fire size (from burnt area)</t>
  </si>
  <si>
    <t>Fire risk</t>
  </si>
  <si>
    <t>risk class</t>
  </si>
  <si>
    <t>Fuel loading</t>
  </si>
  <si>
    <t>Fire severity, Burn severity (NBR)</t>
  </si>
  <si>
    <t>Post fire vegetation recovery</t>
  </si>
  <si>
    <t>Fragmentation composition indices (patch number, mean patch size, patch density, largest patch index, core area...)</t>
  </si>
  <si>
    <t>#, or ha, or patches/km2, or relative values</t>
  </si>
  <si>
    <t>Fragmentation configuration indices (distance to nearest patch, patch density, connectivity, contagion, habitat area within buffer, index of isolation, patch cohesion index etc)</t>
  </si>
  <si>
    <t>km, km2, patches/km2 or relative values</t>
  </si>
  <si>
    <t>Fragmentation shape indices (perimeter:area ratio, shape index, fractal dimension, square pixel index)</t>
  </si>
  <si>
    <t>Functional connectivity</t>
  </si>
  <si>
    <t>Landscape complexity (marginal entropy, conditional entropy, joint entropy and mutual information)</t>
  </si>
  <si>
    <t>Abiotic</t>
  </si>
  <si>
    <t>Microclimate</t>
  </si>
  <si>
    <t>Air temperature (mean, max, min)</t>
  </si>
  <si>
    <t>°C</t>
  </si>
  <si>
    <t>Temperature amplitude</t>
  </si>
  <si>
    <t>K</t>
  </si>
  <si>
    <t>Relative humidity</t>
  </si>
  <si>
    <t>Vapour Pressure Deficit</t>
  </si>
  <si>
    <t>Pa</t>
  </si>
  <si>
    <t>Pollutant concentration (Ozone, Particle pollution, Carbon monoxide, Sulfur dioxide, Nitrogen dioxide)</t>
  </si>
  <si>
    <t>ppm or ppb</t>
  </si>
  <si>
    <t>Precipitation</t>
  </si>
  <si>
    <t>mm</t>
  </si>
  <si>
    <t>Windspeed</t>
  </si>
  <si>
    <t>m/s</t>
  </si>
  <si>
    <t>Solar radiation</t>
  </si>
  <si>
    <t>kWh/m2</t>
  </si>
  <si>
    <t>Thermal comfort indices (HSI, DI, PET)</t>
  </si>
  <si>
    <t>Fire weather index</t>
  </si>
  <si>
    <t>Air pollution indices (AQI, AQCI)</t>
  </si>
  <si>
    <t>classes</t>
  </si>
  <si>
    <t>Water quality</t>
  </si>
  <si>
    <t>pH</t>
  </si>
  <si>
    <t>Water temperature</t>
  </si>
  <si>
    <t>Nutrient concentrations (N, P)</t>
  </si>
  <si>
    <t>mg/L</t>
  </si>
  <si>
    <t>Algal bloomk 9(Chlorophyll a)</t>
  </si>
  <si>
    <t>ug/L</t>
  </si>
  <si>
    <t>Sediment load (Total suspended solids)</t>
  </si>
  <si>
    <t>Salinity</t>
  </si>
  <si>
    <t>g / kg</t>
  </si>
  <si>
    <t>Pollutant concentration</t>
  </si>
  <si>
    <t>µg/l</t>
  </si>
  <si>
    <t>Dissolved oxygen</t>
  </si>
  <si>
    <t>Oxydation reduction potential</t>
  </si>
  <si>
    <t>mV</t>
  </si>
  <si>
    <t>Turbidity</t>
  </si>
  <si>
    <t>Water flow regulation</t>
  </si>
  <si>
    <t>Base flow</t>
  </si>
  <si>
    <t>m3/h</t>
  </si>
  <si>
    <t>River/stream/lake depth</t>
  </si>
  <si>
    <t>Peak flow</t>
  </si>
  <si>
    <t>Groundwater recharge</t>
  </si>
  <si>
    <t>Water velocity</t>
  </si>
  <si>
    <t>Water table depth</t>
  </si>
  <si>
    <t>Soil quality</t>
  </si>
  <si>
    <t>Nutrient concentration (N, P, K)</t>
  </si>
  <si>
    <t>ppm or mg/kg</t>
  </si>
  <si>
    <t>Soil moisture</t>
  </si>
  <si>
    <t>wfv or m3m-3 or %</t>
  </si>
  <si>
    <t>Soil organic matter</t>
  </si>
  <si>
    <t>% or g/kg</t>
  </si>
  <si>
    <t>Bulk density</t>
  </si>
  <si>
    <t>g/cm3</t>
  </si>
  <si>
    <t>Conductivity (Cation Exchange Capacity)</t>
  </si>
  <si>
    <t>cmol/kg</t>
  </si>
  <si>
    <t>Soil erosion rate</t>
  </si>
  <si>
    <t>cm/year</t>
  </si>
  <si>
    <t>Pesticide concentrations (glyphosate)</t>
  </si>
  <si>
    <t>μg/L</t>
  </si>
  <si>
    <t>Soil carbon</t>
  </si>
  <si>
    <t>t/ha/year</t>
  </si>
  <si>
    <t>Soil methane emission</t>
  </si>
  <si>
    <t>Soil organic carbon</t>
  </si>
  <si>
    <t>Socio-economic</t>
  </si>
  <si>
    <t>Financial well-being</t>
  </si>
  <si>
    <t>Household indebtedness</t>
  </si>
  <si>
    <t>$</t>
  </si>
  <si>
    <t>Household capital</t>
  </si>
  <si>
    <t>Household income</t>
  </si>
  <si>
    <t>Household savings</t>
  </si>
  <si>
    <t>Household assets (land, buildings)</t>
  </si>
  <si>
    <t>Type, $</t>
  </si>
  <si>
    <t>Ability to raise emergency funds</t>
  </si>
  <si>
    <t>Scale</t>
  </si>
  <si>
    <t>Most valuable livestock owned</t>
  </si>
  <si>
    <t>Type</t>
  </si>
  <si>
    <t>Income/livelihood diversity</t>
  </si>
  <si>
    <t>Ordinal categories</t>
  </si>
  <si>
    <t>Income inequality (Gini coefficient, Palma ratio, Theil index...)</t>
  </si>
  <si>
    <t>Relative values</t>
  </si>
  <si>
    <t>Use of banking facilities</t>
  </si>
  <si>
    <t>Yes/No</t>
  </si>
  <si>
    <t>Financial knowledge</t>
  </si>
  <si>
    <t>Likert scale/ordinal</t>
  </si>
  <si>
    <t>Salaried job</t>
  </si>
  <si>
    <t>Access to a bank account</t>
  </si>
  <si>
    <t>Livestock heads</t>
  </si>
  <si>
    <t>#</t>
  </si>
  <si>
    <t>Size of farmland</t>
  </si>
  <si>
    <t>ha</t>
  </si>
  <si>
    <t>Size of property</t>
  </si>
  <si>
    <t>Ownership of farm equiment</t>
  </si>
  <si>
    <t>own/rent/borrow</t>
  </si>
  <si>
    <t>Remittances</t>
  </si>
  <si>
    <t>Consumer confidence</t>
  </si>
  <si>
    <t>Labour force participation rate</t>
  </si>
  <si>
    <t>Community employment (Employment rate, Employment rate by age group, Employment by activity, Part-time employment rate, Self-employment rate, Temporary employment rate. Labour force, Labour force participation rate)</t>
  </si>
  <si>
    <t>New employment opportunities</t>
  </si>
  <si>
    <t>Income spent on food</t>
  </si>
  <si>
    <t>% of total income</t>
  </si>
  <si>
    <t>Food insecurity Index</t>
  </si>
  <si>
    <t>FAO Scale</t>
  </si>
  <si>
    <t>Multidimensional poverty index</t>
  </si>
  <si>
    <t>Provision for dependents</t>
  </si>
  <si>
    <t>Provision for self in old age</t>
  </si>
  <si>
    <t>Number of livelihood activities</t>
  </si>
  <si>
    <t>Theft security level</t>
  </si>
  <si>
    <t>Ordinal scale/Likert scale</t>
  </si>
  <si>
    <t>Income inequality ratio</t>
  </si>
  <si>
    <t>Relative value</t>
  </si>
  <si>
    <t>Community capital</t>
  </si>
  <si>
    <t>Community poverty rate</t>
  </si>
  <si>
    <t>Livelihood satisfaction</t>
  </si>
  <si>
    <t>Incidence of sensitive/illegal income streams (illegal trade, prostitution, drugs etc)</t>
  </si>
  <si>
    <t>% or ordinal categories</t>
  </si>
  <si>
    <t>Natural capital</t>
  </si>
  <si>
    <t>Value chain transparency</t>
  </si>
  <si>
    <t>Market share of commodity</t>
  </si>
  <si>
    <t>Sourcing proportion (direct vs indirect)</t>
  </si>
  <si>
    <t>Water insecurity Index (HWISE)</t>
  </si>
  <si>
    <t>Forest access satisfaction</t>
  </si>
  <si>
    <t>Commodity driven deforestation</t>
  </si>
  <si>
    <t>Water use (green, blue and grey water)</t>
  </si>
  <si>
    <t>m3</t>
  </si>
  <si>
    <t>Gross water abstraction</t>
  </si>
  <si>
    <t>Volume of water treatment</t>
  </si>
  <si>
    <t>Water treatment process</t>
  </si>
  <si>
    <t>Types</t>
  </si>
  <si>
    <t>Water use efficiency (Water exploitation index, Water productivity Index)</t>
  </si>
  <si>
    <t>% or relative values</t>
  </si>
  <si>
    <t>Quantity of fertilizer applied</t>
  </si>
  <si>
    <t>kg/ha</t>
  </si>
  <si>
    <t>Type of fertilizer used</t>
  </si>
  <si>
    <t>Frequency of fertilizer application</t>
  </si>
  <si>
    <t>Chemical composition of fertilizer</t>
  </si>
  <si>
    <t>N:P:K ratio</t>
  </si>
  <si>
    <t>Rate of fertilizer application</t>
  </si>
  <si>
    <t>kg/ha/year</t>
  </si>
  <si>
    <t>Circular economy indices (recycling, resource efficiency, lifetime extension, waste management etc)</t>
  </si>
  <si>
    <t>Electricity use</t>
  </si>
  <si>
    <t>kWh</t>
  </si>
  <si>
    <t>Source of energy production</t>
  </si>
  <si>
    <t>Implementation of off grid energy supply</t>
  </si>
  <si>
    <t>Yes/No, Types</t>
  </si>
  <si>
    <t>Type of solid fuel</t>
  </si>
  <si>
    <t>Solid fuel consumption rate</t>
  </si>
  <si>
    <t>kg/h</t>
  </si>
  <si>
    <t>Waste type (biomass, glass, metals, plastic...)</t>
  </si>
  <si>
    <t>Waste quantity</t>
  </si>
  <si>
    <t>kg or t</t>
  </si>
  <si>
    <t>Waste destination</t>
  </si>
  <si>
    <t>Recyclability potential</t>
  </si>
  <si>
    <t>Ordinal scale</t>
  </si>
  <si>
    <t>Hazardous and non-hazardous waste</t>
  </si>
  <si>
    <t>kg</t>
  </si>
  <si>
    <t>Waste disposal type (landfill, incineration...)</t>
  </si>
  <si>
    <t>Dependency on external inputs</t>
  </si>
  <si>
    <t>Yes/No, Scale</t>
  </si>
  <si>
    <t>Cumulative raw material demand per unit of production</t>
  </si>
  <si>
    <t>kg input/kg output</t>
  </si>
  <si>
    <t>Access to natural resources (e.g. timber, fruit, fish etc)</t>
  </si>
  <si>
    <t>Soil erosion rank</t>
  </si>
  <si>
    <t>Diversity of farm crops</t>
  </si>
  <si>
    <t># crops planted</t>
  </si>
  <si>
    <t>Physical capital</t>
  </si>
  <si>
    <t>Road conditions</t>
  </si>
  <si>
    <t>Presence of facilities (school, hospital, shops)</t>
  </si>
  <si>
    <t>Access to schemes (e.g. irrigation)</t>
  </si>
  <si>
    <t>Categories</t>
  </si>
  <si>
    <t>School infrastruucture quality (essential structures like classrooms, toilets, water...)</t>
  </si>
  <si>
    <t>Yes/No checklist</t>
  </si>
  <si>
    <t>Water provision stability</t>
  </si>
  <si>
    <t>Diversity of sustainable commodities</t>
  </si>
  <si>
    <t>Social capital</t>
  </si>
  <si>
    <t>Political influence or power</t>
  </si>
  <si>
    <t>Social connectivity through Social network analysis indicators (centrality, density, reciprocity, modularity...)</t>
  </si>
  <si>
    <t>Lending of resources</t>
  </si>
  <si>
    <t>Recognition of voice in community</t>
  </si>
  <si>
    <t>Participation in groups</t>
  </si>
  <si>
    <t>Gender equality</t>
  </si>
  <si>
    <t>Exposure,vulnerility and sensitivity to hazards</t>
  </si>
  <si>
    <t>Participation in communal projects</t>
  </si>
  <si>
    <t>% or Ordinal categories</t>
  </si>
  <si>
    <t>Diversity of stakeholders</t>
  </si>
  <si>
    <t>Inclusivity of project</t>
  </si>
  <si>
    <t>Gender equality (labour burden,project benefits for women, income generation, participation)</t>
  </si>
  <si>
    <t>Qualitative</t>
  </si>
  <si>
    <t>Stakeholder engagement</t>
  </si>
  <si>
    <t>Type or Ordinal categories</t>
  </si>
  <si>
    <t>Customary rights recognition of project</t>
  </si>
  <si>
    <t>IPLC level of involvement</t>
  </si>
  <si>
    <t>Yes/No, ordinal categories</t>
  </si>
  <si>
    <t>Local knowledge integration</t>
  </si>
  <si>
    <t>Adherence to FPIC principles</t>
  </si>
  <si>
    <t>Community involvement in governance</t>
  </si>
  <si>
    <t>Procedural equity (participation in decision making)</t>
  </si>
  <si>
    <t>Distributional equity</t>
  </si>
  <si>
    <t>Strength of relationship with neighbors</t>
  </si>
  <si>
    <t>Human capital</t>
  </si>
  <si>
    <t>Stakeholder's level of support/opposition</t>
  </si>
  <si>
    <t>Ordinal categories, %</t>
  </si>
  <si>
    <t>Stakeholder levels of influence</t>
  </si>
  <si>
    <t>Labour availability per household (# household members between 18-55)</t>
  </si>
  <si>
    <t>Education level</t>
  </si>
  <si>
    <t>None/Primary/Secondary/University</t>
  </si>
  <si>
    <t>Sick days</t>
  </si>
  <si>
    <t>#/year</t>
  </si>
  <si>
    <t>Family health level</t>
  </si>
  <si>
    <t>Poor to good scale</t>
  </si>
  <si>
    <t>Health insurance</t>
  </si>
  <si>
    <t>Health problem impact on ability to practice livelihood</t>
  </si>
  <si>
    <t>Dietary diversity</t>
  </si>
  <si>
    <t>Children enrolled in school</t>
  </si>
  <si>
    <t>Literacy (percentage of population over age of 15 who can read and write)</t>
  </si>
  <si>
    <t>engagement with local communities to gather LEK/TEK</t>
  </si>
  <si>
    <t>Integration of traditional practices</t>
  </si>
  <si>
    <t>Diversity of age groups involved</t>
  </si>
  <si>
    <t>% of different age groups</t>
  </si>
  <si>
    <t>Diversity of gender participation</t>
  </si>
  <si>
    <t>%women vs % men</t>
  </si>
  <si>
    <t>Involvement of marginal groups</t>
  </si>
  <si>
    <t>Physical health status</t>
  </si>
  <si>
    <t>Mental health status</t>
  </si>
  <si>
    <t>Access to healthcare</t>
  </si>
  <si>
    <t>Perception/experienced quality of life</t>
  </si>
  <si>
    <t>Satisfaction with project</t>
  </si>
  <si>
    <t>Low/Medium/High</t>
  </si>
  <si>
    <t>Level of traditional ecological inclusion</t>
  </si>
  <si>
    <t>Socio-ecological system</t>
  </si>
  <si>
    <t>Perceived overall quality of life</t>
  </si>
  <si>
    <t>Ordinal</t>
  </si>
  <si>
    <t>Livelihood resilience index (HLRA)</t>
  </si>
  <si>
    <t>Between 0-1</t>
  </si>
  <si>
    <r>
      <t xml:space="preserve">Method  </t>
    </r>
    <r>
      <rPr>
        <sz val="11"/>
        <color rgb="FF000000"/>
        <rFont val="Lato"/>
      </rPr>
      <t>(General)</t>
    </r>
  </si>
  <si>
    <r>
      <rPr>
        <b/>
        <sz val="11"/>
        <color rgb="FF000000"/>
        <rFont val="Lato"/>
      </rPr>
      <t xml:space="preserve">Method  </t>
    </r>
    <r>
      <rPr>
        <sz val="11"/>
        <color rgb="FF000000"/>
        <rFont val="Lato"/>
      </rPr>
      <t>(Specific)</t>
    </r>
  </si>
  <si>
    <r>
      <rPr>
        <b/>
        <sz val="11"/>
        <color rgb="FF000000"/>
        <rFont val="Lato"/>
      </rPr>
      <t xml:space="preserve">Accuracy </t>
    </r>
    <r>
      <rPr>
        <sz val="11"/>
        <color rgb="FF000000"/>
        <rFont val="Lato"/>
      </rPr>
      <t>(High/Medium/Low)</t>
    </r>
  </si>
  <si>
    <r>
      <t xml:space="preserve">Accuracy </t>
    </r>
    <r>
      <rPr>
        <sz val="11"/>
        <color rgb="FF000000"/>
        <rFont val="Lato"/>
      </rPr>
      <t>(Data)</t>
    </r>
  </si>
  <si>
    <r>
      <t xml:space="preserve">Accuracy </t>
    </r>
    <r>
      <rPr>
        <sz val="11"/>
        <color rgb="FF000000"/>
        <rFont val="Lato"/>
      </rPr>
      <t>(Inidicator Range)</t>
    </r>
  </si>
  <si>
    <r>
      <t xml:space="preserve">Ease of Use </t>
    </r>
    <r>
      <rPr>
        <sz val="11"/>
        <color rgb="FF000000"/>
        <rFont val="Lato"/>
      </rPr>
      <t>(High/Medium/Low)</t>
    </r>
  </si>
  <si>
    <r>
      <t xml:space="preserve">Ease of Use </t>
    </r>
    <r>
      <rPr>
        <sz val="11"/>
        <color rgb="FF000000"/>
        <rFont val="Lato"/>
      </rPr>
      <t>(Data)</t>
    </r>
  </si>
  <si>
    <r>
      <t xml:space="preserve">Ease of Use </t>
    </r>
    <r>
      <rPr>
        <sz val="11"/>
        <color rgb="FF000000"/>
        <rFont val="Lato"/>
      </rPr>
      <t>(Inidcator Range)</t>
    </r>
  </si>
  <si>
    <r>
      <rPr>
        <b/>
        <sz val="11"/>
        <color rgb="FF000000"/>
        <rFont val="Lato"/>
      </rPr>
      <t>Financial Cost</t>
    </r>
    <r>
      <rPr>
        <sz val="11"/>
        <color rgb="FF000000"/>
        <rFont val="Lato"/>
      </rPr>
      <t xml:space="preserve"> (High/Medium/Low)</t>
    </r>
  </si>
  <si>
    <r>
      <rPr>
        <b/>
        <sz val="11"/>
        <color rgb="FF000000"/>
        <rFont val="Lato"/>
      </rPr>
      <t>Financial Cost</t>
    </r>
    <r>
      <rPr>
        <sz val="11"/>
        <color rgb="FF000000"/>
        <rFont val="Lato"/>
      </rPr>
      <t xml:space="preserve">  (Data)</t>
    </r>
  </si>
  <si>
    <r>
      <rPr>
        <b/>
        <sz val="11"/>
        <color rgb="FF000000"/>
        <rFont val="Lato"/>
      </rPr>
      <t>Financial Cost</t>
    </r>
    <r>
      <rPr>
        <sz val="11"/>
        <color rgb="FF000000"/>
        <rFont val="Lato"/>
      </rPr>
      <t xml:space="preserve"> (Indicator Range)</t>
    </r>
  </si>
  <si>
    <t>Notes</t>
  </si>
  <si>
    <t>DOI</t>
  </si>
  <si>
    <t>Citation</t>
  </si>
  <si>
    <t>Direct observation of terrestrial animals</t>
  </si>
  <si>
    <t>Random Walks</t>
  </si>
  <si>
    <t>Low</t>
  </si>
  <si>
    <t>N/A</t>
  </si>
  <si>
    <t>High</t>
  </si>
  <si>
    <t>Very easy to carry out. Requires species identification skills.</t>
  </si>
  <si>
    <t xml:space="preserve">Basic equipment such as gps (can use phone), binoculars, and a notebook may be needed. </t>
  </si>
  <si>
    <t>Quadrat Sampling</t>
  </si>
  <si>
    <t>Godínez-Alvarez et al., 2009 found that line transects and quadrats provide similar estimates of species richness. This approach is more effective for slow-moving or sessile small animals. Also better at detecting cryptic species  (Doan &amp; Dodd, 2016).</t>
  </si>
  <si>
    <t>Quadrats can be homemade or purchased for as little as  £5-10 each. Basic equipment such as tape measures, gps (can use phone), and a notebook will also be needed.</t>
  </si>
  <si>
    <t xml:space="preserve">Belt or line transects </t>
  </si>
  <si>
    <t>Godínez-Alvarez et al., 2009 found that line transects and quadrats provide similar estimates of species richness. Some studies found transects to be more accurate than mark-capture-recapture (Doan &amp; Dodd, 2016).  Density estimated using the distance sampling method was within 4.9% of the true density, but it varied substantially depending upon spatial distribution of objects. (Nomani et al., 2012).G lass et al., 2015 also found line transects to be accurate and low bias. Though, depends on species- if high mobility this method is highly biased (Glennie et al., 2015).</t>
  </si>
  <si>
    <t xml:space="preserve">Relatively easy to carry out. Nath et al., 2009 found that transects were significantly more efficient per unit effort in the field than the fixed area square plot . </t>
  </si>
  <si>
    <t>Basic equiptment such as tape measures, binoculars, gps (can use phone), and a notebook will aslo be needed.</t>
  </si>
  <si>
    <r>
      <t>DOI</t>
    </r>
    <r>
      <rPr>
        <sz val="12"/>
        <color theme="1"/>
        <rFont val="Aptos Narrow"/>
        <family val="2"/>
        <scheme val="minor"/>
      </rPr>
      <t>:10.2174/1874213001205010025</t>
    </r>
  </si>
  <si>
    <t>Nomani et al., 2012</t>
  </si>
  <si>
    <t>https://doi.org/10.1007/s10457-009-9255-5</t>
  </si>
  <si>
    <t>Nath et al., 2009</t>
  </si>
  <si>
    <t>https://doi.org/10.1371/journal.pone.0121333</t>
  </si>
  <si>
    <t>Glennie et al., 2015</t>
  </si>
  <si>
    <t>https://doi.org/10.1016/j.ecolind.2008.11.011</t>
  </si>
  <si>
    <t>Godínez-Alvarez et al., 2009</t>
  </si>
  <si>
    <t>https://books.google.co.uk/books?hl=en&amp;lr=&amp;id=Ux_4CwAAQBAJ&amp;oi=fnd&amp;pg=PA227&amp;ots=XeKFWfJBKe&amp;sig=6Z_BCdMrKim9zHuv5-vb4gbG5-0&amp;redir_esc=y#v=onepage&amp;q&amp;f=false</t>
  </si>
  <si>
    <t>Doan &amp; Dodd, 2016</t>
  </si>
  <si>
    <t>http://dx.doi.org/10.1071/WR15029</t>
  </si>
  <si>
    <t>Glass et al., 2015</t>
  </si>
  <si>
    <t>Direct observation of aquatic animals</t>
  </si>
  <si>
    <t>Timed swims</t>
  </si>
  <si>
    <t>Medium-Low</t>
  </si>
  <si>
    <t>Roving divers are likely under-sampling the target area, though they produce similar estimates of average diversity and find similar regional and temporal patterns in fish abundance (Rassweiler et al., 2020). Because there is no accurate way of measuring the area being sampled, timed counts cannot be used to estimate fish density on an area-specific basis, thereby limiting their utility for informing fisheries management and conservation. In addition, it can be difficult to compare data from timed swims with data on fish densities collected by other methods (Rassweiler et al., 2020)</t>
  </si>
  <si>
    <t>Medium-High</t>
  </si>
  <si>
    <t>Requires trained scuba divers. Easiest to implement and can cover large areas, as divers do not need to estimate distances or take measurements as the survey progresses. Most efficient in terms of time spent relative to data collected (Ribeiro et al., 2006)</t>
  </si>
  <si>
    <t>Diving costs include boat rental/fuel, diving equiptment etc. can cost around £200-300 per hour of dive time (Gold et al., 2020). Though, monitoring typically requires multiple dives across multiple sites, so costs can add up quickly.  Minimal equipment, usually just underwater writing tools. Cheapest of the 3 underwater survey options.</t>
  </si>
  <si>
    <t>https://doi.org/10.3389/fmars.2020.00272</t>
  </si>
  <si>
    <t>Rassweiler et al., 2020</t>
  </si>
  <si>
    <t>https://www.researchgate.net/publication/236593622_Field_comparison_of_transect_stationary_point_count_and_visual_fast_count_methods_for_visual_assessment_of_fish_assemblages_of_rocky_habitats_in_Madeira</t>
  </si>
  <si>
    <t>Ribeiro et al., 2006</t>
  </si>
  <si>
    <t>Gold et al., 2020</t>
  </si>
  <si>
    <t>https://doi.org/10.1101/2020.08.20.258889</t>
  </si>
  <si>
    <t>Stationary point counts or quadrat surveys</t>
  </si>
  <si>
    <t>Sensitive to the time spent counting and can often overestimate fish densities particularly for bold fish attracted to divers (Rassweiler et al., 2020). Though, Colvocoresses et al., 2007 found higher and presumably more accurate density estimates were provided by the point count method.</t>
  </si>
  <si>
    <t>Medium</t>
  </si>
  <si>
    <t>Requires trained scuba divers. Point counts are simpler to implement than transects, but typically require the observer to judge whether fish fall within a larger radius  (Rassweiler et al., 2020)</t>
  </si>
  <si>
    <t>Diving costs include boat rental/fuel, diving equiptment etc. can cost around £200-300 per hour of dive time (Gold et al., 2020). Though, monitoring typically requires multiple dives across multiple sites, so costs can add up quickly.</t>
  </si>
  <si>
    <t>https://doi.org/10.1016/j.fishres.2007.01.012</t>
  </si>
  <si>
    <t>Colvocoresses et al., 2007</t>
  </si>
  <si>
    <t xml:space="preserve"> Underwater transects </t>
  </si>
  <si>
    <t>Coral cover estimates obtained with underwater transects were higher than those obtained with digitized LITs and photoquadrats (Urbina-Barreto et al., 2021). Though, transect-based methods have been shown to overestimate fish density either because fish swim into the transect and are incorrectly included in counts or because fish just outside the transects are counted (Rassweiler et al., 2020). Transect-based methods are also known to be sensitive to swimming speed and transect width. In particular, shy species are better sampled by fast swimmers sampling a wide belt while cryptic and benthic species are better sampled by slow swimmers sampling a narrow belt (Rassweiler et al., 2020)</t>
  </si>
  <si>
    <t>Requires trained scuba divers. Can sometimes be challenging to implement, as a diver must lay out a measuring tape as fish are being counted (or a tape must be laid beforehand or by a second diver)(Rassweiler et al., 2020) Though less time-consuming and most effective for species-level taxonomic identifications compared to photogrammetric methods  (Urbina-Barreto et al., 2021)</t>
  </si>
  <si>
    <t xml:space="preserve">Diving costs include boat rental/fuel, diving equiptment etc. can cost around £200-300 per hour of dive time (Gold et al., 2020). Though, monitoring typically requires multiple dives across multiple sites, so costs can add up quickly.Slightly more expensive than other diving options. Needs tape measures, quadrats, or markers, so slightly more gear and training required. </t>
  </si>
  <si>
    <t>https://doi.org/10.3389/fmars.2021.636902</t>
  </si>
  <si>
    <t>Urbina-Barreto et al., 2021</t>
  </si>
  <si>
    <t>https://doi.org/10.1016/j.jembe.2007.06.028</t>
  </si>
  <si>
    <t>Leujak &amp; Ormand, 2007</t>
  </si>
  <si>
    <t>Indirect observation of terrestrial animals</t>
  </si>
  <si>
    <t>Camera trapping</t>
  </si>
  <si>
    <t>Overall, a reliable method (Palencia et al., 2021; Miles et al, 2024). However, accuracy can be improved following best practice recommendations (Palencia et al., 2021) and opting for more expensive/professional camera trap models (Newly et al., 2015)</t>
  </si>
  <si>
    <t>Quite easy to use (Swann et al., 2011). Though, analysis of footage maybe time consuming.</t>
  </si>
  <si>
    <t>Price range varies from £50 to £700 per camera. Researchers should aim for 1000 to 2000 camera trap days (which is the number of camera traps multiplied by the number of days they operated) to detect atleast 60-70% of the species (Francesco et al., 2013)</t>
  </si>
  <si>
    <t>10.4404/hystrix-24.2-6316</t>
  </si>
  <si>
    <t>Francesco et al., 2013</t>
  </si>
  <si>
    <t>https://doi.org/10.1111/jzo.12945</t>
  </si>
  <si>
    <t>Palencia et al., 2021</t>
  </si>
  <si>
    <t>https://doi.org/10.1007/s13280-015-0713-1</t>
  </si>
  <si>
    <t>Newly et al., 2015</t>
  </si>
  <si>
    <t>https://doi.org/10.1002/2688-8319.12378</t>
  </si>
  <si>
    <t>Miles et al. (2024)</t>
  </si>
  <si>
    <t>https://doi.org/10.1111/1365-2664.13913</t>
  </si>
  <si>
    <t>Acoustic transect methods</t>
  </si>
  <si>
    <t>Depends on quality of sensor and the skill of the person conducting the analysis can also affect the accuracy of the method (Starbuck et al., 2022). However, several studies show that active acoustic monitoring (using transects) is less acurrate for meauring species diversity than passive acoustic sensors (Melo et al., 2021, Torrez et al., 2017)</t>
  </si>
  <si>
    <t>More time comittment per survey than passive acoustic sensors (Coleman et al., 2014).  Audio proccessing and analysis can be difficult and time consuming (Gibb et al., 2018)</t>
  </si>
  <si>
    <t>Cost for one acoustic monitor can range from £50 to &gt;£1000, depending on the quality (Starbuck etal., 2022).Overall, more costly per unit of data than passive acoustic sensors. For example Coleman et al., (2014) spent an estimated £1,500 for 1hr of transect data, compared to £75 per 1hr of passive acoustic monitoring</t>
  </si>
  <si>
    <t>https://doi.org/10.3996/082013-JFWM-057</t>
  </si>
  <si>
    <t>Coleman et al., 2014</t>
  </si>
  <si>
    <t>https://doi.org/10.1016/j.ecolind.2021.108305</t>
  </si>
  <si>
    <t>Melo et al., 2021</t>
  </si>
  <si>
    <t>https://doi.org/10.7717/peerj.3940</t>
  </si>
  <si>
    <t>Torrez et al., 2017</t>
  </si>
  <si>
    <t>Acoustic sensors</t>
  </si>
  <si>
    <t>Depends on quality of sensor. Less expensive alternatives for passive acoustic devices may be inappropriate for studies requiring high-quality data but may be critical when research objectives call for multiple devices and are constrained by budget (Starbuck et al., 2022). The skill of the person conducting the analysis can also affect the accuracy of the method.</t>
  </si>
  <si>
    <t>Easy to set up, but audio proccessing and analysis can be difficult and time consuming (Gibb et al., 2018)</t>
  </si>
  <si>
    <t>Cost for one acoustic monitor can range from £50 to &gt;£1000, depending on the quality (Starbuck etal., 2022). Though, has been shown to be more cost effective than transcest methods (Coleman et al., 2014)</t>
  </si>
  <si>
    <t>https://doi.org/10.1080/09524622.2023.2290715</t>
  </si>
  <si>
    <t>Starbuck et al., 2024</t>
  </si>
  <si>
    <t>https://doi.org/10.1111/2041-210X.13101</t>
  </si>
  <si>
    <t>Gibb et al., 2018</t>
  </si>
  <si>
    <t>Nesting site search</t>
  </si>
  <si>
    <t xml:space="preserve">Depending on species, nests often have low detectability which influences accuracy of counts.  Also nesting events between survey periods can influence survey outcomes (Frederick et al., 2006) </t>
  </si>
  <si>
    <t>Searching can take a long time, especially in dense, complex vegetation where there are many places for birds to nest.</t>
  </si>
  <si>
    <t>No equiptment required</t>
  </si>
  <si>
    <t>https://doi.org/10.1111/j.1557-9263.2006.00043.x</t>
  </si>
  <si>
    <t>Frederick et al., 2006</t>
  </si>
  <si>
    <t>https://doi.org/10.1080/00063657.2015.1013523</t>
  </si>
  <si>
    <t>Coulson &amp; Coulson (2015)</t>
  </si>
  <si>
    <t>https://www.slrconsulting.com/insights/the-pitfalls-of-nest-searches-a-call-for-smarter-bird-management/</t>
  </si>
  <si>
    <t>Indirect observation of aquatic animals</t>
  </si>
  <si>
    <t>Remote underwater videos (RUVs)</t>
  </si>
  <si>
    <t>Species ID can be challenging in turbid water environments due to low visibility and bait choice can bias towards certain species (Clark et al., 2024). Though, permanent sampling record that can be reviewed to reduce interobserver variability.</t>
  </si>
  <si>
    <t>Camera set up and footage analysis can be labour-intensive. Though some studies report RUV's are 40% more efficient approach to recording species counts than diver video transects (Clark et al., 2024)</t>
  </si>
  <si>
    <t xml:space="preserve">A study investigating 28 sites over a 1 year period found costs to total £14,750. (3 BRUV systems = £6,000; 9 GoProHero8 cameras =£3,150; Bait (Atlantic horse mackerel) 6 fish x 28 sites = 168 fish = £65; Boat hire + fuel x 12 days = £4,500; BRUV footage analysis (95hours x £10.9) = £1,035). The costs averaged to be e around £265 per site (Clark et al., 2024)
</t>
  </si>
  <si>
    <t>10.7717/peerj.17091</t>
  </si>
  <si>
    <t>Clark et al., 2024</t>
  </si>
  <si>
    <t>Remotely operated vehicles (ROVs)</t>
  </si>
  <si>
    <t>shown to provide similar biodiversity assessments as divers on coral reefs (Maslin et al., 2021)</t>
  </si>
  <si>
    <t>Requires expertise to operate</t>
  </si>
  <si>
    <t>Pricing between $3,000 and $140,000 USD (https://bluerobotics.com/how-much-does-an-rov-cost/)</t>
  </si>
  <si>
    <t>https://doi.org/10.1002/rse2.209</t>
  </si>
  <si>
    <t>Maslin et al., 2021</t>
  </si>
  <si>
    <t>Traps, nets, and cores</t>
  </si>
  <si>
    <t>Mist netting (birds)</t>
  </si>
  <si>
    <t>Allows for more specific data than line transects (i.e accurate identification, size, health, sex). However, mist-netting tends to be less accurate at capturing species richness and diversity compared to line transect methods (Wang &amp; Finch, 2002; Arizaga et al., 2011; Mulvaney &amp; Cherry; 2020)</t>
  </si>
  <si>
    <t xml:space="preserve">Requires training and permitting, but relatively easy to carry out. </t>
  </si>
  <si>
    <t>Low*</t>
  </si>
  <si>
    <t>*Netting itself is not very costly, but training and permitting required can be costly.</t>
  </si>
  <si>
    <t>https://doi.org/10.1093/condor/104.1.59</t>
  </si>
  <si>
    <t>Wang &amp; Finch (2002)</t>
  </si>
  <si>
    <t>https://doi.org/10.1080/00063657.2011.586415</t>
  </si>
  <si>
    <t>Arizaga et al., 2011</t>
  </si>
  <si>
    <t>https://doi.org/10.1080/01584197.2020.1726186</t>
  </si>
  <si>
    <t>Mulvaney &amp; Cherry, 2020</t>
  </si>
  <si>
    <t>Coring (soil mesofauna)</t>
  </si>
  <si>
    <t>Sample will typically require preservation and either manual counting of mesofauna (time consuming) or DNA analysis by a specialised external laboratory</t>
  </si>
  <si>
    <t>Prices can range from £50 to &gt;£1,000 depending on the project needs. Handheld corers work well in lighter soils and are relatively low-cost (~£50–£235). Foot-operated and sturdier designs for more compact soils typically range from £75–£125. If deeper or undisturbed cores are needed, environmental research kits (like split-core samplers) cost between £1,050 to &gt;£1,500, while heavy-duty corers for stony or dense soils sit around £500–£1,125.</t>
  </si>
  <si>
    <t>Air nets (butterflies &amp; moths)</t>
  </si>
  <si>
    <t>Checa et al., 2018 found that hand-netting collected the most species compared to other common methods</t>
  </si>
  <si>
    <t>Easy, but time consuming as a minimum of 3 h per transect is suggested to maximize the sampling effort and to record a large number of species in a given area (Freitas et al., 2020). Moreover, the daily activity of butterfly species varies during the day, therefore, morning and afternoon samplings are suggested. Ideally, atleast 14hr of sampling over a 7-15 day period should be done to make sure that most species present in the area or transect were recorded and to generate a comprehensive and reliable species list (Freitas et al., 2020)</t>
  </si>
  <si>
    <t xml:space="preserve">Prices can range from £10-25 </t>
  </si>
  <si>
    <t>https://doi.org/10.1007/978-3-030-53226-0_5</t>
  </si>
  <si>
    <t>Freitas et al., 2020</t>
  </si>
  <si>
    <t>https://doi.org/10.1111/icad.12328</t>
  </si>
  <si>
    <t>Checa et al., 2018</t>
  </si>
  <si>
    <t xml:space="preserve">Pitfall traps and baited traps (rodents, amphibians, reptiles, terrestrial insects) </t>
  </si>
  <si>
    <t>Some research shows this method can be indicative of similar or higher species diversity compared to other methods (Bertoia et al., 2023). While others show it can lead to incomplete species lists compared to hand searching by an experienced entomologist (Knapp et al., 2020)</t>
  </si>
  <si>
    <t>Very easy to set up, but traps need to be checked and species identified</t>
  </si>
  <si>
    <t>Can be handmade for under £10</t>
  </si>
  <si>
    <t>https://doi.org/10.1007/s10841-023-00498-4</t>
  </si>
  <si>
    <t>Bertoia et al., 2023</t>
  </si>
  <si>
    <t>https://doi.org/10.1016/j.biocon.2020.108545</t>
  </si>
  <si>
    <t>Knapp et al., 2020</t>
  </si>
  <si>
    <t>Underwater netting and coring</t>
  </si>
  <si>
    <t>Kick or sweep nets (demersal and pelagic macroinvertebrate)</t>
  </si>
  <si>
    <t>Nets produce greatest abundance and diversity of macroinvertabrates compared to other common methods, such as coring (Correa-Araneda et al., 2021)</t>
  </si>
  <si>
    <t>sample will typically require preservation and identification by someone with taxonomic ID skills under microscope</t>
  </si>
  <si>
    <t>Nets are low-cost and can even be hand-made, but still need materials for preserving samples</t>
  </si>
  <si>
    <t>https://doi.org/10.1016/j.ecolind.2021.107551</t>
  </si>
  <si>
    <t>Correa-Araneda et al., 2021</t>
  </si>
  <si>
    <t>https://hub.jncc.gov.uk/assets/121b1d65-866a-47c9-ab71-7088c706770c</t>
  </si>
  <si>
    <t>(JNCC, 2022)</t>
  </si>
  <si>
    <t>Sediment cores or dredging (macroinvertabrates)</t>
  </si>
  <si>
    <t>While cores produce less abundance and diversity of species comared to netting, cores capture a different composition of species that otherwise may not be included  (Correa-Araneda et al., 2021)</t>
  </si>
  <si>
    <t>sample will typically require preservation and counting/identification by someone with taxonomic ID skills under microscope</t>
  </si>
  <si>
    <t>Financial cost depends on the depth of sediment being sampled, ranging from £200–£700 for handheld corers in shallow waters, to £500–£2,000 for Ekman grabs, Ponar grabs, or box corers in moderate depths, and upwards of £3,000–£10,000+ for piston, gravity, or multi-corers used for deep-sea sediment sampling. Costs of sample processing and collection must also be factored in (JNCC, 2022).</t>
  </si>
  <si>
    <t>Sediment cores or dredging (microinvertabrates)</t>
  </si>
  <si>
    <t>sample will typically require preservation and microscopy/DNA analysis in a laboratory (JNCC, 2022)</t>
  </si>
  <si>
    <t>Financial cost depends on the depth of sediment being sampled, ranging from £200–£700 for handheld corers in shallow waters, to £500–£2,000 for Ekman grabs, Ponar grabs, or box corers in moderate depths, and upwards of £3,000–£10,000+ for piston, gravity, or multi-corers used for deep-sea sediment sampling. Costs of samplecollection, proccessing, and DNA analysis must also be factored in (JNCC, 2022).</t>
  </si>
  <si>
    <t>Surveying plant species</t>
  </si>
  <si>
    <t>Circular plots</t>
  </si>
  <si>
    <t>Vegetation sampling errors are omnipresent (Lisner &amp; Lepš, 2020), with some studies showing that only 45-63% of all species are noticed by observers(Vittoz &amp; Guisan, 2007). However, having multiple observers, and monitoring vegetation cover in addition to species richness, can improve the reliability of records.</t>
  </si>
  <si>
    <t>Circular plots are slightly more easy to establish than rectangular plots.</t>
  </si>
  <si>
    <t>Only basic equiptment necessary (e.g. measuring tapes, ropes, stakes)</t>
  </si>
  <si>
    <t>The more plots are measured across the landscape, the more variability can be captured and the higher the accuracy, but labour and cost will increase too. Plots should be distributed across the landscape using randomization or systematic sampling and stratification.</t>
  </si>
  <si>
    <t>https://doi.org/10.1111/2041-210X.13113</t>
  </si>
  <si>
    <t>Paul et al., 2018</t>
  </si>
  <si>
    <t>https://doi.org/10.3390/f15111847</t>
  </si>
  <si>
    <t>Velasco-Bautista et al., 2024</t>
  </si>
  <si>
    <t>https://doi.org/10.1016/j.actao.2020.103667</t>
  </si>
  <si>
    <t>Lisner &amp; Lepš, 2020</t>
  </si>
  <si>
    <t>http://dx.doi.org/10.1658/1100-9233(2007)18[413:HRITMO]2.0.CO;2</t>
  </si>
  <si>
    <t>Vittoz &amp; Guisan (2007)</t>
  </si>
  <si>
    <t>Rectangular plots</t>
  </si>
  <si>
    <t>Vegetation sampling errors are omnipresent (Lisner &amp; Lepš, 2020), with some studies showing that only 45-63% of all species are noticed by observers(Vittoz &amp; Guisan, 2007). However, having multiple observers, and monitoring vegetation cover in addition to species richness, can improve the reliability of records. While some studies find no difference in outcomes between circular or rectangular plots (Velasco-Bautista et al., 2024), other studies have found that rectangular plots can be more susceptable to bias - "The placement of plot boundaries during establishment of square plots may have resulted in a subconscious tendency of field teams to include large trees inside plots when laying out these boundaries. It is concluded that estimates from the circular plots are unlikely to be biased while those from the square plots are positively biased." (Paul et al., 2018).</t>
  </si>
  <si>
    <t>Rectangular plots are slightly more difficult to set up than circular plots.</t>
  </si>
  <si>
    <t>eDNA</t>
  </si>
  <si>
    <t>Highly accurate at identifying species presence (Carvalho et al., 2021; Bálint et al., 2018). Though, eDNA's ability to identify species depends strongly on the quality of the reference database, and it may not distinguish between closely related species. Also, measures relative abundance, therefore a lot of genetic material from a single species can bias results and create noise.</t>
  </si>
  <si>
    <t>Requires exporting a sample to a specialist lab with technical training in sample processing, DNA extraction and evaluation of quality, primer selection and/or design, and bioinformatics to handle sequence data.</t>
  </si>
  <si>
    <t>eDNA metabarcoding can range from £30-150 per sample (Smart et al., 2016). Though, species detection rates are higher for eDNA compared to some traditional methods, therefore in highly biodiverse contexts, it can be more cost effective when considering data gathered per sampling event (Smart et al., 2016; Bálint et al., 2018)</t>
  </si>
  <si>
    <t>https://doi.org/10.1111/2041-210X.12598</t>
  </si>
  <si>
    <t>Smart et al., 2016</t>
  </si>
  <si>
    <t>https://doi.org/10.1111/1755-0998.12934</t>
  </si>
  <si>
    <t>Bálint et al., 2018</t>
  </si>
  <si>
    <t>https://doi.org/10.1111/1755-0998.13543</t>
  </si>
  <si>
    <t>Carvalho et al. 2021</t>
  </si>
  <si>
    <t xml:space="preserve"> Underwater transects</t>
  </si>
  <si>
    <t xml:space="preserve">Diving costs include boat rental/fuel, diving equiptment etc. can cost around £200-300 per hour of dive time (Gold et al., 2020). Though, monitoring typically requires multiple dives across multiple sites, so costs can add up quickly. Slightly more expensive than other diving options. Needs tape measures, quadrats, or markers, so slightly more gear and training required. </t>
  </si>
  <si>
    <t>more time comittment per survey than passive acoustic sensors (Coleman et al., 2014).  Audio proccessing and analysis can be difficult and time consuming (Gibb et al., 2018)</t>
  </si>
  <si>
    <t>Cost for one acoustic monitor can range from £50 to &gt;£1000, depending on the quality (Starbuck etal., 2022). Overall, more costly per unit of data than passive acoustic sensors. For example Coleman et al., (2014) spent an estimated £1,500 for 1hr of transect data, compared to £75 per 1hr of passive acoustic monitoring</t>
  </si>
  <si>
    <t>easy to set up, but audio proccessing and analysis can be difficult and time consuming (Gibb et al., 2018)</t>
  </si>
  <si>
    <t>Shown to provide similar biodiversity assessments as divers on coral reefs (Maslin et al., 2021)</t>
  </si>
  <si>
    <t>requires expertise to operate</t>
  </si>
  <si>
    <t>Very easy to set up, but traps need to be checked and species identified.</t>
  </si>
  <si>
    <t>Quite easy to use (Swann et al., 2011)</t>
  </si>
  <si>
    <t>Underwater transects</t>
  </si>
  <si>
    <t>ADD IN: Capture, mark, recapture</t>
  </si>
  <si>
    <t>Assessments of plants to determine key traits such as Phenological periods such as: Flowering time, seed maturation time etc , Seed type, size and colour, Plant height, Canopy dimensions and type, Leaf type: veins, shape, arrangement, edges, Special behaviours that confer resilience to change such as resprouting, spinosity etc.</t>
  </si>
  <si>
    <t>labour and/or equipment intensive</t>
  </si>
  <si>
    <t>Surveying animal species</t>
  </si>
  <si>
    <t xml:space="preserve">Assessment/Measurements of animals to determine: Trophic guild - e.g., herbivores, frugivores, insectivores, nectarivores (i.e., pollinators), carnivores, Feeding behaviour - i.e., what, and how much; useful for omnivorous and general species, Body size - possible through photogrammetry methods, Reproductive rate - generally from external database, Habitat associations - from direct observation, Movement behaviour - e.g., dispersal ability and home range </t>
  </si>
  <si>
    <t>time intensive</t>
  </si>
  <si>
    <t>Laboratory analysis</t>
  </si>
  <si>
    <t xml:space="preserve">laboratory analysis </t>
  </si>
  <si>
    <t>Remote sensing</t>
  </si>
  <si>
    <t>multispectral and hyperspectral optical data, LIDAR data, but sophisticated hyperspectral methods are required.</t>
  </si>
  <si>
    <t xml:space="preserve">Using remote sensing for monitoring of biodiversity and functional composition and diversity will in most cases not be sufficient to determine taxa and on the ground diversity, due to the low resolution of datasets and the high uncertainties. </t>
  </si>
  <si>
    <t>The expertise required to apply and interpret remote sensing-based analysis of biodiversity is high, and its inclusion in an M&amp;E framework only considered if there is a collaboration with a university or scientific partner</t>
  </si>
  <si>
    <t>Same question as above,</t>
  </si>
  <si>
    <t>traits are already their own section, so this is an aggregrate method</t>
  </si>
  <si>
    <t>Overall, a reliable method (Palencia et al., 2021; Miles et al, 2024). Though for monitoring animal movement, mostly applicable to larger species with external markings are unique to an individual (e.g., whale sharks), or where distinctive features such as scars are identifiable. Accuracy can be improved following best practice recommendations (Palencia et al., 2021) and opting for more expensive/professional camera trap models (Newly et al., 2015)</t>
  </si>
  <si>
    <t xml:space="preserve">Tagging &amp; Bio-telemetry </t>
  </si>
  <si>
    <t>GPS tagging</t>
  </si>
  <si>
    <r>
      <t>Shown to provide accurate, high-quality data</t>
    </r>
    <r>
      <rPr>
        <sz val="10"/>
        <color rgb="FFFF0000"/>
        <rFont val="lato"/>
      </rPr>
      <t xml:space="preserve"> </t>
    </r>
    <r>
      <rPr>
        <sz val="10"/>
        <color rgb="FF000000"/>
        <rFont val="lato"/>
      </rPr>
      <t>(Liu et al., 2018; Skupien et al., 2016)</t>
    </r>
  </si>
  <si>
    <t xml:space="preserve">Requires skills in animal tracking, animal immobilization, and GPS technology. Though, data retrieval automated and available via satellite, unlike VHF, Archival loggers, or banding, which requires retrieval. Possibly also requires collaboration with a trained professional or vet, to ensure animal welfare during the process. </t>
  </si>
  <si>
    <t xml:space="preserve"> While open source tracking collars and tags have shown to be developed for as low as £100 per collar (Foley &amp; Sillero-Zubiri, 2020; Fischer et al., 2018), commercially available trackers are much more expensive, ranging from £500-£2500 (Hebblewhite &amp; Haden, 2010).  Also, must factor in costs associated with animal tracking, immobilization, etc, which estimated to cost £2500-5000 per terriorty per year (Murgatroyd et al., 2023)</t>
  </si>
  <si>
    <t>https://doi.org/10.1111/2041-210X.13369</t>
  </si>
  <si>
    <t>Foley &amp; Sillero-Zubiri, 2020</t>
  </si>
  <si>
    <t>https://doi.org/10.7717/peerj.5320</t>
  </si>
  <si>
    <t>Liu et al., 2018</t>
  </si>
  <si>
    <t>https://doi.org/10.1098/rstb.2010.0087</t>
  </si>
  <si>
    <t>Hebblewhite &amp; Haden, 2010</t>
  </si>
  <si>
    <t>https://doi.org/10.1371/journal.pone.0199617</t>
  </si>
  <si>
    <t>Fischer et al., 2020</t>
  </si>
  <si>
    <t>https://doi.org/10.1002/wsb.697</t>
  </si>
  <si>
    <t>Skupien et al., 2016</t>
  </si>
  <si>
    <t>https://doi.org/10.1098/rsos.221447</t>
  </si>
  <si>
    <t>Murgatroyd et al., 2023</t>
  </si>
  <si>
    <t>Radio telemetry (VHF)</t>
  </si>
  <si>
    <t xml:space="preserve">VHF works best at relatively short ranges. Also, singnals are easily obstrcuted by landforms such as hills and mountains, or even vegetation, which can affect data quality and create errors in location estimates (Johansson et al., 2016). </t>
  </si>
  <si>
    <t>Requires skills in animal tracking, animal immobilization, and radio telemetry expertise. Requires active tracking by people/vehicles, sometimes over long periods; This can be particularly challenging in landscapes where terrain makes it difficult to cover the distances required to obtain reliable locations for triangulation, such as mountains (Johansson et al., 2016). Possibly aslo requires collaboration with a trained professional or vet, to ensure animal welfare during the process.</t>
  </si>
  <si>
    <t xml:space="preserve">VHF collars are cheaper than GPS (£250-£400) but use radio signals and require a receiver to locate the animal, which may add up costs over time. </t>
  </si>
  <si>
    <t>https://doi.org/10.1016/B978-0-12-802213-9.00026-2</t>
  </si>
  <si>
    <t>Johansson et al., 2016</t>
  </si>
  <si>
    <t>Archival Loggers</t>
  </si>
  <si>
    <t>Able to collect data at high resolution since since data transmission is not a constraint for archival loggers (stored on device) (Heylen &amp; Nachtsheim, 2018). Though, require recapture to access data (Sumner et al., 2009)</t>
  </si>
  <si>
    <t>It is necessary to retrieve logger to download data, which can be challenging in highly mobile species. (Heylen &amp; Nachtsheim, 2018). Though, this disadvantage can be offset by deploying archival loggers on species with high site fidelity.</t>
  </si>
  <si>
    <t xml:space="preserve">Archival loggers are cheaper than GPS tags, which also carry data transmission costs. However, cost of logger relocation and retrieval varies by species and affects overall cost. For example, Lear &amp; Whitney 2018 found that due to their high recovery rate in sharks and the reusability of  data loggers, research cost approximately $535 per shark, compared to a cost of $4200 per shark to have done the same work with satellite tags </t>
  </si>
  <si>
    <t>https://doi.org/10.1007/978-3-319-93284-2_7</t>
  </si>
  <si>
    <t>Heylen &amp; Nachtsheim, 2018</t>
  </si>
  <si>
    <t>https://doi.org/10.1371/journal.pone.0007324</t>
  </si>
  <si>
    <t>Sumner et al., 2009</t>
  </si>
  <si>
    <t>https://doi.org/10.1186/s40317-016-0105-8</t>
  </si>
  <si>
    <t>Lear &amp; Whitney 2018</t>
  </si>
  <si>
    <t>Acoustic telemetry (underwater)</t>
  </si>
  <si>
    <t>The spatial accuracy of detections is dependent on the detection range of the transmitter signal to the receiver (usually a few hundred meters) (Hellström et al., 2022). Therefore, for large scale monitoring, the number, spacing, and strength of receiver needs to be considered to allow for good quality data. The detection efficiency varies between different environments and water conditions, which represent a major limitation of acoustic telemetry (Heylen &amp; Nachtsheim, 2018).</t>
  </si>
  <si>
    <t>Requires establishment of submerged receiving stations as well as skills in animal tracking, and animal immobilization (Heylen &amp; Nachtsheim, 2018). Possibly aslo requires collaboration with a trained professional or vet, to ensure animal welfare during the process.</t>
  </si>
  <si>
    <t xml:space="preserve">Acoustic tags can range between £100 - £500 each. Though, acoustic telemetry requires large initial costs to install an receiving array (thousands of pounds), after which regular maintenance and physical data retrieval are required (Hardin et al., 2024). The cost-benefit of this approach depends on the number of individuals being monitored; Hardin et al, 2024 found that if only tracking 1 individual acoustic telemetry was 2-5 times more expensive than tracking with GPS in the short-term, and 4-8 times more expensive in the long term. However, became less expensive than GPS if tracking five or more individuals. </t>
  </si>
  <si>
    <t>https://doi.org/10.1016/j.cub.2022.05.032</t>
  </si>
  <si>
    <t>Hellström et al., 2022</t>
  </si>
  <si>
    <t>https://doi.org/10.1098/rsos.231152</t>
  </si>
  <si>
    <t>Hardin et al., 2024)</t>
  </si>
  <si>
    <t>Tagging</t>
  </si>
  <si>
    <t xml:space="preserve">Banding/Ringing </t>
  </si>
  <si>
    <t>Data is reliant on ring recoveries, which can create large gaps in data and creates biases due to low recovery rates
and spatiotemporal skews of banding efforts (Aoki &amp; Senda, 2025)</t>
  </si>
  <si>
    <t>Simple and low-tech, but requires training and permitting.</t>
  </si>
  <si>
    <t xml:space="preserve">Bands and netting to capture birds is not very costly, but training and permitting required can increase costs. </t>
  </si>
  <si>
    <t>https://doi.org/10.2326/osj.24.69</t>
  </si>
  <si>
    <t>Aoki &amp; Senda, 2025</t>
  </si>
  <si>
    <t>Seed Traps</t>
  </si>
  <si>
    <t>Litter Traps</t>
  </si>
  <si>
    <t>For some seeds, this can be an accurate measure of plant dispersal. Though, seed loss by wind or water run-off can vary greatly between trap types, seasons and plant communities, thereby influencing seed retrieval rates. Seeds can also be lost to predation and to decay caused moisture within the traps. Furthermore, there is often an underestimation  less than 2 mm in width, which can be easily mistaken for debris and soil particles (Arruda et al., 2020). Research has shown accuracy tends to decline with decreasing seed size and for seeds of darker colour (Arruda et al., 2020).</t>
  </si>
  <si>
    <t>Simple design, but requires regular checking</t>
  </si>
  <si>
    <t>Minimal costs involved to build or buy traps (Arruda et al., 2020)</t>
  </si>
  <si>
    <t>doi:10.1017/S0960258520000392</t>
  </si>
  <si>
    <t>Arruda et al., 2020</t>
  </si>
  <si>
    <t>Hydrochore traps (water-borne seeds)</t>
  </si>
  <si>
    <t>Medium*</t>
  </si>
  <si>
    <t>Seeds can be lost to predation and to decay. Furthermore, there is often an underestimation  less than 2 mm in width, which can be easily mistaken for debris and sediment particles (Arruda et al., 2020). Research has shown accuracy tends to decline with decreasing seed size and for seeds of darker colour (Arruda et al., 2020).</t>
  </si>
  <si>
    <t>Minimal costs involved to build or buy traps (Hoppenreijs et al., 2015 ; Middleton et al., 1995)</t>
  </si>
  <si>
    <t>*Difficult to find data on accuracy of these methods. So assumed to be similar to litter traps.</t>
  </si>
  <si>
    <t>https://doi.org/10.1007/s10021-025-00972-x</t>
  </si>
  <si>
    <t>Hoppenreijs et al., 2015</t>
  </si>
  <si>
    <t>https://doi.org/10.2307/2996454</t>
  </si>
  <si>
    <t>Middleton et al., 1995</t>
  </si>
  <si>
    <t xml:space="preserve">Scat Analysis </t>
  </si>
  <si>
    <t>Microscope Identification (Plant)</t>
  </si>
  <si>
    <t xml:space="preserve">Scat detection rates vary with vegetation/habitat. Though identification accuracy may be impaired by the inatactness or quality of the seeds collected. </t>
  </si>
  <si>
    <t>Requires skill in use of stereomicroscopes and identification of seeds. Also, relatively time consuming.</t>
  </si>
  <si>
    <t xml:space="preserve">Requires stereomicroscope, which typically costs several hundred pounds. If already availble, then very cheap analysis. </t>
  </si>
  <si>
    <t>doi:10.5091/plecevo.2011.472.</t>
  </si>
  <si>
    <t>D’hondt et al., 2011</t>
  </si>
  <si>
    <t>doi:10.1002/ece3.7201</t>
  </si>
  <si>
    <t>Rubalcava‐Castillo et al., (2021)</t>
  </si>
  <si>
    <t>Scat Analysis</t>
  </si>
  <si>
    <t>Genetic Identification (Plant)</t>
  </si>
  <si>
    <t>Overall, DNA analysis from scat samples are quite accurate at identifying species. Though, scat detection rates vary with vegetation/habitat and DNA can sometimes be very corroded in samples.</t>
  </si>
  <si>
    <t>Requires labratory access and technical skill for DNA analysis. Though, less time-consuming.</t>
  </si>
  <si>
    <t>Labratory access and genetic analysis required means that costs are  relatively high compared to other methods of monitoring plant dispersal</t>
  </si>
  <si>
    <t>*Assumed to be costly, but difficult to find specific estimates.</t>
  </si>
  <si>
    <t>Scan</t>
  </si>
  <si>
    <t>Very accurate if leaves are flat and fully scanned. Error increases for curled or compound leaves unless flattened carefully (Pérez-Harguindeguy et al., 2016)</t>
  </si>
  <si>
    <t>Measurements are very acessible and require little technical expertise or experience. However, many repetitions of trait measurements need to be conducted to account for intraspecific variability and to improve robustness of measurements, which can prove labour intensive</t>
  </si>
  <si>
    <t>Only basic equiptment necessary (e.g. scanner or camera)</t>
  </si>
  <si>
    <t>https://doi.org/10.1071/BT12225_CO</t>
  </si>
  <si>
    <t>Pérez-Harguindeguy et al., 2016</t>
  </si>
  <si>
    <t>Leaf Area / Leaf Mass</t>
  </si>
  <si>
    <t>Accurate and reliable method. Though accuracy drops if drying incomplete or if fresh leaves lose water during scanning. Intraspecific variation can be high, so replicate sampling matters (Pérez-Harguindeguy et al., 2016)</t>
  </si>
  <si>
    <t>Only basic equiptment necessary (e.g. scanner or camera &amp; scale)</t>
  </si>
  <si>
    <t>Pérez-Harguindeguy et al., 2017</t>
  </si>
  <si>
    <t>Leaf Mass / Leaf Area</t>
  </si>
  <si>
    <t>Accurate and reliable method. Though accuracy drops if drying incomplete or if fresh leaves lose water during scanning (Pérez-Harguindeguy et al., 2016). Often reported as more replicable than SLA.</t>
  </si>
  <si>
    <t>Pérez-Harguindeguy et al., 2018</t>
  </si>
  <si>
    <t>Leaf Dry Mass / Leaf Fresh Mass</t>
  </si>
  <si>
    <t>Less accurate and replicable than other methods. Accuracy is affected by the dehydration of leaves before weighing fresh mass. (Pérez-Harguindeguy et al., 2016).</t>
  </si>
  <si>
    <t>Measurements are very acessible and require little technical expertise or experience. However, many repetitions of trait measurements need to be conducted to account for intraspecific variability and to improve robustness of measurements, which can prove labour intensive. Also this particular method can be time consuming as leaves need to be dried in an oven for 24h at around 80 °C</t>
  </si>
  <si>
    <t>Only basic equiptment necessary (e.g. oven &amp; scale)</t>
  </si>
  <si>
    <t>Pérez-Harguindeguy et al., 2019</t>
  </si>
  <si>
    <t>Wood Dry Weight / Wood Volume</t>
  </si>
  <si>
    <t>water-displacement method for volume</t>
  </si>
  <si>
    <t xml:space="preserve">An accurate, reliable and replicable method if sample volume is measured carefully (Fajardo et al., 2023);  Air bubbles, irregular shapes, and incomplete drying can be sources of error. </t>
  </si>
  <si>
    <t xml:space="preserve">Measurements are very acessible and require little technical expertise or experience. However, many repetitions of trait measurements need to be conducted to account for intraspecific variability and to improve robustness of measurements, which can prove labour intensive. Also this particular method can be time consuming as wood needs to be dried in an oven 101 °C for 72 h </t>
  </si>
  <si>
    <t>Pérez-Harguindeguy et al., 2020</t>
  </si>
  <si>
    <t>https://doi.org/10.1093/aob/mcaf093</t>
  </si>
  <si>
    <t>Fajardo et al., 2023</t>
  </si>
  <si>
    <t>geometric method for volume</t>
  </si>
  <si>
    <t>Less accurate and more variable in determining volume compared to water displacement method (Fajardo et al., 2023)</t>
  </si>
  <si>
    <t>Pérez-Harguindeguy et al., 2021</t>
  </si>
  <si>
    <t>Pierce method</t>
  </si>
  <si>
    <t xml:space="preserve">Accuracy depends on the precision and accuracy of the input traits (SLA, LMA, LDMC ). </t>
  </si>
  <si>
    <t>This method requires the measurment of Specific Leaf Area, Leaf Mass Area, and Leaf Dry Matter Content, to classfy plants Measurements are very acessible and require little technical expertise or experience. However, many repetitions of trait measurements need to be conducted to account for intraspecific variability and to improve robustness of measurements, which can prove labour intensive. Also this particular method can be time consuming as leaves need to be dried in an oven for 24h at around 80 °C</t>
  </si>
  <si>
    <t>not mentioned in handbook</t>
  </si>
  <si>
    <t>Allometric Equations (via vegetation structure surveys)</t>
  </si>
  <si>
    <t>Very accessible method. Though, can prove time-consuming for estimating above ground biomass over large areas (Juan-Ovejero et al., 2023). Circular plots are slightly more easy to establish than rectangular plots.</t>
  </si>
  <si>
    <t>https://doi.org/10.1186/s13595-023-01210-x</t>
  </si>
  <si>
    <t>Juan-Ovejero et al., 2023</t>
  </si>
  <si>
    <t>Very accessible method. Though, can prove time-consuming for estimating above ground biomass over large areas (Juan-Ovejero et al., 2023)Rectangular plots are slightly more difficult to set up than circular plots.</t>
  </si>
  <si>
    <t xml:space="preserve">Satellite imagery </t>
  </si>
  <si>
    <t>Multispectral Satellite Imaging Platforms (e.g. Sentinel, Landsat)</t>
  </si>
  <si>
    <t>Low spatial resolution (~30m)(Zhu et al., 2022). Less accurate/reported NDVI lower than local analyses (Miller et al., 2024)</t>
  </si>
  <si>
    <t>Requires GIS expertise. But ready to download and integrate into GIS. Minimal preprocessing</t>
  </si>
  <si>
    <t>Typically free and quick to use but requires training.</t>
  </si>
  <si>
    <t>https://doi.org/10.1016/j.crope.2023.11.001</t>
  </si>
  <si>
    <t>Miller et al., 2024</t>
  </si>
  <si>
    <t>UAV photogrammetry</t>
  </si>
  <si>
    <t>Visible Light Imaging (RGB)</t>
  </si>
  <si>
    <t>When using structure-from-motion photogrammetry, UAV RGB imagery has shown to be an accurate method for assessing above ground biomass (Juan-Ovejero et al., 2023). Though, the quality and viability of acquired imagery and data will largely depend on those operation parameters and on how the flights are performed (Castro et al., 2021)</t>
  </si>
  <si>
    <t>Requires piloting skills. Technical expertise for analysis. Though, cheaper and easier to use than LiDAR (Castro et al., 2021)</t>
  </si>
  <si>
    <t>Good quality UAVs with RGB cameras typicall range between £300-£1,000</t>
  </si>
  <si>
    <t>https://doi.org/10.3390/f11020241</t>
  </si>
  <si>
    <t>Jin et al., 2020</t>
  </si>
  <si>
    <t>https://doi.org/10.3390/rs13112139</t>
  </si>
  <si>
    <t>Castro et al., 202</t>
  </si>
  <si>
    <t>https://doi.org/10.1080/10106049.2024.2390512</t>
  </si>
  <si>
    <t>Matyukira et al., 2024</t>
  </si>
  <si>
    <t>UAV Multispectral Imaging</t>
  </si>
  <si>
    <t>Found to be more stable and accurately estimating canopy cover than RGB (Ashapure et al., 2019) . Though, "the quality and viability of acquired imagery and data will largely depend on those operation parameters and on how the flights are performed" (Castro et al., 2021)</t>
  </si>
  <si>
    <t>UAVs with multispectral sensors typically cost £3,000-£10,000.</t>
  </si>
  <si>
    <t>https://doi.org/10.3390/f11020242</t>
  </si>
  <si>
    <t>Jin et al., 2021</t>
  </si>
  <si>
    <t>https://doi.org/10.3390/rs11232757</t>
  </si>
  <si>
    <t>Ashapure et al., 2019</t>
  </si>
  <si>
    <t>LiDAR</t>
  </si>
  <si>
    <t>UAV-LiDAR</t>
  </si>
  <si>
    <t>Shown to be highly accurate for measuring aboveground biomass compared to other sensing methods (Zolkos et al., 2013)</t>
  </si>
  <si>
    <t xml:space="preserve">Requires piloting skills. Technical expertise for analysis. </t>
  </si>
  <si>
    <t xml:space="preserve">LiDAR UAV systems can cost between £10,000-£100,000 </t>
  </si>
  <si>
    <t>https://doi.org/10.1016/j.ufug.2017.12.001</t>
  </si>
  <si>
    <t>Ucar et al., 2018</t>
  </si>
  <si>
    <t>https://e38surveysolutions.com/pages/drone-lidar-price-guide?srsltid=AfmBOoqP2BBX_uqOpQjfvvK-CF9WcYQ3LEum4a9H5RNpMJq5t444DshY</t>
  </si>
  <si>
    <t>https://doi.org/10.1109/JSTARS.2017.2711482</t>
  </si>
  <si>
    <t>Ma et al., 2017</t>
  </si>
  <si>
    <t>https://doi.org/10.1016/j.rse.2012.10.017</t>
  </si>
  <si>
    <t>Zolkos et al., 2013</t>
  </si>
  <si>
    <t xml:space="preserve">Aerial LiDAR </t>
  </si>
  <si>
    <t>Requires outsourcing and specialist analysis.</t>
  </si>
  <si>
    <t>Airborne LiDAR surveys are expensive, with some studies showing total flight costs to be around £60,000(Hummel et al., 2011)</t>
  </si>
  <si>
    <t>http://dx.doi.org/10.1093/jof/109.5.267</t>
  </si>
  <si>
    <t>Hummel et al., 2011</t>
  </si>
  <si>
    <t>Public LiDAR Datasets (GEDI, ICESat-2, etc.)</t>
  </si>
  <si>
    <t>Relatively coarse data compared to  UAV or Aerial LiDAR data. Provides data on  vertical profiles at 10-25m resolution (Davison et al., 2023; Assmann et al., 2022)</t>
  </si>
  <si>
    <t>Readily availble data-sets, but requires technical expertise.</t>
  </si>
  <si>
    <t xml:space="preserve">Readily availble data-sets, typically free to access. </t>
  </si>
  <si>
    <t>https://doi.org/10.1111/1365-2656.13945</t>
  </si>
  <si>
    <t>Davison et al., 2023</t>
  </si>
  <si>
    <t>https://doi.org/10.5194/essd-14-823-2022</t>
  </si>
  <si>
    <t>Assmann et al., 2022</t>
  </si>
  <si>
    <t>Radar</t>
  </si>
  <si>
    <t>Synthetic aperture radar datasets</t>
  </si>
  <si>
    <t>High spatial resolution. However, radar loses sensitivity with increasing biomass and not as accurate as LiDAR (Zolkos et al., 2013)</t>
  </si>
  <si>
    <t>Data is ready to download. Though, high level of technical expertise for analysis.</t>
  </si>
  <si>
    <t>Free, open-access datasets exists (e.g. Sentinel-1), wheras commercial (higher resolution) radar data can range from £1,500 and £10,000 for 100x100km data set (Sinha et al., 2015)</t>
  </si>
  <si>
    <t>https://doi.org/10.1007/s13762-015-0750-0</t>
  </si>
  <si>
    <t>Sinha et al., 2015</t>
  </si>
  <si>
    <t>Indirect/Non-destructive methods</t>
  </si>
  <si>
    <t>Biomass Expansion Factors (via vegetation structure surveys)</t>
  </si>
  <si>
    <t>Conversions are a rough estimate, with some studies have shown predition errors of 15-39%  (Huynh et al., 2021). Though shown to be accurate in some other studies (Pati et al., 2022). Vegetation sampling errors are omnipresent (Lisner &amp; Lepš, 2020), with some studies showing that only 45-63% of all species are noticed by observers(Vittoz &amp; Guisan, 2007). However, having multiple observers, and monitoring vegetation cover in addition to species richness, can improve the reliability of records.</t>
  </si>
  <si>
    <t>Very accessible method. Though, can prove time-consuming for estimating below ground biomass over large areas (Juan-Ovejero et al., 2023).</t>
  </si>
  <si>
    <t>https://doi.org/10.1016/j.tfp.2022.100289</t>
  </si>
  <si>
    <t>Pati et al., 2022</t>
  </si>
  <si>
    <t>https://doi.org/10.1016/j.mex.2020.101192</t>
  </si>
  <si>
    <t>Huynh et al., 2021</t>
  </si>
  <si>
    <t>Species-specific allometric equations can provide realtively accurate estimates of below-ground biomass (Nogueira Lisboa et al., 2025). Though, the variability of estimates can be large when generalized data sets are applied to estimating root biomass (Sochacki et al., 2017). Vegetation sampling errors are omnipresent (Lisner &amp; Lepš, 2020), with some studies showing that only 45-63% of all species are noticed by observers(Vittoz &amp; Guisan, 2007). However, having multiple observers, and monitoring vegetation cover in addition to species richness, can improve the reliability of records.</t>
  </si>
  <si>
    <t xml:space="preserve">Very accessible method. Though, can prove time-consuming for estimating below ground biomass over large areas (Juan-Ovejero et al., 2023). </t>
  </si>
  <si>
    <t>https://doi.org/10.1038/s41598-025-87297-w</t>
  </si>
  <si>
    <t>Nogueira Lisboa et al., 2025</t>
  </si>
  <si>
    <t>https://doi.org/10.1016/j.ecoleng.2016.11.004</t>
  </si>
  <si>
    <t>Sochacki et al., 2017</t>
  </si>
  <si>
    <t>Ground penetrating radar</t>
  </si>
  <si>
    <t>Reasonable accuracy for estimating below-ground biomass (Guo et al., 2013). Though, successful GPR is site specific, and only under suitable conditions can reliable measurements be accomplished (Guo et al., 2013) . The best quality of root detection by GPR is achieved in well-drained and electrically-resistive soils (such as sands) under dry conditions. Numerous factors such as local soil conditions, root electromagnetic properties, and GPR antenna frequency can impact the reliability and accuracy of GPR detection and quantification of coarse roots (Guo et al., 2013) .</t>
  </si>
  <si>
    <t xml:space="preserve">Data is instantaneously obtained and can be obtained over large extents in short amount of time. </t>
  </si>
  <si>
    <t>Very expensive, with equiptment typically ranging between £15,000 -  25,000</t>
  </si>
  <si>
    <t>https://doi.org/10.1007/s11104-012-1455-5</t>
  </si>
  <si>
    <t>Guo et al., 2013</t>
  </si>
  <si>
    <t>Direct/Destructive methods</t>
  </si>
  <si>
    <t>Root excavation (larger, coarse roots)</t>
  </si>
  <si>
    <t xml:space="preserve">Direct and accurate measure of BGB, dependin on tree size; It is difficult to obtain accurate samples for large trees which often have deep and widespread roots (Huynh et al., 2021). Can be used to develop allometric equations for further research (Huynh et al., 2021). </t>
  </si>
  <si>
    <t>Extremely labor-intensive and slow process. Also, destructive.</t>
  </si>
  <si>
    <t>Requires equiptement for root excavation (excavator for large trees) and possibly high labour costs (Huynh et al., 2021)</t>
  </si>
  <si>
    <t>Coring (finer, smaller roots)</t>
  </si>
  <si>
    <t>Can be a relatively relaible measure of BGB for smaller individuals (Levillain et al., 2011)</t>
  </si>
  <si>
    <t>Requires labratory access for weighing and drying samples. Can prove time-consuming for estimating below ground biomass over large areas (Juan-Ovejero et al., 2023). Also destructive.</t>
  </si>
  <si>
    <t>Minimal tools required: sediment corer and access to oven and scale for drying and weighing</t>
  </si>
  <si>
    <t>https://doi.org/10.1093/aob/mcr102</t>
  </si>
  <si>
    <t>Levillain et al., 2011</t>
  </si>
  <si>
    <t>Infra-red gas analyser</t>
  </si>
  <si>
    <t>Closed Dynamic Chambers (Flow-Through-non-steady-state Chambers)</t>
  </si>
  <si>
    <t>An accurate and precise method. Though, closed dynbamic chambers can be prone to underestimation  (Pihlatie., 2013). Increasing chamber height, area and volume can significantly reduce flux underestimation (Pihlatie., 2013). Also, the use of non-linear flux calculation significantly reduces flux underestimation (Pihlatie., 2013).</t>
  </si>
  <si>
    <t>Requires technical expertise to deploy and troubleshoot and may require periodic calibration.</t>
  </si>
  <si>
    <t>Commercial devices range between £10,000 - 50,000 (Longo et al., 2025). Require online gas analysers with a higher measurement frequency (Maeir et al., 2022). Though, DIY Builds have been made for ~£370 (Longo et al., 2025).</t>
  </si>
  <si>
    <t>https://doi.org/10.1016/j.agrformet.2012.11.008</t>
  </si>
  <si>
    <t>Pihlatie., 2013</t>
  </si>
  <si>
    <t>https://doi.org/10.1002/jpln.202200199</t>
  </si>
  <si>
    <t>Maeir et al., 2022</t>
  </si>
  <si>
    <t>https://doi.org/10.1016/j.agrformet.2003.12.001</t>
  </si>
  <si>
    <t>Pumpanen et al., 2004</t>
  </si>
  <si>
    <t>https://doi.org/10.1016/j.atech.2025.100907</t>
  </si>
  <si>
    <t>Longo et al., 2025</t>
  </si>
  <si>
    <t>Open Dynamic Chambers (steady-state through-flow chamber)</t>
  </si>
  <si>
    <t>An accurate and precise method. Though, steady state chambers can be prone to overestimatation of fluxes, but these tend to be very small overestimations (Pumpanen et al., 2004)</t>
  </si>
  <si>
    <t>High*</t>
  </si>
  <si>
    <r>
      <rPr>
        <b/>
        <sz val="11"/>
        <color rgb="FF000000"/>
        <rFont val="Aptos Narrow"/>
      </rPr>
      <t xml:space="preserve">*1. </t>
    </r>
    <r>
      <rPr>
        <sz val="11"/>
        <color rgb="FF000000"/>
        <rFont val="Aptos Narrow"/>
      </rPr>
      <t>Very hard to find information on costs (most retailers require quote requests to see price). Estimated to be high, as equipment is similar to that of Closed Dynamic Chambers.</t>
    </r>
  </si>
  <si>
    <t>Gas chromatography</t>
  </si>
  <si>
    <t>Static Chambers (Non-flow-through-non-steady-state chambers)</t>
  </si>
  <si>
    <t>With static chambers, potential errors due to sampling and gas sample storage have to be considered (Maeir et al., 2022). Also, can be prone to underestimation. Increasing chamber height, area and volume can significantly reduce flux underestimation (Pihlatie., 2013). Also, the use of non-linear flux calculation significantly reduces flux underestimation (Pihlatie., 2013).</t>
  </si>
  <si>
    <t>Needs to be sampled manually in the field and subsequently analyzed off-site using gas chromatographic methods (Pihlatie., 2013)</t>
  </si>
  <si>
    <t>Relatively inexpensive to make DIY (£150-370). Though, requires access to labs for gas analysis (Maeir et al., 2022). Analysis of gas samples typically range between £10-30 per sample.</t>
  </si>
  <si>
    <t>no further detail mentioned in handbook</t>
  </si>
  <si>
    <t>Vegetation Structure Surveys</t>
  </si>
  <si>
    <t xml:space="preserve">Vegetation Structure Surveys </t>
  </si>
  <si>
    <t>seedlings/m3</t>
  </si>
  <si>
    <t>Satellite imagery</t>
  </si>
  <si>
    <t>Locally trained LULC maps</t>
  </si>
  <si>
    <t>high-resolution and high-accuracy (Vallet et al., 2024)</t>
  </si>
  <si>
    <t>More complex than using off-the-shelf datasets. LULC classification requires field work and initial expert knowledge for remote sensing data processing and creation of classifiers.</t>
  </si>
  <si>
    <t xml:space="preserve">Cost due to the technical expertise, validation, and field work required. But useful for long-term monitoring. </t>
  </si>
  <si>
    <r>
      <rPr>
        <b/>
        <sz val="11"/>
        <color rgb="FF000000"/>
        <rFont val="Aptos Narrow"/>
        <scheme val="minor"/>
      </rPr>
      <t>*1.</t>
    </r>
    <r>
      <rPr>
        <sz val="11"/>
        <color rgb="FF000000"/>
        <rFont val="Aptos Narrow"/>
        <scheme val="minor"/>
      </rPr>
      <t xml:space="preserve"> The accuracy of these methods are highly scale dependent. UAV-imagery, UAV-LiDAR, and vegetation plots work best at a local/small scale. Aerial LiDAR and Off-the-shelf LULC datasets are more suited to landscape scale analysis. Locally trained LULC maps sit somewhere in the middle.</t>
    </r>
  </si>
  <si>
    <t>https://doi.org/10.1038/s41597-024-03750-x</t>
  </si>
  <si>
    <t>Vallet et al., 2024</t>
  </si>
  <si>
    <t>Off-the-shelf LULC datasets</t>
  </si>
  <si>
    <t>Medium-Low*</t>
  </si>
  <si>
    <t xml:space="preserve">Off the shelf datasets tend to have low accuracy for estimating vegetation cover (Tang et al., 2019), as they are often not able to distinguish between different, but similar, land-use types (e.g. tree plantation vs. forest). Therefore might often not allow monitoring processes at the correct appropriate scale. </t>
  </si>
  <si>
    <t>Requires GIS expertise. But Ready to download and integrate into GIS. Minimal preprocessing</t>
  </si>
  <si>
    <t>https://doi.org/10.1016/j.agrformet.2019.01.024</t>
  </si>
  <si>
    <t>Tang et al., 2019</t>
  </si>
  <si>
    <t>Medium-High*</t>
  </si>
  <si>
    <t>UAV RGB imagery has shown to be an accurate method for assessing canopy cover(Jin et al., 2020). Though, some studies show that it sometimes can be less accurate than mutltispectral methods (Ashapure et al., 2019). Also"the quality and viability of acquired imagery and data will largely depend on those operation parameters and on how the flights are performed" (Castro et al., 2021</t>
  </si>
  <si>
    <t xml:space="preserve">LiDAR has shown to be very accurate for assessing vegetation cover (Ucar et al., 2018; Ma et al., 2016). </t>
  </si>
  <si>
    <t>LiDAR has shown to be very accurate for assessing vegetation cover (Ucar et al., 2018; Ma et al., 2016).</t>
  </si>
  <si>
    <t>Requires outsourcing and specialist analysis</t>
  </si>
  <si>
    <t>Circular plots are slightly more easy to establish than rectangular plots. Can be very time consuming to carry out.</t>
  </si>
  <si>
    <t xml:space="preserve">Rectangular plots are slightly more difficult to set up than circular plots. Can be very time consuming to carry out. </t>
  </si>
  <si>
    <t>handbook mentions landuse classes, but not specifically vegetation classes. same thing?</t>
  </si>
  <si>
    <t>not mentioned in handbook- same methods as other biomass indicators?</t>
  </si>
  <si>
    <t>not mentioned in handbook - same methods as other biomass indicators?</t>
  </si>
  <si>
    <t>Soil respiration chambers and infra-red gas analysers</t>
  </si>
  <si>
    <t>Can produce canopy height models, though, accuracy drops in dense canopy because can’t penetrate understory. The quality of imagery and data will largely depend on  how the flights are performed (Castro et al., 2021</t>
  </si>
  <si>
    <t>Requires piloting skills. Technical expertise for analysis. Though, easier to use than LiDAR (Castro et al., 2021)</t>
  </si>
  <si>
    <r>
      <rPr>
        <b/>
        <sz val="11"/>
        <color rgb="FF000000"/>
        <rFont val="Aptos Narrow"/>
      </rPr>
      <t>*1.</t>
    </r>
    <r>
      <rPr>
        <sz val="11"/>
        <color rgb="FF000000"/>
        <rFont val="Aptos Narrow"/>
      </rPr>
      <t xml:space="preserve"> The accuracy of these methods are highly scale dependent. UAV-imagery, UAV-LiDAR, and vegetation plots work best at a local/small scale. Aerial LiDAR is more suited to landscape scale analysis. Locally trained LULC maps sit somewhere in the middle.</t>
    </r>
  </si>
  <si>
    <t xml:space="preserve">UAV-mounted LiDAR has shown to be very accurate for assessing vegetation cover (Guo et al., 2017; Almeida et al., 2019), with resolutions ranging between 2-10cm. </t>
  </si>
  <si>
    <t>https://doi.org/10.1016/j.ecoinf.2017.01.005</t>
  </si>
  <si>
    <t>Guo et al., 2017</t>
  </si>
  <si>
    <t>Aerial LiDAR has shown to be very accurate for assessing vegetation structure  (Guo et al., 2017), with resolutions ranging between 25 cm to 2 meters.</t>
  </si>
  <si>
    <t>https://doi.org/10.1016/j.jag.2019.03.014</t>
  </si>
  <si>
    <t>Almeida et al., 2019</t>
  </si>
  <si>
    <t>Relatively coarse data compared to  UAV or Aerial LiDAR data. Provides data on canopy height and vertical profiles at 10-25m resolution (Davison et al., 2023; Assmann et al., 2022)</t>
  </si>
  <si>
    <t>Can produce canopy height models, though, accuracy drops in dense canopy because  can’t penetrate understory. The quality of imagery and data will largely depend on  how the flights are performed (Castro et al., 2021</t>
  </si>
  <si>
    <t>High-resolution and high-accuracy (Vallet et al., 2024)</t>
  </si>
  <si>
    <t>mentioned in handbook, but no clear methods</t>
  </si>
  <si>
    <t>μmoles CO2/h/m3</t>
  </si>
  <si>
    <t>μmoles CO2/h/m4</t>
  </si>
  <si>
    <t>ha or km3</t>
  </si>
  <si>
    <t xml:space="preserve">Have been shown to be accurate for mapping  various climate hazards including landslides and flooding (Ghalehteimouri et al., 2024; Roccati el al., 2021). However, they are often not able to distinguish between different, but similar, land-use types (e.g. tree plantation vs. forest). Therefore might often not allow monitoring processes at the correct appropriate scale. </t>
  </si>
  <si>
    <t>https://doi.org/10.1016/j.chnaes.2023.06.007</t>
  </si>
  <si>
    <t>Ghalehteimouri et al., 2024</t>
  </si>
  <si>
    <t>https://doi.org/10.3390/land10020162</t>
  </si>
  <si>
    <t>Rocatti et al., 2021</t>
  </si>
  <si>
    <t>UAV RGB imagery has shown to be an accurate method for assessing canopy cover(Jin et al., 2020). Though, some studies show that it sometimes can be less accurate than mutltispectral methods (Ashapure et al., 2019). Though, can’t cover large areas, but they provide a different dataset with high resolution. Also "the quality and viability of acquired imagery and data will largely depend on those operation parameters and on how the flights are performed" (Castro et al., 2021</t>
  </si>
  <si>
    <t>Can’t cover large areas, but they provide a different dataset with high resolution (Gomez &amp; Purdie, 2016). Found to be more stable and accurate at estimating canopy cover than RGB (Ashapure et al., 2019) . Though, "the quality and viability of acquired imagery and data will largely depend on those operation parameters and on how the flights are performed" (Castro et al., 2021)</t>
  </si>
  <si>
    <t>https://doi.org/10.1186/s40677-016-0060-y</t>
  </si>
  <si>
    <t>Gomez &amp; Purdie, 2016</t>
  </si>
  <si>
    <t>LiDAR has shown to be very accurate for assessing vegetation cover (Ucar et al., 2018; Ma et al., 2016), and has been shown to predict landslide risks with &gt;80% accuracy (Abdulwahid &amp; Pradhan, 2016)</t>
  </si>
  <si>
    <t>https://doi.org/10.1007/s10346-016-0744-0</t>
  </si>
  <si>
    <t>Abdulwahid &amp; Pradhan, 2016</t>
  </si>
  <si>
    <t>Thermal sensing</t>
  </si>
  <si>
    <t>UAV-mounted thermal cameras*</t>
  </si>
  <si>
    <t>High accuracy of fire detection, as not affected by light conditions and vegetation occlusion (Zhang et al., 2025)</t>
  </si>
  <si>
    <t>Requires piloting skills. Technical expertise for analysis. Analysis is more complex than with RGB data.</t>
  </si>
  <si>
    <t>UAVs equipped with thermal sensors suitable for fire monitoring typically range between  £4,000 to over £20,000. Cheaper models can be purchased (~1,000), but may not be sufficient in quality/resolution</t>
  </si>
  <si>
    <t>*Combining RGB + Thermal cameras provides the best results with higher accuracy than either RGB or thermal alone (Zhang et al. 2025)</t>
  </si>
  <si>
    <t>https://www.dronesdirect.co.uk/p/cp.en.00000415.01/dji-mavic-3-thermal-enterprise-drone</t>
  </si>
  <si>
    <t>https://doi.org/10.3390/rs17152593</t>
  </si>
  <si>
    <t>Zhang et al., 2025</t>
  </si>
  <si>
    <t>Satellite active fire products (e.g., MODIS MCD14ML, VIIRS active fire)</t>
  </si>
  <si>
    <t>Good for large‐scale monitoring but typically has coarse spatial resolution and is susceptable to atmospheric effects. The low spatial/temporal image resolution makes fire detection in real-time difficult (Duangsuwan &amp; Klubsuwan., 2023) and inadequate for detection of fires when they are small and developing (Allison et al., 2016)</t>
  </si>
  <si>
    <t>Requires basic GIS skills. But Ready to download and integrate into GIS. Minimal preprocessing</t>
  </si>
  <si>
    <t>Typically free and quick to use.</t>
  </si>
  <si>
    <t>https://doi.org/10.3390/f14091852</t>
  </si>
  <si>
    <t>Duangsuwan &amp; Klubsuwan., 2023</t>
  </si>
  <si>
    <t>https://doi.org/10.3390/s16081310</t>
  </si>
  <si>
    <t>Allison et al., 2016</t>
  </si>
  <si>
    <t>Hydro-meteorological models (E.G. HEC-RAS, LISFLOOD, SWAT, storm surge models)</t>
  </si>
  <si>
    <t>Weather models can be useful to create spatially continuous datasets over the landscape scale. However, accuracy relies on the quality of input data and calibration (Praskievicz et al., 2020). Also found to be less accurate than models created using LIDAR data (McClean et al., 2020)</t>
  </si>
  <si>
    <t>Requires high levels of technical expertise in GIS</t>
  </si>
  <si>
    <t>Models are typically are free or open-source. Though, there may be costs involved in accessing or acquiring input data.</t>
  </si>
  <si>
    <t>https://doi.org/10.2166/hydro.2020.005</t>
  </si>
  <si>
    <t>Praskievicz et al., 2020</t>
  </si>
  <si>
    <t>https://doi.org/10.1029/2020WR028241</t>
  </si>
  <si>
    <t>McClean et al., 2020</t>
  </si>
  <si>
    <t>Microclimate sensor</t>
  </si>
  <si>
    <t xml:space="preserve">Direct measurements can give accurate, and continous data on-the-ground data, but may be limited in applications over large spatial scale. Accuracy varies depending on quality of sesnors used. </t>
  </si>
  <si>
    <t>The installation of microclimate sensors is simple and does not require extensive technical expertise, while the analysis of microclimate data requires coding and analytical skills. It also requires regular checking for maintenance, as sensors can become dysfunctional, run out of battery, or need replacing (Rebaudo et al., 2023)</t>
  </si>
  <si>
    <t xml:space="preserve">Microclimate sensors have been developed for less than 100 per unit (Mühlbauer et al., 2023). Commercial micoclimate sensors typically range between £100-200. Though, it is important to consider that a sensor network, whilst cost efficient, can be subject to vandalism and theft, which can incur additional costs. </t>
  </si>
  <si>
    <t>https://appliedecologistsblog.com/2023/09/01/cheap-microclimate-sensor-networks-in-the-wild/</t>
  </si>
  <si>
    <t>Mühlbauer et al., 2023</t>
  </si>
  <si>
    <t>https://doi.org/10.1111/2041-210X.14062</t>
  </si>
  <si>
    <t>Rebaudo et al., 2023</t>
  </si>
  <si>
    <t>Participatory mapping</t>
  </si>
  <si>
    <t>Particapatory mapping is excellent for community engagement (Laituri et al., 2023) and local knowldege often provides insights that would not be captured by traditional scientific methods and improves data credibility (Vergara-Asenjo et al., 2015;  Kafas et al., 2017) . Though the accuracy and reliability of such data is influenced by participant bias, sampling strategies, and monitoring methodologies (Dickson et al., 2025). Such inaccuracies in the observations and reporting of the species will impact the overall findings of the report (Dickson et al., 2025)</t>
  </si>
  <si>
    <t>Need to have good conversational and leadership skills to facilitate group dynamics. Skill in GIS may be required.</t>
  </si>
  <si>
    <t>Relatively low cost. Though, requires materials to carry out mapping workshops, and time-intensive.</t>
  </si>
  <si>
    <t>https://doi.org/10.1007/s40974-025-00369-5</t>
  </si>
  <si>
    <t>Dickson et al., 2025</t>
  </si>
  <si>
    <t>https://doi.org/10.1016/j.apgeog.2023.102900</t>
  </si>
  <si>
    <t>Laituri et al., 2023</t>
  </si>
  <si>
    <t>https://doi.org/10.1111/conl.12161</t>
  </si>
  <si>
    <t>Vergara-Asenjo et al., 2015</t>
  </si>
  <si>
    <t>https://doi.org/10.1016/j.marpol.2017.01.009</t>
  </si>
  <si>
    <t>Kafas et al., 2017</t>
  </si>
  <si>
    <r>
      <rPr>
        <sz val="10"/>
        <color rgb="FF000000"/>
        <rFont val="lato"/>
      </rPr>
      <t>Shown to provide accurate, high-quality data</t>
    </r>
    <r>
      <rPr>
        <sz val="10"/>
        <color rgb="FFFF0000"/>
        <rFont val="lato"/>
      </rPr>
      <t xml:space="preserve"> </t>
    </r>
    <r>
      <rPr>
        <sz val="10"/>
        <color rgb="FF000000"/>
        <rFont val="lato"/>
      </rPr>
      <t>(Liu et al., 2018; Skupien et al., 2016)</t>
    </r>
  </si>
  <si>
    <t>Genetic analysis required means that costs are  relatively high compared to other methods of monitoring plant dispersal*</t>
  </si>
  <si>
    <t>Allometric Equations (via vegetation structure surveys)*</t>
  </si>
  <si>
    <r>
      <rPr>
        <sz val="11"/>
        <color rgb="FF000000"/>
        <rFont val="Lato"/>
      </rPr>
      <t xml:space="preserve">*Applicable to measuring </t>
    </r>
    <r>
      <rPr>
        <b/>
        <i/>
        <sz val="11"/>
        <color rgb="FF000000"/>
        <rFont val="Lato"/>
      </rPr>
      <t>above ground</t>
    </r>
    <r>
      <rPr>
        <b/>
        <sz val="11"/>
        <color rgb="FF000000"/>
        <rFont val="Lato"/>
      </rPr>
      <t xml:space="preserve"> carbon stocks stored in vegetation</t>
    </r>
  </si>
  <si>
    <t>Satellite imagery *</t>
  </si>
  <si>
    <t>UAV photogrammetry*</t>
  </si>
  <si>
    <t>LiDAR*</t>
  </si>
  <si>
    <t>Radar*</t>
  </si>
  <si>
    <t>High spatial resolution (25–100 m). However, radar loses sensitivity with increasing biomass and not as accurate as LiDAR (Zolkos et al., 2013)</t>
  </si>
  <si>
    <t>Indirect/Non-destructive methods*</t>
  </si>
  <si>
    <r>
      <rPr>
        <sz val="11"/>
        <color rgb="FF000000"/>
        <rFont val="Lato"/>
      </rPr>
      <t xml:space="preserve">*Applicable to measuring </t>
    </r>
    <r>
      <rPr>
        <b/>
        <i/>
        <sz val="11"/>
        <color rgb="FF000000"/>
        <rFont val="Lato"/>
      </rPr>
      <t>below ground</t>
    </r>
    <r>
      <rPr>
        <b/>
        <sz val="11"/>
        <color rgb="FF000000"/>
        <rFont val="Lato"/>
      </rPr>
      <t xml:space="preserve"> carbon stocks stored in vegetation</t>
    </r>
  </si>
  <si>
    <t>Direct/Destructive methods*</t>
  </si>
  <si>
    <t>Soil colour analysis*</t>
  </si>
  <si>
    <t xml:space="preserve">Soil organic matter concentrations are reflected by variations in soil color, but accurately quantifying changes in SOC stocks is difficult (Conant et al., 200). </t>
  </si>
  <si>
    <t>Based on visual observation. Little to no-equiptment required.</t>
  </si>
  <si>
    <r>
      <rPr>
        <sz val="11"/>
        <color rgb="FF000000"/>
        <rFont val="Aptos Narrow"/>
        <scheme val="minor"/>
      </rPr>
      <t>*Applicable to measuring carbon stocks in</t>
    </r>
    <r>
      <rPr>
        <b/>
        <i/>
        <sz val="11"/>
        <color rgb="FF000000"/>
        <rFont val="Aptos Narrow"/>
        <scheme val="minor"/>
      </rPr>
      <t xml:space="preserve"> soil</t>
    </r>
  </si>
  <si>
    <t>https://doi.org/10.1890/090153</t>
  </si>
  <si>
    <t>Conant et al., 2011</t>
  </si>
  <si>
    <t>https://www.gov.wales/review-best-practice-soil-organic-carbon-monitoring</t>
  </si>
  <si>
    <t>(Rollet &amp; Williams, 2020)</t>
  </si>
  <si>
    <t>https://apps.worldagroforestry.org/soc/3.2.%20Cost-error%20analysis.html</t>
  </si>
  <si>
    <t>IPCC, 2003</t>
  </si>
  <si>
    <t>Loss-on-Ignition Method*</t>
  </si>
  <si>
    <t>No standard protocol exists for LOI analysis. Variable results depending on soil type, ignition temperature, duration of ignition and ignited sample mass (Rollet &amp; Williams, 2020)</t>
  </si>
  <si>
    <t>Requires access to labratory for analysis</t>
  </si>
  <si>
    <t xml:space="preserve">Labs can charge between £10-20 per sample  (Rollet &amp; Williams, 2020). Costs may add up depending on amount of samples required analysis. </t>
  </si>
  <si>
    <t>https://doi.org/10.1890/090154</t>
  </si>
  <si>
    <t>Conant et al., 2012</t>
  </si>
  <si>
    <t>Automated Dry Combustion*</t>
  </si>
  <si>
    <t>Standard method, with high accuracy (Rollet &amp; Williams, 2020)</t>
  </si>
  <si>
    <t>https://doi.org/10.1890/090155</t>
  </si>
  <si>
    <t>Conant et al., 2013</t>
  </si>
  <si>
    <t>Dichromate-Oxidation (Walkley–Black)*</t>
  </si>
  <si>
    <t>Low accuracy. Depending on soil type and C content, underestimation can be large (Rollet &amp; Williams, 2020)</t>
  </si>
  <si>
    <t>Requires access to labratory for analysis. Also, chemicals are carginogenic, and therefore not used in many labs.</t>
  </si>
  <si>
    <t>Relatively inexpensive reagents and equipment.</t>
  </si>
  <si>
    <t>https://doi.org/10.1890/090156</t>
  </si>
  <si>
    <t>Conant et al., 2014</t>
  </si>
  <si>
    <t>Spectroscopy*</t>
  </si>
  <si>
    <t>In-situ spectroscopy</t>
  </si>
  <si>
    <t>Less accurate than lab-based methods due to lack of controlled environment. Accuracy also depends on type of spectroscopy used. For example Mid-infrared spectroscopy overperforms Vis-NIR spectroscopy (Chinilin et al., 2023)</t>
  </si>
  <si>
    <t xml:space="preserve">Requires training. Though, Portable and easy to use once set up and trained. </t>
  </si>
  <si>
    <t xml:space="preserve">Cost of handheld spectrometers typically are &gt;£1,000. Because SOC changes slowly and do not require frequent monitoring, it is not very cost effective compared to lab analysis. </t>
  </si>
  <si>
    <t>https://doi.org/10.1890/090157</t>
  </si>
  <si>
    <t>Conant et al., 2015</t>
  </si>
  <si>
    <t>Lab-based spectroscopy</t>
  </si>
  <si>
    <t>More accurate than in-situ spectroscopy because of controlled conditions. Though, less accurate than dry combustion methods. Accuracy also depends on type of spectroscopy used. For example Mid-infrared spectroscopy  overperforms Vis-NIR spectroscopy (Chinilin et al., 2023)</t>
  </si>
  <si>
    <t>Requires access to labratory for analysis.</t>
  </si>
  <si>
    <t>Labs can charge between £3-5 per sample. Cheaper than other labratory methods (IPCC. 2003). Also, can process a lot more samples in the same amount of time compared to dry combustion (Chinilin et al., 2023)</t>
  </si>
  <si>
    <t>https://doi.org/10.1890/090158</t>
  </si>
  <si>
    <t>Conant et al., 2016</t>
  </si>
  <si>
    <t>High spatial resolution of  UAV remote sensing (1.44 cm~7.67 cm) (Zhu et al., 2022).Shown to be highly accurate (Miller et al., 2024; Duan et al., 2017).  Though, the quality of  imagery and data largely depends how the flights are performed (Castro et al., 2021)</t>
  </si>
  <si>
    <t xml:space="preserve">Requires piloting skills and technical expertise for analysis. </t>
  </si>
  <si>
    <t>https://doi.org/10.1016/j.fcr.2017.05.025</t>
  </si>
  <si>
    <t>Duan et al., 2017</t>
  </si>
  <si>
    <t xml:space="preserve">In general, particapatory mapping is excellent for community engagement (Laituri et al., 2023) and local knowldege often provides insights that would not be captured by traditional scientific methods and improves data credibility (Vergara-Asenjo et al., 2015;  Kafas et al., 2017) . Though the accuracy and reliability of such data is influenced by participant bias, sampling strategies, and monitoring methodologies (Dickson et al., 2025). </t>
  </si>
  <si>
    <t>Visible Light Imaging (RGB)*</t>
  </si>
  <si>
    <t>Reasonably accurate at detecting fires(~80%)  (Duangsuwan &amp; Klubsuwan., 2023). However, RGB cameras for fire detection perform worse at night and under canopy cover (Zhang et al., 2025). Also, the quality and viability of acquired imagery and data will largely depend on those operation parameters and on how the flights are performed (Castro et al., 2021)</t>
  </si>
  <si>
    <t>Requires piloting skills. Technical expertise for analysis.</t>
  </si>
  <si>
    <t>(e.g., https://modis-fire.umd.edu/index.html)</t>
  </si>
  <si>
    <t>Ground surveys</t>
  </si>
  <si>
    <t>Accurate for mapping small fires in flat terrian. However, ground reports often significantly overestimate area burned, with accuracy declining in complex terrain or with large burn perimeters (Kolden &amp; Weisburg, 2007)</t>
  </si>
  <si>
    <t xml:space="preserve">Simple and Accessible approach, but very labour and time intensive. </t>
  </si>
  <si>
    <t>https://doi.org/10.4996/fireecology.0301022</t>
  </si>
  <si>
    <t>Kolden &amp; Weisburg, 2007</t>
  </si>
  <si>
    <t>Burnt Area Products (e.g. MODIS Burned Area Product)</t>
  </si>
  <si>
    <t>Requires basic GIS skills. But Ready to download and integrate into GIS with minimal preprocessing.</t>
  </si>
  <si>
    <t>Low spatial resolution (~30m)(Zhu et al., 2022). Though, has shown to be accurate (&gt;90%) at detecting burn scars (Molema et al., 2025).</t>
  </si>
  <si>
    <t xml:space="preserve">Requires GIS expertise. But ready to download and integrate into GIS. </t>
  </si>
  <si>
    <t>https://doi.org/10.1016/j.rsase.2025.101548</t>
  </si>
  <si>
    <t>Molema et al., 2025</t>
  </si>
  <si>
    <t>High resolution and accuracy (Simes et al., 2023). Though, the detection of burn scars can be limited by canopy cover and lighting. Also, the quality and viability of acquired imagery and data will largely depend on those operation parameters and on how the flights are performed (Castro et al., 2021)</t>
  </si>
  <si>
    <t>https://doi.org/10.3390/rs16010030</t>
  </si>
  <si>
    <t>Simes et al., 2023</t>
  </si>
  <si>
    <t xml:space="preserve">Radar data can produce lower accuracies of burn area detection (&lt;50 %) owing to significant confusion in distinguishing grass, bare land and water bodies since these features have structural compositions similar to burnt areas (Molema et al., 2025).. </t>
  </si>
  <si>
    <r>
      <t xml:space="preserve">Use of meteorological data systems to model fire weather conditions such as the </t>
    </r>
    <r>
      <rPr>
        <b/>
        <sz val="10"/>
        <color theme="1"/>
        <rFont val="lato"/>
      </rPr>
      <t>Fire Weather Index (FWI)</t>
    </r>
    <r>
      <rPr>
        <sz val="10"/>
        <color theme="1"/>
        <rFont val="lato"/>
      </rPr>
      <t>,</t>
    </r>
  </si>
  <si>
    <r>
      <t>Use of GIS systems to map fire hazards such as</t>
    </r>
    <r>
      <rPr>
        <b/>
        <sz val="10"/>
        <color rgb="FF000000"/>
        <rFont val="Lato"/>
      </rPr>
      <t xml:space="preserve"> fuel conditions, topography, landscape configuration.</t>
    </r>
  </si>
  <si>
    <t>UAV RGB imagery can be accurate method for assessing fuel loads. However, the results are only good in open forest environments, but less accurate compared to other methods as forests aged/canopy closes (Penglase et. al, 2023) (Ashapure et al., 2019). Also"the quality and viability of acquired imagery and data will largely depend on those operation parameters and on how the flights are performed" (Castro et al., 2021)</t>
  </si>
  <si>
    <t>https://doi.org/10.3390/rs15102621</t>
  </si>
  <si>
    <t>Penglase et. al, 2023</t>
  </si>
  <si>
    <t>Found to be more stable and  accurate than RGB (Ashapure et al., 2019) . Though, "the quality and viability of acquired imagery and data will largely depend on those operation parameters and on how the flights are performed" (Castro et al., 2021)</t>
  </si>
  <si>
    <t xml:space="preserve">LiDAR can provide precise evaluation of height and biomass-related parameters, allowing for high accuracy when estimating surface fuel loads (Abdollahi et al., 2025)
</t>
  </si>
  <si>
    <t>https://doi.org/10.3390/rs17030415</t>
  </si>
  <si>
    <t>Abdollahi et al., 2025</t>
  </si>
  <si>
    <t>Indirect Observation of Terrestrial Animlas</t>
  </si>
  <si>
    <t xml:space="preserve">Thermometer </t>
  </si>
  <si>
    <t>Accurate, typically ±0.1 to 1 °C , depending on quality of device.</t>
  </si>
  <si>
    <t>Quick and requires minimal training to use.</t>
  </si>
  <si>
    <t>Thermometors range between £10-£50</t>
  </si>
  <si>
    <t xml:space="preserve">Microclimate sensors have been developed for  less than 100 per unit (Mühlbauer et al., 2023). Commercial micoclimate sensors typically range between £100-200. Though, it is important to consider that a sensor network, whilst cost efficient, can be subject to vandalism and theft, which can incur additional costs. </t>
  </si>
  <si>
    <t xml:space="preserve">Microclimate sensors have been developed for  less than £100 per unit (Mühlbauer et al., 2023). Commercial micoclimate sensors typically range between £100-200. Though, it is important to consider that a sensor network, whilst cost efficient, can be subject to vandalism and theft, which can incur additional costs. </t>
  </si>
  <si>
    <t xml:space="preserve">Hygrometer </t>
  </si>
  <si>
    <t>Accuracy varies, with higher end sensors achieving ±1% RH or better, while standard consumer-grade sensors typically have an accuracy of ±3-10% RH</t>
  </si>
  <si>
    <t>Hygrometers range between £10-100</t>
  </si>
  <si>
    <t xml:space="preserve">handbook just says 'air quality sensors' but lots of tools/methods fall under this. Makes it difficult to narrow down methods. </t>
  </si>
  <si>
    <t>Off the shelf datasets</t>
  </si>
  <si>
    <t>Windspeed sensor (anemometer)</t>
  </si>
  <si>
    <t>Cup anemometor</t>
  </si>
  <si>
    <t xml:space="preserve">Overall reliable method, but prone to errors due to friction and inertia. Though, Nandez et al., 2017 found that mean error of cup anemometor lies around 1.23%. Typically overestimates speeds compared to ultrasonic anemometer. </t>
  </si>
  <si>
    <t xml:space="preserve">Straightforward and easy to use with minimal training. </t>
  </si>
  <si>
    <t>Price of cup or vane anemometers typically range between £50-200</t>
  </si>
  <si>
    <t>doi:10.11575/PRISM/28004</t>
  </si>
  <si>
    <t>Nandez et al., 2017</t>
  </si>
  <si>
    <t>Ultrasonic anemometor</t>
  </si>
  <si>
    <t>Very precise and accurate; Accuracy typically ~ ±2%  and resolution ~0.1m/s . Ultrasonic anemometers are not affected by erros related to friction and inertia, due to the absence of moving parts. Can detect values at very low wind speeds and it responds faster and more accurately to changes in the air velocity than rotational anemometers.</t>
  </si>
  <si>
    <t xml:space="preserve">Relatively easy to use, but requires some data analysis skills. </t>
  </si>
  <si>
    <t>Price of ultrasonic anemometors typically  range between £500-3,000</t>
  </si>
  <si>
    <t>not sure what to put here, since this is an aggregate of multiple different methods.</t>
  </si>
  <si>
    <t>This is an aggregate method that requires data on Temperature, Relative humidity, Wind speed, Precipitation. Unsure how to list methods here.</t>
  </si>
  <si>
    <t>suitable for the detection of specific chemical groups</t>
  </si>
  <si>
    <t>pH testing kits</t>
  </si>
  <si>
    <t>Results of tests are limited in accuracy and subject to color interpretation and subjectivity, though can be sufficient for detecting significant changes in contamination levels (King et al., 2024). Furthermore, only captures water quality at specific time points, and therefore will create more gaps in data compared to an in-situ water quality sensor.</t>
  </si>
  <si>
    <t>Quick and requires minimal training to use</t>
  </si>
  <si>
    <t>Low cost usually a pack of tests can range from £5-10</t>
  </si>
  <si>
    <t>https://www.researchgate.net/publication/385922518_Assessment_of_the_Precision_and_Accuracy_of_At-Home_Multi-Test_Water_Quality_Test_Strips</t>
  </si>
  <si>
    <t>King et al., 2024</t>
  </si>
  <si>
    <t>Portable water quality tester</t>
  </si>
  <si>
    <t>Accurate, typically +/- 0.1 % accuracy in good-quality tester models. However, only captures water quality at specific time points, and therefore will create more gaps in data compared to an in-situ water quality sensor.</t>
  </si>
  <si>
    <t>Typically very user-friendly with quick readings, digital display and data logging features</t>
  </si>
  <si>
    <t>Basic portable multi-sensors that measure temperature and pH typically range between £100-£700.</t>
  </si>
  <si>
    <t>https://www.bellflowsystems.co.uk/w/water-quality-sensors/?sortBy=p.price&amp;sortOrder=asc</t>
  </si>
  <si>
    <t>In-situ water quality sensor</t>
  </si>
  <si>
    <t>Multi-Parameter Water Quality Probes</t>
  </si>
  <si>
    <t>Accurate and allows for continous monitoring that can detect rapid changes in water quality that would otherwise be missed. For example, using continous sensors, Skarbøvik &amp; Roseth (2014) found that sudden drops in pH led to fish death in monitored water bodies; Manual sampling likely would not have revealed this cause and effect since the pH peaks had a very short duration of only a few hours. Though, requires regular calibration to stay accurate.</t>
  </si>
  <si>
    <t>Requires installation, power, and regular calibration/maintenence</t>
  </si>
  <si>
    <t>High-end multi-sensors that allow for continous monitoring of multiple parametors typically range from £1000-£5,000.</t>
  </si>
  <si>
    <t>https://doi.org/10.1080/09064710.2014.966751</t>
  </si>
  <si>
    <t>Skarbøvik &amp; Roseth, 2014</t>
  </si>
  <si>
    <t>https://www.bellflowsystems.co.uk/en/environmental-monitoring/water-quality-monitoring/multi-parameter-water-quality-sondes/?sortBy=p.price&amp;sortOrder=asc</t>
  </si>
  <si>
    <t>Thermometers</t>
  </si>
  <si>
    <t>Simple waterproof thermometors range from £10-£50 pounds</t>
  </si>
  <si>
    <t>Nutrient testing kits</t>
  </si>
  <si>
    <t xml:space="preserve">Results of tests are limited in accuracy and subject to color interpretation and subjectivity, though can be sufficient for detecting significant changes in contamination levels. Furthermore, only captures water quality at specific time points, and therefore will create more gaps in data compared to an in-situ nutrient probe/sensor. </t>
  </si>
  <si>
    <t>Low cost usually a pack of tests can range from £10-20</t>
  </si>
  <si>
    <t>Ion-selective electrodes*</t>
  </si>
  <si>
    <t>Low resolution, accuracy, and precision compared to other insitu sensors, but allows for continous monitoring and is less subjective than testing kits (Pellerin et al., 2016)</t>
  </si>
  <si>
    <t>Easy to use. Fast response time (Pellerin et al., 2016).</t>
  </si>
  <si>
    <t>Least expensive of in-situ nutrient sensors (&lt;$1,000)</t>
  </si>
  <si>
    <r>
      <rPr>
        <b/>
        <sz val="11"/>
        <color rgb="FF000000"/>
        <rFont val="Aptos Narrow"/>
        <scheme val="minor"/>
      </rPr>
      <t>*</t>
    </r>
    <r>
      <rPr>
        <sz val="11"/>
        <color rgb="FF000000"/>
        <rFont val="Aptos Narrow"/>
        <scheme val="minor"/>
      </rPr>
      <t xml:space="preserve">Available for ammonium and nitrate. </t>
    </r>
  </si>
  <si>
    <t>https://doi.org/10.3389/fmars.2019.00773</t>
  </si>
  <si>
    <t>Daniel et al., 2020</t>
  </si>
  <si>
    <t>Wet-chemical sensors*</t>
  </si>
  <si>
    <t>High resolution, accuracy, and precision. (Pellerin et al., 2016) Allows for continous monitoring.</t>
  </si>
  <si>
    <t>Relatively fast response time. Though this method requires maintenance and generates waste, which may require additional labor to manage (Pellerin et al., 2016)</t>
  </si>
  <si>
    <t xml:space="preserve">Expensive (&gt;$10,000). High power requirement and maintenance costs </t>
  </si>
  <si>
    <r>
      <rPr>
        <b/>
        <sz val="11"/>
        <color rgb="FF000000"/>
        <rFont val="Aptos Narrow"/>
        <scheme val="minor"/>
      </rPr>
      <t>*</t>
    </r>
    <r>
      <rPr>
        <sz val="11"/>
        <color rgb="FF000000"/>
        <rFont val="Aptos Narrow"/>
        <scheme val="minor"/>
      </rPr>
      <t>Available for ammonium, nitrate, and phosphate</t>
    </r>
  </si>
  <si>
    <t>Optical (UV) sensors*</t>
  </si>
  <si>
    <t xml:space="preserve">Fast response time. Though, requires maintenance. </t>
  </si>
  <si>
    <t>Expensive (&gt;$15,000) High power requirement and maintenance costs</t>
  </si>
  <si>
    <r>
      <rPr>
        <b/>
        <sz val="11"/>
        <color rgb="FF000000"/>
        <rFont val="Aptos Narrow"/>
        <scheme val="minor"/>
      </rPr>
      <t>*</t>
    </r>
    <r>
      <rPr>
        <sz val="11"/>
        <color rgb="FF000000"/>
        <rFont val="Aptos Narrow"/>
        <scheme val="minor"/>
      </rPr>
      <t>Only available for nitrate</t>
    </r>
  </si>
  <si>
    <t>https://doi.org/10.1111/1752-1688.12386</t>
  </si>
  <si>
    <t>Pellerin et al., 2016</t>
  </si>
  <si>
    <t>Labratory Analysis</t>
  </si>
  <si>
    <t xml:space="preserve">Considered gold standard for accuracy and detection of nutrients in water (Daniel et al., 2020). Lab testing for phosphorous is preferable given that P concentrations are naturally low in water bodies, making detecting change may challenging with nutrient sensors. However, only captures water quality at specific time points, and therefore will create more gaps in data compared to an in-situ nutrient probe/sensor (Daniel et al., 2020). </t>
  </si>
  <si>
    <t>Requires transport of samples and lab access for analysis (Pellerin et al., 2016)</t>
  </si>
  <si>
    <t>Anlysis can cost between £20–£100 per sample</t>
  </si>
  <si>
    <t>https://www.simplexhealth.co.uk/product/river-pollution-testing-ammonia-nitrate-phosphate-lab-test/</t>
  </si>
  <si>
    <t>Lab-based Fluorometry</t>
  </si>
  <si>
    <t>The sensitivity of this method makes it prone to interferences. Method that most ove re stimated chlorophyll concentrations  (Don Santos et al., 2003). Also, does not allow researchers to map contemporaneous Chla concentration on a large spatial scale (Chen et al., 2013)</t>
  </si>
  <si>
    <t>Time consuming. Lab testing of chlorophyll requires multiple samples that need to be preserved, transported, and analysed by a specialist (Gregor &amp; Maršálek, 2004)</t>
  </si>
  <si>
    <t>*Very limited data on costs. Assumed to be similar to spectrophotometric analysis costs.</t>
  </si>
  <si>
    <t>https://doi.org/10.1016/0167-7012(94)90026-4</t>
  </si>
  <si>
    <t>Pinckney et al., 1994</t>
  </si>
  <si>
    <t>https://in-situ.com/uk/parameters/chlorophyll-a?srsltid=AfmBOorcgqERU7k5Lvb64X3GkeDs1QGVa-vR0Tq_v8JboQiBVT9muRho</t>
  </si>
  <si>
    <t>https://doi.org/10.1016/j.watres.2003.10.033</t>
  </si>
  <si>
    <t>Gregor &amp; Maršálek, 2004</t>
  </si>
  <si>
    <t>Lab-based Spectrophotmetry</t>
  </si>
  <si>
    <t>Considered to be the gold standard for chlorophyll analysis of aquatic samples. However, it does not allow researchers to map contemporaneous Chla concentration on a large spatial scale (Chen et al., 2013)</t>
  </si>
  <si>
    <t>Labor-intensive and time-consuming. Lab testing of chlorophyll requires multiple samples that need to be preserved, transported, and analysed by a specialist (Gregor &amp; Maršálek, 2004)</t>
  </si>
  <si>
    <t>£10-50 per sample. Though the large number of samples required may mean this is not the most cost-effective approach.</t>
  </si>
  <si>
    <t>https://doi.org/10.1109/JSTARS.2013.2242845</t>
  </si>
  <si>
    <t>Chen et al., 2013</t>
  </si>
  <si>
    <t>High Performance Liquid Chromatography</t>
  </si>
  <si>
    <t>High-performance liquid chromatography (HPLC) provides the most accurate measurement of Chl a (Pinckney et al., 1994). However, it is very time consuming and does not allow researchers to map contemporaneous Chla concentration on a large spatial scale (Chen et al., 2013)</t>
  </si>
  <si>
    <t>Highly time consuming and labour intensive (Trees et al., 2002) Requires ca. 20 to 25 min processing time for each sample, compared to 1-5 mintues for the other two lab methods  (Pinckney et al., 1994) Lab testing of chlorophyll requires multiple samples that need to be preserved, transported, and analysed by a specialist (Gregor &amp; Maršálek, 2004)</t>
  </si>
  <si>
    <t>Analysis of samples typically range from £100-£200 per sample (Dos Santos et al., 2003)</t>
  </si>
  <si>
    <t>https://books.google.com/books?hl=en&amp;lr=&amp;id=B40eAQAAIAAJ&amp;oi=fnd&amp;pg=PA269&amp;dq=chlorophyll+flourometry+spectrophotometry+chromatography&amp;ots=tSUeMdEbOd&amp;sig=XhG0tW1r8-UY5n9-OiZXtMsW4Kk</t>
  </si>
  <si>
    <t>Trees et al., 2002</t>
  </si>
  <si>
    <t>https://www.researchgate.net/publication/230710519_Comparison_of_three_methods_for_Chlorophyll_determination_Spectrophotometry_and_Fluorimetry_in_samples_containing_pigment_mixtures_and_spectrophotometry_in_samples_with_separate_pigments_through_High_</t>
  </si>
  <si>
    <t>Dos Santos et al., 2003</t>
  </si>
  <si>
    <t>In-situ Fluorometer</t>
  </si>
  <si>
    <t>Provides results comparable to standard spectrophotometry methods (Gregor &amp; Maršálek, 2004). Allows for continous monitoring that can detect rapid changes in water quality that would otherwise be missed. Though, requires regular calibration in combination with lab analysis to stay accurate and the sensitivity of this method makes it prone to interferences and overestimation of chlorophyll concentration. However, the benefits of continuous chlorophyll measurements may outweigh any tradeoffs in accuracy.</t>
  </si>
  <si>
    <t>Requires training and technical expertise to calibrate and maintain the equipment. Though, portability supports scaling measurements across large areas.</t>
  </si>
  <si>
    <t>Chlorophyll sensors typically range between £1000-2000</t>
  </si>
  <si>
    <t>High-end multi-sensors that allow for continous monitoring of multiple parametors typically range from £1000-&gt;£5,000. This is more expensive than an in-situ flourometer, but more cost effective in the long-term in measuring multiple water-quality parameters.</t>
  </si>
  <si>
    <t>Remote Sensing</t>
  </si>
  <si>
    <t>Low spatial resolution (~30m). Accuracy is significantly hampered in turbid waters by the presence of other optically active constituents such as colored dissolved organic matter and total suspended matter, with uncertainty of about 35% (Cui et al., 2020; Chen et al., 2013)</t>
  </si>
  <si>
    <t>https://doi.org/10.1016/j.isprsjprs.2020.02.017</t>
  </si>
  <si>
    <t>Cui et al., 2020</t>
  </si>
  <si>
    <t>Studies have demonstrated the use of UAV imaging in detecting and monitoring chl-a with high accuracy (Ngwenya et al., 2024) . However, accuracy is hampered in  optically complex environments, and shallow water environments where reflectance from the sea/river/lake bed interferes (McEliece et al., 2020)</t>
  </si>
  <si>
    <t>https://doi.org/10.3390/rs12142258</t>
  </si>
  <si>
    <t>McEliece et al., 2020</t>
  </si>
  <si>
    <t>https://doi.org/10.1080/10106049.2025.2452246</t>
  </si>
  <si>
    <t>Ngwenya et al., 2024</t>
  </si>
  <si>
    <t>Graduated Imhoff Cone (larger particles)</t>
  </si>
  <si>
    <t>Only applicable to larger, settleable, solids and prone to errors at low sampling volumes and requries careful reading of measures; The measurement precision of the graduated cone is 0.5 mL for volumes less than 10 mL; 1 mL for volumes of 10-40 mL and 2 mL for volumes ranging between 40 and 100 mL (Meral et al., 2010).  Also, cannot provide a synoptic view of TSS concentration at reasonable costs over a large spatial extent (Dorji &amp; Fearns, 2017); Representativeness of the analysis is variable depending on the timing, and location of sample collection (Brochado et al.,2024).</t>
  </si>
  <si>
    <t xml:space="preserve">Simple, portable, quick field/lab method with minimal training. Though, moving the water samples to the laboratory and allowing them to settle can be time consuming (Meral et al., 2010). If sampling over large spatial or temporal extent, may be intensive. </t>
  </si>
  <si>
    <t>Inexpensive, reusable, equipment (~£50)</t>
  </si>
  <si>
    <t>https://doi.org/10.1371/journal.pone.0175042</t>
  </si>
  <si>
    <t>Dorji &amp; Fearns, 2017</t>
  </si>
  <si>
    <t>https://doi.org/10.3390/w11050981</t>
  </si>
  <si>
    <t>Meral et al., 2010</t>
  </si>
  <si>
    <t>Gravimetric analysis</t>
  </si>
  <si>
    <t>Most commonly used method. Very accurate, though, cannot provide a synoptic view of TSS concentration at reasonable costs over a large spatial extent (Dorji &amp; Fearns, 2017); Representativeness of the gravimetric analysis is variable depending on the timing, and location of sample collection (Brochado et al.,2024).</t>
  </si>
  <si>
    <t xml:space="preserve">Simple, but requires access to labratory facilities. Can be labour intensive and requires moving the water samples to the laboratory and allowing them to settle can be time consuming (Meral et al., 2010). If sampling over large spatial or temporal extent, may be intensive. </t>
  </si>
  <si>
    <t>Lab analyses range from £5-£25 per sample</t>
  </si>
  <si>
    <t>https://doi.org/10.1371/journal.pone.0175043</t>
  </si>
  <si>
    <t>Dorji &amp; Fearns, 2018</t>
  </si>
  <si>
    <t>https://doi.org/10.3390/w17010044</t>
  </si>
  <si>
    <t>Brochado et al.,2024</t>
  </si>
  <si>
    <t>https://www.forestresearch.gov.uk/services/plant-tree-soil-and-water-testing/chemical-analysis-laboratory/</t>
  </si>
  <si>
    <t>Optical backscatter (turbidity) sensors</t>
  </si>
  <si>
    <t xml:space="preserve">Accurate, able to detect small changes in turbidity, and allows for continous monitoring that can detect rapid changes in water quality that would otherwise be missed. However, color change as a result of water pollution is a problem for turbidity measurements, and it can produce errors when estimating sediment concentrations (Meral et al., 2016). </t>
  </si>
  <si>
    <t>Cost is highly variable and generally reflects the accuracy and precision of the device; many low-cost options are available. Commerical Optical backscatter sensors typically range from £1000-&gt;£5,000. Though, open-source turbidity sensors have been developed for &lt; £150 per unit (Eidam et al., 2021) or even as low as &lt;£15 (Wang et al., 2024)</t>
  </si>
  <si>
    <t>*More suited to sites with fine sediments (silt, clay, etc.)</t>
  </si>
  <si>
    <t>https://www.mdpi.com/2073-4441/11/5/981</t>
  </si>
  <si>
    <t>https://doi.org/10.1002/lom3.10469</t>
  </si>
  <si>
    <t>Eidam et al., 2021</t>
  </si>
  <si>
    <t>Meral, 2016</t>
  </si>
  <si>
    <t>https://doi.org/10.3390/s24123926</t>
  </si>
  <si>
    <t>Wang et al., 2024</t>
  </si>
  <si>
    <t>Acoustic backscatter sensors</t>
  </si>
  <si>
    <t xml:space="preserve">Capable of producing high spatial-temporal resolution data (Meral 2016), and allows for continous monitoring that can detect rapid changes in water quality that would otherwise be missed. Though acoustic method often underestimates TSS at high sediment concentrations, compared to optical methods (Sirabahenda et al., 2019) . </t>
  </si>
  <si>
    <t>Requires training and technical expertise to calibrate (more than optical sensor) and maintain the equipment. Though, portability supports scaling measurements across large areas.</t>
  </si>
  <si>
    <t xml:space="preserve">Very limited data on costs. Presumed to be expensive, as technology is less developed compared to optical sensors and prices are not publically available online and only dsiclosed by requesting a quote. </t>
  </si>
  <si>
    <t>* More suited to sites with coarser particles and high TSS e.g. estuaries, dredging sites etc.</t>
  </si>
  <si>
    <t>https://doi.org/10.2166/nh.2015.109</t>
  </si>
  <si>
    <t>Sirabahenda et al., 2019</t>
  </si>
  <si>
    <t>* Multi-sensor probes typically use optical sensors for monitoring turbidity and TSS, therefore, more suited to sites with coarser particles and high TSS e.g. estuaries, dredging sites etc.</t>
  </si>
  <si>
    <t xml:space="preserve">Accuracy is significantly hampered in turbid waters and highly dependent on resolution of dataset. Dorji &amp; Fearns (2017) reported extreme variability in  TSS concentrations depending on the spatial resolution of the data set used ( 114.46%, 304.68% and 38.2% for WV2, Landsat-8 OLI and MODIS-Aqua respectively). However, can capture continous data over a large spatial extent. </t>
  </si>
  <si>
    <t>Determines levels of TSS and turbidity with high accuracy (Prior et al., 2020). Also, allows for real-time monitoring over large spatial extent (Tang et al., 2023)</t>
  </si>
  <si>
    <t>https://doi.org/10.3390/drones4030054</t>
  </si>
  <si>
    <t>Prior et al., 2020</t>
  </si>
  <si>
    <t>https://doi.org/10.1007/s11269-023-03484-2</t>
  </si>
  <si>
    <t>Tang et al., 2023</t>
  </si>
  <si>
    <t>Very accurate (Morris &amp; Riley, 1964), though, cannot provide a synoptic view of salinity at reasonable costs over a large spatial extent; Representativeness of the gravimetric analysis is variable depending on the timing, and location of sample collection</t>
  </si>
  <si>
    <t xml:space="preserve">Simple, but requires access to labratory facilities. Can be labour intensive and requires moving the water samples to the laboratory  (Morris &amp; Riley, 1964). If sampling over large spatial or temporal extent, may be intensive. </t>
  </si>
  <si>
    <t>https://doi.org/10.1016/0011-7471(64)90339-0</t>
  </si>
  <si>
    <t>Morris &amp; Riley, 1964</t>
  </si>
  <si>
    <t>Salinity / Conductivity Probe</t>
  </si>
  <si>
    <t>Standard method; Directly measures electrical conductivity, and has strong correlation with salinity. Though, performs less well at high salinity (in saltwater) and unable to detect non-ionized constituents, leading to potential errors in salinity measurements (Su et al., 2024; Rustandi et al., 2023)</t>
  </si>
  <si>
    <t xml:space="preserve">Requires training and technical expertise to calibrate and maintain the equipment. Though, portability supports scaling measurements across large areas.
</t>
  </si>
  <si>
    <t>Conducitivity probes typically range between  £100-500</t>
  </si>
  <si>
    <t>https://www.hannainstruments.co.uk/657-electrodes-and-probes?q=Parameter-Conductivity+%26+TDS</t>
  </si>
  <si>
    <t>10.1109/JSEN.2023.3337259</t>
  </si>
  <si>
    <t>Su et al., 202</t>
  </si>
  <si>
    <t>https://doi.org/10.1063/5.0178507</t>
  </si>
  <si>
    <t>Rustandi et al., 2023</t>
  </si>
  <si>
    <t>https://www.google.com/url?sa=t&amp;source=web&amp;rct=j&amp;opi=89978449&amp;url=https://openknowledge.fao.org/server/api/core/bitstreams/207cecad-05ab-4c24-9041-c8e9330ebb75/content</t>
  </si>
  <si>
    <t>FAO, 2023</t>
  </si>
  <si>
    <t>Accurate, able to detect small changes in salinity (reported sensitivity of 0.36 nm/‰ for salinity), and allows for continous monitoring that can detect rapid changes in water quality that would otherwise be missed (Feng et al., 2024; Sang et al., 2022)</t>
  </si>
  <si>
    <t>High-end multi-sensors that allow for continous monitoring of multiple parametors typically range from £1000-&gt;£5,000.</t>
  </si>
  <si>
    <t>https://doi.org/10.3390/s24061766</t>
  </si>
  <si>
    <t>Feng et al., 2024</t>
  </si>
  <si>
    <t>https://doi.org/10.1016/j.measurement.2022.111039</t>
  </si>
  <si>
    <t>Sang et al., 2022</t>
  </si>
  <si>
    <t>Refractometer</t>
  </si>
  <si>
    <t xml:space="preserve">Accurate and works well for seawater; less precise in freshwater or mixed ionic conditions. Sensitive to temperature, though modern refractomers typically account for temperature. </t>
  </si>
  <si>
    <t>Simple, portable, quick field/lab method with minimal training.</t>
  </si>
  <si>
    <t>Portable refractometers typically range between £60 - £300</t>
  </si>
  <si>
    <t>https://www.tester.co.uk/environmental-and-temperature/environmental-testers/refractometers</t>
  </si>
  <si>
    <t>https://reefcasa.com/hydrometer-vs-refractometer-which-is-better-for-a-saltwater-aquarium/?srsltid=AfmBOoqVofV4tGq0cxBukbENZ1s7nCGAJmSJJe-SBzi7zAvFyWMfpYgw</t>
  </si>
  <si>
    <t>Hydrometer</t>
  </si>
  <si>
    <t xml:space="preserve">Cruder and less accurate than conductivity or refractometry. Estimates salinity based on density, which can be affected by temperature and other dissolved substances. </t>
  </si>
  <si>
    <t>Very simple to use, but requires manual temperature correction.</t>
  </si>
  <si>
    <t>Very inexpensive. Typically cost between £5-£25</t>
  </si>
  <si>
    <t>https://www.scientificlabs.co.uk/segment/hydrometers</t>
  </si>
  <si>
    <t>Chromatography</t>
  </si>
  <si>
    <t>Gas Chromatography (paried with Mass Spectroscopy)</t>
  </si>
  <si>
    <t>High accuracy. However, cannot detect non-volatile and thermally unstable compounds (Brinco et al., 2023)</t>
  </si>
  <si>
    <t>Requires access to labratory with highly specialised techinical expertise and equipment.</t>
  </si>
  <si>
    <t>Commercial lab testing for pollutants using GC typically falls within £100-200 per sample.</t>
  </si>
  <si>
    <t>https://doi.org/10.1007/978-981-15-0671-0_5</t>
  </si>
  <si>
    <t>Tripathi et al., 2020</t>
  </si>
  <si>
    <t xml:space="preserve">High accuracy and higher sensitivity compared to GC (Tripathi et al., 2020; González-Curbelo et al., 2022). Greater versatility because it can analyze a broader range of compounds, including non-volatile and thermally unstable compounds, which GC struggles with (Brinco et al., 2023) Also, shows </t>
  </si>
  <si>
    <t xml:space="preserve">Requires access to labratory with highly specialised techinical expertise and equipment. Easier sample prep compared to GC. Though, longer sample processing times compared to GC and still </t>
  </si>
  <si>
    <t>More expensive than GC (Brinco et al., 2023). Commercial lab testing for pollutants using HPLC is typically &gt; £200 per sample.</t>
  </si>
  <si>
    <t>https://doi.org/10.3390/molecules27134323</t>
  </si>
  <si>
    <t>González-Curbelo et al., 2022</t>
  </si>
  <si>
    <t>https://doi.org/10.1016/j.microc.2023.109465</t>
  </si>
  <si>
    <t>Brinco et al., 2023</t>
  </si>
  <si>
    <t>Spectroscopy</t>
  </si>
  <si>
    <t>Inductively Coupled Plasma Optical Emission Spectroscopy / Mass Spectroscopy</t>
  </si>
  <si>
    <t>High accuracy and sensitivity  (Yang et al., 2018). Found to be more accurate than Atomic Absorption Spectroscopy, particularly in low concentration solutions (Zhuravlev et al., 2016; Dehouck et al., 2016)</t>
  </si>
  <si>
    <t>Analytical methods can be highly complex and require techinical expertise  (Yang et al., 2018). Requires access to labratory for analysis.</t>
  </si>
  <si>
    <t>Cost of lab analysis typically costs &gt;£60 per sample</t>
  </si>
  <si>
    <t>Yang et al., 2018</t>
  </si>
  <si>
    <t>https://doi.org/10.1080/03067319.2016.1160380</t>
  </si>
  <si>
    <t>Zhuravlev et al., 2016</t>
  </si>
  <si>
    <t>https://doi.org/10.1007/s00216-016-9390-6</t>
  </si>
  <si>
    <t>Dehoucket al., 2016</t>
  </si>
  <si>
    <t>Atomic Absorption Spectroscopy</t>
  </si>
  <si>
    <t>High accuracy and sensitivity  (Kassim et al., 2022; Le et al., 2022)</t>
  </si>
  <si>
    <t>Cheaper per sample than Inductively Coupled Plasma Optical Emission Spectroscopy / Mass Spectroscopy (Thomas, 2016). Though, generally requires a separate analysis for each element you are determining, so costs can add up (Tripathi et al., 2020)</t>
  </si>
  <si>
    <t>https://doi.org/10.1016/j.matpr.2022.04.671</t>
  </si>
  <si>
    <t>Kassim et al., 2022</t>
  </si>
  <si>
    <t>DOIhttps://doi.org/10.1007/978-981-15-0671-0_5</t>
  </si>
  <si>
    <t>https://doi.org/10.1007/s10661-022-10707-3</t>
  </si>
  <si>
    <t>Le et al., 2022</t>
  </si>
  <si>
    <t>https://www.researchgate.net/publication/330262373_Money_To_Burn_Do_you_Know_What_is_Costs_to_Run_your_Atomic_Spectroscopy_instrumentation</t>
  </si>
  <si>
    <t>Thomas,2016</t>
  </si>
  <si>
    <t>In-situ sensors</t>
  </si>
  <si>
    <t>Electrochemical sensors / Ion-selective electrodes</t>
  </si>
  <si>
    <t>When well calibrated, these sensors have been shown to produce accurate estimatations of nutrients in soil (Kumari et al., 2022) However, accuracy can decline to 46.2% in certain conditions (Ashraffarhan &amp; Salleh, 2022)</t>
  </si>
  <si>
    <t>Electrochemical sensors offer a rapid, cost-effective, and portable alternative to traditional lab methods (Tang et al., 2018). Though, they require some techincal skill to operate and need to be calibrated with lab samples</t>
  </si>
  <si>
    <t>Price typically ranges between £300-£1000 for traditional sensors that are designed to respond selectively to one ion  e.g., Cl⁻, NO₃⁻, NH₄⁺, Na⁺, etc.). An Ion Selective Electrode array, can be created to respond to multiple ions, but will be significantly more expensive.</t>
  </si>
  <si>
    <t>http://dx.doi.org/10.1007/978-90-481-8859-8_6</t>
  </si>
  <si>
    <t>Lobsey et al., 2010</t>
  </si>
  <si>
    <t>https://doi.org/10.1080/00103624.2024.2334255</t>
  </si>
  <si>
    <t>Kumari et al., 2022</t>
  </si>
  <si>
    <t>http://dx.doi.org/10.30880/jst.2022.14.02.004</t>
  </si>
  <si>
    <t>Ashraffarhan &amp; Salleh, 2022)</t>
  </si>
  <si>
    <t>https://doi.org/10.3390/environments5090095</t>
  </si>
  <si>
    <t>Tang et al., 2018</t>
  </si>
  <si>
    <t>https://www.fishersci.co.uk/shop/products/mettler-toledo-perfection-ion-selective-epoxy-combination-electrodes-14/p-2894677#?keyword=</t>
  </si>
  <si>
    <t>Secchi disks</t>
  </si>
  <si>
    <t>Commonly used, but less accurate method, particularly in shallow waters with high levels of dissolved and suspended substances (Golubkov et al., 2023)</t>
  </si>
  <si>
    <t>Very easy to use with minimal training</t>
  </si>
  <si>
    <t xml:space="preserve">Low-cost approach, can be purchased for £20-100 and can be made DIY for significantly less. </t>
  </si>
  <si>
    <t>https://doi.org/10.3390/w16010018</t>
  </si>
  <si>
    <t>Golubkov et al., 2023</t>
  </si>
  <si>
    <t>Labour intensive.</t>
  </si>
  <si>
    <t>* Only suitable for relatively small streams</t>
  </si>
  <si>
    <t>Metre Rule Measure*</t>
  </si>
  <si>
    <t xml:space="preserve">Highly accurate </t>
  </si>
  <si>
    <t>Only basic equiptment of tape measure and metre stick</t>
  </si>
  <si>
    <t>*Only applicable in shallow waters</t>
  </si>
  <si>
    <t>Leadline</t>
  </si>
  <si>
    <t>Can be accurate, though currents and drift can affect accuracy (i.e. you end up recording depth at an angle)</t>
  </si>
  <si>
    <t>Can be purchased for £10-50</t>
  </si>
  <si>
    <t>https://abtoolsonline.com/products/30m-hand-lead-line-portable-depth-sounder-with-1m-markers-boat-yacht-tender?srsltid=AfmBOorjGYWMzoWI5JRHxbHD0_N8fg2q9bM5g1wtvirVaRkMgellKGce</t>
  </si>
  <si>
    <t>Depth Sounder</t>
  </si>
  <si>
    <t>Highly accurate</t>
  </si>
  <si>
    <t xml:space="preserve">Easy to use with minimal training. Requires calibration. </t>
  </si>
  <si>
    <t>Cost typically ranges between £100–£300 each</t>
  </si>
  <si>
    <t>https://www.marinesuperstore.com/marine-instruments/depth-instruments</t>
  </si>
  <si>
    <t>Lysimeters</t>
  </si>
  <si>
    <t>Accurately measures the various components of the soil water budget (Scanlon et al., 2002) However, lysimeters are generally unsuitable for areas with deep-rooted vegetation, as it can lead to an overestimation of groundwater recharge (Scanlon et al., 2002). While there are some challenges with lysimeters at low flux rates, these can be overcome if lysimeters are large enough andmonitoring period is long enough (Ali &amp; Mubarak, 2017)</t>
  </si>
  <si>
    <t>Requires technical expertise for set up, calibration, and maintainence</t>
  </si>
  <si>
    <t>Lysimeters have been developed for ~£1,000 (Dong &amp; Hansen, 2023). Though commercially available lysimeters typically run for  (£5,000 - &gt;£100,000) (Dong &amp; Hansen, 2023)</t>
  </si>
  <si>
    <t>https://doi.org/10.1016/j.atech.2022.100147</t>
  </si>
  <si>
    <t>Dong &amp; Hansen, 2023</t>
  </si>
  <si>
    <t>https://doi.org/10.1007/s10040-001-0176-2</t>
  </si>
  <si>
    <t>Scanlon et al., 2002</t>
  </si>
  <si>
    <t>http://dx.doi.org/10.9734/AJEE/2017/36987</t>
  </si>
  <si>
    <t>Ali &amp; Mubarak, 2017</t>
  </si>
  <si>
    <t xml:space="preserve">Seepage Meter </t>
  </si>
  <si>
    <t>Seepage meters provide accurate point estimates of water fluxes, though, not an effective method over large spatial areas and measurements may be required at many locations for a representative value of recharge (Ali &amp; Mubarak, 2017)</t>
  </si>
  <si>
    <t>It is a direct method, gives a rapid measurement, easy to calculate the recharge, easy to transport and apply the instrument in field (Ali &amp; Mubarak, 2017). Though, equires some techinal skill to set up and measure properly.</t>
  </si>
  <si>
    <t>Units typically cost between £100-200 to puchase or set up. Though, you may need multiple units if covering a large spatial area. (Ali &amp; Mubarak, 2017)</t>
  </si>
  <si>
    <t>Water Table Fluctuation Method</t>
  </si>
  <si>
    <t>Dip metres</t>
  </si>
  <si>
    <t>The Water Table Fluctuation Method is accurate and the most widely used method (Ali &amp; Mubarak, 2017)</t>
  </si>
  <si>
    <t>Easy to use with minimal training. The WTF method is attractive and widely used because of its simplicity, ease in use, and less data requirement (Ali &amp; Mubarak, 2017)</t>
  </si>
  <si>
    <t xml:space="preserve">Dip Metres typically range between £200-£1,500, depending on length of tape needed. </t>
  </si>
  <si>
    <t>https://www.sccssurvey.co.uk/distance-measuring/dip-meters-tools.html</t>
  </si>
  <si>
    <t>https://sandhurstinstruments.co.uk/product/dip-meters/</t>
  </si>
  <si>
    <t>Steel tape measure &amp; chalk</t>
  </si>
  <si>
    <t xml:space="preserve">The Water Table Fluctuation Method is accurate and the most widely used method (Ali &amp; Mubarak, 2017). Use of chalk and steel tape approach is most suited to water levels less than 200 feet below land surface. Results may be unreliable if water is dripping into the well or condensing on the well casing, or if oil, ice, or debris interfere with water measurement (Cunningham, 2011). Also, can create errors under hot, dry conditions with large depths where water wetted chalk mark may begin to dry before tape is retrieved (Cunningham, 2011)
</t>
  </si>
  <si>
    <t>Easy to use with minimal training.</t>
  </si>
  <si>
    <t xml:space="preserve">Very inexpensive (&lt;£20). Requires chalk and steel tape measure. </t>
  </si>
  <si>
    <t>https://pubs.usgs.gov/tm/1a1/pdf/GWPD1.pdf</t>
  </si>
  <si>
    <t>Cunningham, 2011</t>
  </si>
  <si>
    <t>Water Budget Method (Precipitation and Evapotation Measures)</t>
  </si>
  <si>
    <t>Water budget method yields reasonable estimates of recharge, when the precipitation exceeds potential evapotranspiration (Ali &amp; Mubarak, 2017). However, if the potential evapotranspiration is similar magnitude to precipitation (such as under semi-arid conditions), the recharge estimated by this approach must be treated with caution. Futhermore, accuracy of recharge estimates using this approach also depends on accuracy of other components. It is not easy to measure all the components with sufficient accurately (Ali &amp; Mubarak, 2017)</t>
  </si>
  <si>
    <t>While relatively accessible, this method involves multiple moving parts, which can add complexity. Requires measurement of precipitation, evapotranspiration, and run-off (if applicable). If there is no access to a weather station or run-off plots, each of these metrics will have to be measured individually</t>
  </si>
  <si>
    <t xml:space="preserve">If an existing climate station is present, water budget can be calculated with minimal additional costs. Otherwise, requires rain guages, evaporimeter, and potentially the set up of run-off plots, which are relatively inexpensive. </t>
  </si>
  <si>
    <t>Soil-moisture Balance Method</t>
  </si>
  <si>
    <t>Good for estimating near-surface recharge. However, difficult to apply over large spatial scales. Also, In arid regions, where recharge takes place mainly through preferential pathway or from depressions, this method gives inaccurate estimates of recharge (Ali &amp; Mubarak, 2017)</t>
  </si>
  <si>
    <r>
      <rPr>
        <sz val="10"/>
        <color rgb="FF000000"/>
        <rFont val="lato"/>
      </rPr>
      <t xml:space="preserve">While relatively accessible, this method involves multiple moving parts, which can add complexity. </t>
    </r>
    <r>
      <rPr>
        <sz val="10"/>
        <color rgb="FFFF0000"/>
        <rFont val="lato"/>
      </rPr>
      <t>Involves measures of soil moisture and water holding capacity (bulk density) at multiple depths, crop evapotranspiration, and estimation of rainfall interception and runoff losses  (Ali &amp; Mubarak, 2017)</t>
    </r>
  </si>
  <si>
    <t>Requires soil moisture sensors, soil coring tools, rain gauge, data logger. Overall, bulk density tends to be relatively affordable to analyse, though soil moisture sensors tend to be highly variable in cost and can be quite expensive (See soil moisture section of tool)</t>
  </si>
  <si>
    <t>http://dx.doi.org/10.9734/AJEE/2017/36988</t>
  </si>
  <si>
    <t>Ali &amp; Mubarak, 2018</t>
  </si>
  <si>
    <t xml:space="preserve">Chloride mass balance method </t>
  </si>
  <si>
    <t xml:space="preserve"> This method is accurate in arid regions. However, the Cl concentration is dependent upon runoff, which is a major source of error, especially in humid regions. (Ali &amp; Mubarak, 2017) The accuracy of this approach decreases as surface runoff and recharge rate increase.</t>
  </si>
  <si>
    <t>Requires collection of  rainwater samples and groundwater samples and access to laboratory for chloride analysis.</t>
  </si>
  <si>
    <t>Data collection is cheap. Labratory analysis typicallty ranges between £20-£40 per sample</t>
  </si>
  <si>
    <t>http://dx.doi.org/10.9734/AJEE/2017/36989</t>
  </si>
  <si>
    <t>Ali &amp; Mubarak, 2019</t>
  </si>
  <si>
    <t>Surface tracking methods</t>
  </si>
  <si>
    <t>Float method</t>
  </si>
  <si>
    <t>Found to have between14-22 % error, though sometimes error margin is larger (Stephanuck et al., 2024; King et al., 2022). Affected by wind or water turbulence which can alter the speed of the float.</t>
  </si>
  <si>
    <t>The benefit of low-cost water velocity methods is the inherent ease of equipment use and maintenance. If a piece of low-cost equipment is compromised it can be replaced easily (King et al., 2022)</t>
  </si>
  <si>
    <t>Very cost-effective. Around £10 (King et al., 2022)</t>
  </si>
  <si>
    <t>* Best suited to measurements during calm conditions as wind or water turbulence can alter the speed of the float.</t>
  </si>
  <si>
    <t>https://doi.org/10.1016/j.jhydrol.2024.130852</t>
  </si>
  <si>
    <t>Stephanuck et al., 2024</t>
  </si>
  <si>
    <t>https://doi.org/10.1111/1752-1688.13053</t>
  </si>
  <si>
    <t>King et al., 2022</t>
  </si>
  <si>
    <t>Velocity head rod / Streamguaging ruler</t>
  </si>
  <si>
    <t>20% median absolute percent error, 12% mean percent precision. Also difficult to read in settings with velocities &lt;15 cm/s (0.5 ft/s) (King et al., 2022)</t>
  </si>
  <si>
    <t>https://doi.org/10.1016/j.jhydrol.2024.131887</t>
  </si>
  <si>
    <t>Coz et al. 2024</t>
  </si>
  <si>
    <t>Surface Velocity Radar</t>
  </si>
  <si>
    <t>+/- 2.5% accuracy</t>
  </si>
  <si>
    <t>Relatively wasy set up and low-maintenance requirements</t>
  </si>
  <si>
    <t>Expensive. Typically between £2,000-3,000</t>
  </si>
  <si>
    <t>https://www.otthydromet.com/en/p-ott-svr-100-surface-velocity-radar/6315100490</t>
  </si>
  <si>
    <t>Mechanical current meters</t>
  </si>
  <si>
    <t>Rotor metres</t>
  </si>
  <si>
    <t xml:space="preserve">Found to only have 3-5% erorr (King et al., 2022) </t>
  </si>
  <si>
    <t>Typically range between £200-1000, with high end ones costing around &gt;£2,000</t>
  </si>
  <si>
    <t>Tilt current metres</t>
  </si>
  <si>
    <t>Accuracy can be within 2% (Lowell et al., 2015)</t>
  </si>
  <si>
    <t>Easy to deploy (Hansen et al. 2017)</t>
  </si>
  <si>
    <t>Commercial TCMs are quite expensive between £1,000-3,000. However recent technological developments in made it possible to make small, accurate and inexpensive TCMs (Lowell et al., 2015)</t>
  </si>
  <si>
    <t>https://findit.dtu.dk/en/catalog/673e63159cfa3627a8916cc3</t>
  </si>
  <si>
    <t>Hansen et al., 2017</t>
  </si>
  <si>
    <t>https://doi.org/10.1109/CWTM.2015.7098135</t>
  </si>
  <si>
    <t>Lowell et al., 2015</t>
  </si>
  <si>
    <t>Electromagnetic methods</t>
  </si>
  <si>
    <t>Electromagnetic current meter</t>
  </si>
  <si>
    <t>Highly accurate, similar to ADCP (MacVicar et al., 2007)</t>
  </si>
  <si>
    <t>Typically between £1000-2000</t>
  </si>
  <si>
    <t>https://doi.org/10.1002/esp.1497</t>
  </si>
  <si>
    <t>MacVicar et al., 2007</t>
  </si>
  <si>
    <t>Acoustic methods</t>
  </si>
  <si>
    <t>Acoustic doppler current profiler (ADCP)</t>
  </si>
  <si>
    <t>Highly accurate. Typically velocity accuracy within 1% (King et al., 2022)</t>
  </si>
  <si>
    <t>&gt;£10,000</t>
  </si>
  <si>
    <t>Tape Measures</t>
  </si>
  <si>
    <t xml:space="preserve">Most accurate for water levels less than 200 feet below land surface. Results may be unreliable if water is dripping into the well or condensing on the well casing, or if oil, ice, or debris interfere with water measurement (Cunningham, 2011). Also, can create errors under hot, dry conditions with large depths where water wetted chalk mark may begin to dry before tape is retrieved (Cunningham, 2011)
</t>
  </si>
  <si>
    <t>Ground Penetrating Radar</t>
  </si>
  <si>
    <t>Highly accurate, accuracy of ∼ 20 cm (Bentley &amp; Trenholm, 2002)</t>
  </si>
  <si>
    <t>https://doi.org/10.1016/j.jhydrol.2012.06.021</t>
  </si>
  <si>
    <t>Dobriyal et al., 2012</t>
  </si>
  <si>
    <t>https://doi.org/10.3390/su141811544</t>
  </si>
  <si>
    <t>Rasheed et al., 2022</t>
  </si>
  <si>
    <t>https://doi.org/10.4133/JEEG7.1.37</t>
  </si>
  <si>
    <t>Bentley &amp; Trenholm, 2002</t>
  </si>
  <si>
    <t xml:space="preserve">Soil test kits </t>
  </si>
  <si>
    <t>Low accuracy; Results obtained from soil testing kit are deduced by visual color observations making these kits somewhat unreliable. Also, we can get only approximate values and not actual concentration from these kits (Potdar et al., 2020).</t>
  </si>
  <si>
    <t>These kits are simple and convenient to use (Potdar et al., 2020)</t>
  </si>
  <si>
    <t xml:space="preserve">Testing kits typically cost between £20-40 </t>
  </si>
  <si>
    <t>https://doi.org/10.1080/01904167.2021.1884702</t>
  </si>
  <si>
    <t>Potdar et al., 2020</t>
  </si>
  <si>
    <t>https://www.hannainstruments.co.uk/groline-care-solutions/2038-soil-test-kit</t>
  </si>
  <si>
    <t>Electrochemical nutrient sensors may be expensive and technically complex to operate and need to be calibrated with lab samples</t>
  </si>
  <si>
    <t>Cheaper than optical sensors (Lobseyet al., 2010). Price typically ranges between £300-£1000.</t>
  </si>
  <si>
    <t xml:space="preserve">Optical Sensors </t>
  </si>
  <si>
    <t>A very reliable, sensitive and accurate technique with that allows for real time nutirent detection in soil.  Optical sensors have several advantages over electromagnetic sensors, such as high sensitivity, selectivity, repeatability, and immunity from electromagnetic interference (Potdar et al., 2020). Though, accuracy is largely affected by soil particle size, soil type, color and other physiochemical properties (Potdar et al., 2020)</t>
  </si>
  <si>
    <t>Optical sensors are portable and relatively easy to use  (Potdar et al., 2020). Though, requires calibration</t>
  </si>
  <si>
    <t>Typically costs several thousand pounds. One estimate was around £3,500</t>
  </si>
  <si>
    <t>https://webshop.agrocares.com/agrocares-scanner-device.html</t>
  </si>
  <si>
    <t xml:space="preserve">Colorimetry </t>
  </si>
  <si>
    <t xml:space="preserve">Accuracy depends on extractant choice, with the selection of extractant (a chemical solution) based on soil properties like pH and soil chemistry (Potdar et al., 2020; FAO 2021). Standard extraction procedures will vary by both lab and jurisdiction, so care should be taken when directly comparing results produced by different methods. Also, typically only assesses inorganic P, with organic P being overlooked. </t>
  </si>
  <si>
    <t xml:space="preserve">Commercial labratory colorimetric analysis typically range between £10-40 pounds </t>
  </si>
  <si>
    <t>https://www.google.com/url?sa=t&amp;source=web&amp;rct=j&amp;opi=89978449&amp;url=https://openknowledge.fao.org/server/api/core/bitstreams/1e4693b1-9ee2-4e29-91d9-e2f310a8c384/content&amp;ved=2ahUKEwjYoY6F4uyPAxUUUEEAHfniHIQQFnoECBkQAQ&amp;usg=AOvVaw1z74HIc8txJOL68SxmAtU5</t>
  </si>
  <si>
    <t>FAO, 2021</t>
  </si>
  <si>
    <t>https://doi.org/10.1002/jpln.202300129</t>
  </si>
  <si>
    <t>Wanke et al, 2023</t>
  </si>
  <si>
    <t>https://doi.org/10.1155/2018/1324751</t>
  </si>
  <si>
    <t>Kjeldahl digestion (N)</t>
  </si>
  <si>
    <t>Recommended method for monitoring N in soils (FAO, 2021). However, it cannot distinguish between different forms of nitrogen, such as nitrate, ammonium, or organic nitrogen</t>
  </si>
  <si>
    <t>Cost of lab analysis typically ranges between £20-40 per sample</t>
  </si>
  <si>
    <t>https://www.google.com/url?sa=t&amp;source=web&amp;rct=j&amp;opi=89978449&amp;url=https://openknowledge.fao.org/server/api/core/bitstreams/17a0e476-f796-4608-a869-295a367c0b56/content&amp;ved=2ahUKEwjk_bf_4eyPAxVtVEEAHZwaLPYQFnoECBoQAQ&amp;usg=AOvVaw2z8tJlJgp5puUX97tHilcT</t>
  </si>
  <si>
    <t>https://www.alsglobal.se/en/package/environment_1/soil-slusge-and-sediment_1/other-analyses_4/kjeldahl-nitrogen-in-soil-sludge-and-sediment_3315</t>
  </si>
  <si>
    <t>High accuracy and sensitivity  (Yang et al., 2018)</t>
  </si>
  <si>
    <t>Laboratory Analysis</t>
  </si>
  <si>
    <t>Accurate and standard technique</t>
  </si>
  <si>
    <t>Very simple to measure with minimal expertise or lab equipment. However, is labor and time intensive (long proccessing time of 24 h), destructive and difficult to use with rocky soils (Dobriyal et al., 2012)</t>
  </si>
  <si>
    <t xml:space="preserve">Inexpensive; Commercial lab analysis costs around £3.00 per sample </t>
  </si>
  <si>
    <t>https://doi.org/10.3390/su141811540</t>
  </si>
  <si>
    <t>In-situ soil sensor</t>
  </si>
  <si>
    <t>Gypsum blocks</t>
  </si>
  <si>
    <t>Affected by salt and temperature, resulting in errors (&gt; ±0.01 ft3 ft−3) in moisture estimation (Dobriyal et al., 2012)</t>
  </si>
  <si>
    <t>Very easy to use. Response time of 2–3 h</t>
  </si>
  <si>
    <t>Inexpensive ~£10–30 per sensor), though short lifespan and may need frequent replacing</t>
  </si>
  <si>
    <t xml:space="preserve">Dobriyal et al., 2012 </t>
  </si>
  <si>
    <t>https://doi.org/10.3390/su141811538</t>
  </si>
  <si>
    <t>Tensiometers</t>
  </si>
  <si>
    <t>Unsuitable for measurements in dry soils. Though allows for continuous measurements of soil moisture without causing disturbance to the soil</t>
  </si>
  <si>
    <t>Simple to install and use, but require high maintenance for upkeep. Data response time of around 2–3 h (Dobriyal et al., 2012)</t>
  </si>
  <si>
    <t>Cost typically ranges between £50–£200 each</t>
  </si>
  <si>
    <t>https://doi.org/10.1016/j.jhydrol.2012.06.022</t>
  </si>
  <si>
    <t>https://doi.org/10.3390/su141811539</t>
  </si>
  <si>
    <t>Time Domain Reflectometry Sensors</t>
  </si>
  <si>
    <t>Accurate results within an error limit of ±1% (Dobriyal et al., 2012). Can allow for continuous soil moisture monitoring. However, has limited applicability in highly saline soils (Dobriyal et al., 2012)</t>
  </si>
  <si>
    <t>Portable, easy to install and safe to operate, with no soil specific calibrations required (Dobriyal et al., 2012). Data obtained instantaneously (Dobriyal et al., 2012)</t>
  </si>
  <si>
    <t>Sensors typically cost &gt;£1,000</t>
  </si>
  <si>
    <t>https://doi.org/10.3390/su141811541</t>
  </si>
  <si>
    <t>Capacitance / Frequency Domain Reflectometry Sensors</t>
  </si>
  <si>
    <t>Relatively accurate, though sensitivity to air gaps, soil salinity, temperature, bulk density and clay content limit the use of this method (Dobriyal et al., 2012)</t>
  </si>
  <si>
    <t>Requires soil specific calibration. Though, easy to install and use and data is instantaneously obtained.</t>
  </si>
  <si>
    <t xml:space="preserve">Cheaper than TDR; sensors typically cost £50-300 </t>
  </si>
  <si>
    <t>https://doi.org/10.3390/su141811542</t>
  </si>
  <si>
    <t>Neutron Probe</t>
  </si>
  <si>
    <t>Highly accurate, though depth resolution is inadequate (Dobriyal et al., 2012)</t>
  </si>
  <si>
    <t xml:space="preserve">Requires highly trained operator and  extensive soil specific calibrations (Dobriyal et al., 2012). Though can yield quick response times (1–2 min) </t>
  </si>
  <si>
    <t>Very expensive instrument and regulatory costs &gt;£10,000</t>
  </si>
  <si>
    <t>https://doi.org/10.3390/su141811543</t>
  </si>
  <si>
    <t>Highly accurate with high resolution, though limitied to particular landscapes; Many soil types, due to their high electrical conductivity, are radar opaque and dissipate radar energy, thus restricting its use (Dobriyal et al., 2012) . Steep and rocky slopes limit its use due to the large sizes of the antennas. The use of GPR in forests is difficult because trees behave as reflectors generating erroneous data.</t>
  </si>
  <si>
    <r>
      <rPr>
        <sz val="10"/>
        <color rgb="FF000000"/>
        <rFont val="lato"/>
      </rPr>
      <t>Comparatively coarse resolution (e.g., 25 km</t>
    </r>
    <r>
      <rPr>
        <vertAlign val="superscript"/>
        <sz val="10"/>
        <color rgb="FF000000"/>
        <rFont val="lato"/>
      </rPr>
      <t>2</t>
    </r>
    <r>
      <rPr>
        <sz val="10"/>
        <color rgb="FF000000"/>
        <rFont val="lato"/>
      </rPr>
      <t>) which may be restrictive when applying it locally. Furthermore, the depth penetration of remote sensors means only the top 5 cm of soil will be measured.</t>
    </r>
  </si>
  <si>
    <t>https://doi.org/10.3390/su141811545</t>
  </si>
  <si>
    <t>Soil colour analysis</t>
  </si>
  <si>
    <t>Loss-on-Ignition Method</t>
  </si>
  <si>
    <t>Core method</t>
  </si>
  <si>
    <t>Fairly accurate and most commonly used method. Errors may potentially be large because their accuracy is dependent on the experience of the operator, soil type, and the field conditions at the time of sampling (Al-Shammary et al., 2018) .</t>
  </si>
  <si>
    <t xml:space="preserve">Simple methods, straighforward to carry out. Though, can be time consuming to perform across multiple soil sites or depths because processing of the soil samples requires a lot of time (Al-Shammary et al., 2018) </t>
  </si>
  <si>
    <t xml:space="preserve">Very low cost; requires cylindrical core, hammer, and shovel. </t>
  </si>
  <si>
    <t>https://doi.org/10.1016/S1002-0160(18)60034-7</t>
  </si>
  <si>
    <t>Al-Shammary et al., 2018</t>
  </si>
  <si>
    <t>g/cm4</t>
  </si>
  <si>
    <t>Clod method</t>
  </si>
  <si>
    <t xml:space="preserve">Shown to overestimate soil bulk density compared to the core sampling and excavation techniques (Al-Shammary et al., 2018). Though, More accurate in finer soils. </t>
  </si>
  <si>
    <t xml:space="preserve">Can be challenging and time consuming method because the experimental process is complex and slow (Al-Shammary et al., 2018) . </t>
  </si>
  <si>
    <t>Very low cost;  requires string, wax, and a balance</t>
  </si>
  <si>
    <t>*suitable to finer soils</t>
  </si>
  <si>
    <t>https://doi.org/10.1016/S1002-0160(18)60034-8</t>
  </si>
  <si>
    <t>Al-Shammary et al., 2019</t>
  </si>
  <si>
    <t>g/cm5</t>
  </si>
  <si>
    <t>Excavation/ volume replacement method</t>
  </si>
  <si>
    <t>Fairly accurate, though error in the evaluation of soil volume can be high when measuring on sloped surfaces or very small excavations</t>
  </si>
  <si>
    <t>Easy to use, though may be time consuming to carry out.</t>
  </si>
  <si>
    <t xml:space="preserve">Very low cost </t>
  </si>
  <si>
    <t xml:space="preserve">*suitable to rocky soils where cores cannot be used. </t>
  </si>
  <si>
    <t>https://doi.org/10.1016/S1002-0160(18)60034-10</t>
  </si>
  <si>
    <t>Al-Shammary et al., 2021</t>
  </si>
  <si>
    <t>g/cm6</t>
  </si>
  <si>
    <t>Radiation Method</t>
  </si>
  <si>
    <t>Considered to be the most accurate of all soil bulk density measures  (Al-Shammary et al., 2018). Even for models with lower accuracy,  the uncertainty can easily be compensated for by making additional measurements per location, which is possible with the rapid and easy use of this method (Pepers et al., 2024)</t>
  </si>
  <si>
    <t>Very quick and easy to use (Pepers et al., 2024)</t>
  </si>
  <si>
    <t>Difficult to find specific estimates, but likely ranges between thousands to tens of thousands of pounds</t>
  </si>
  <si>
    <t>https://doi.org/10.1016/S1002-0160(18)60034-11</t>
  </si>
  <si>
    <t>Al-Shammary et al., 2022</t>
  </si>
  <si>
    <t>https://doi.org/10.1111/ejss.13542</t>
  </si>
  <si>
    <t>Pepers et al., 2024</t>
  </si>
  <si>
    <t>Lab Analysis</t>
  </si>
  <si>
    <t>Saturated Paste or Soil:Water Slurry Analysis</t>
  </si>
  <si>
    <t>While accurate, these methods provide only a limited number of point measurements that may or may not be representative of the field or soil-landscape (Doolittle &amp; Brevik, 2014). This is a particular issue given the high spatial variability of salt-affected soils (Doolittle &amp; Brevik, 2014)</t>
  </si>
  <si>
    <t>Requires labratory access and can be time-consuming to complete.</t>
  </si>
  <si>
    <t>Commercial labratory costs typically range between £5-30 per sample. This can add up quickly given that numerous samples may be needed to account for the high spatial variability of salt-affected soils  (Doolittle &amp; Brevik, 2014)</t>
  </si>
  <si>
    <t>https://doi.org/10.1016/j.geoderma.2014.01.027</t>
  </si>
  <si>
    <t>Doolittle &amp; Brevik, 2014</t>
  </si>
  <si>
    <t>Direct Soil Conductivity Meter</t>
  </si>
  <si>
    <t xml:space="preserve">Low* </t>
  </si>
  <si>
    <t xml:space="preserve">*Very difficult to find data on this. I want to assume low, as it is a mehtod not often mentioned in scientific literature. </t>
  </si>
  <si>
    <t>Portable and relatively quick and easy to use</t>
  </si>
  <si>
    <t>Meters typically range between £50-500</t>
  </si>
  <si>
    <t>https://www.hannainstruments.co.uk/agriculture/1791-direct-soil-conductivity-temperature-tester</t>
  </si>
  <si>
    <t>https://atlas-scientific.com/blog/ec-test/?srsltid=AfmBOoqQz4W3xUgshYjkVm5u5hK7E6jdFG9RYncGjvUr6S7fFK1coqsa&amp;utm_</t>
  </si>
  <si>
    <t>Provide highly accurate estimates of conductivity (Caron et la., 2016). However, accuracy and resolution decline in soils with high electrical conductivity  (Caron et la., 2016)</t>
  </si>
  <si>
    <t>Portable, easy to install and safe to operate. Though, may require tedious calibration for condutivity determination (Caron et la., 2016)</t>
  </si>
  <si>
    <t>https://doi.org/10.1139/cjss-2016-0019</t>
  </si>
  <si>
    <t>Caron et la., 2016</t>
  </si>
  <si>
    <t>Relatively accurate, though sensitivity to air gaps, soil salinity, temperature, bulk density and clay content limit the use of this method (Dobriyal et al., 2012).</t>
  </si>
  <si>
    <t>Electromagnetic Induction Scanners</t>
  </si>
  <si>
    <t xml:space="preserve">Shown to be accurate and can produce a large number of georeferenced measurements over a large spatial extent compared to other methods (Doolittle &amp; Brevik, 2014). . Though, struggles with accuracy in very high salinity soils  (Doolittle &amp; Brevik, 2014). </t>
  </si>
  <si>
    <t>Relatively quick and easy to use and can collect data over large areas (Heil &amp;Schmidhalter, 2017)</t>
  </si>
  <si>
    <t>Typically costs between £5,000-10,000</t>
  </si>
  <si>
    <t>https://doi.org/10.3390/s17112540</t>
  </si>
  <si>
    <t>Heil &amp; Schmidhalter, 2017</t>
  </si>
  <si>
    <r>
      <rPr>
        <sz val="10"/>
        <color rgb="FF000000"/>
        <rFont val="lato"/>
      </rPr>
      <t>Comparatively coarse resolution (e.g., 25 km</t>
    </r>
    <r>
      <rPr>
        <vertAlign val="superscript"/>
        <sz val="10"/>
        <color rgb="FF000000"/>
        <rFont val="lato"/>
      </rPr>
      <t>2</t>
    </r>
    <r>
      <rPr>
        <sz val="10"/>
        <color rgb="FF000000"/>
        <rFont val="lato"/>
      </rPr>
      <t xml:space="preserve">) which may be restrictive when applying it locally (Gorgi et al., 2015). Furthermore, the depth penetration of remote sensors means only the top 5 cm of soil will be measured. </t>
    </r>
  </si>
  <si>
    <t>Typically free and quick to use but requires training (Gorgi et al., 2015)</t>
  </si>
  <si>
    <t>https://doi.org/10.1016/j.proeps.2015.08.062</t>
  </si>
  <si>
    <t>Gorgi et al., 2015</t>
  </si>
  <si>
    <t>Sediment traps / silt fences</t>
  </si>
  <si>
    <t>Accurate (Kastridis et al., 2024). Though, can only measure across small spatial scale.</t>
  </si>
  <si>
    <t>Most of the materials and tools are easily acquired and are quite simple in use (Kastridis et al., 2024). However, requires lots of time and physical labour to carry out (Kastridis et al., 2024.)</t>
  </si>
  <si>
    <t>Relatively low cost. Though maintanence and labour costs can add up. Kastridis et al., (2024) reported spending around £400 to set up several (specfic number not specificed) silt fences.</t>
  </si>
  <si>
    <t>https://doi.org/10.3390/land11122129</t>
  </si>
  <si>
    <t>Kastridis et al., 2024</t>
  </si>
  <si>
    <t>Erosion pins</t>
  </si>
  <si>
    <t xml:space="preserve">Accuracy varies depending on study, but overall seen as a reliable method. Though, can only measure across small spatial scale. </t>
  </si>
  <si>
    <t>Very simple and easy to use method, with low maintenance requirements (Jose et al., 2023; Kearney et al., 2018)</t>
  </si>
  <si>
    <t>Inexpensive, with low maintenence costs (Jose et al., 2023; Kearney et al., 2018)</t>
  </si>
  <si>
    <t>http://dx.doi.org/10.5539/jsd.v16n4p57</t>
  </si>
  <si>
    <t>Jose et al., 2023</t>
  </si>
  <si>
    <t>https://doi.org/10.1016/j.catena.2017.12.008</t>
  </si>
  <si>
    <t>Kearney et al., 2018</t>
  </si>
  <si>
    <t>Soil Erosion Modelling (e.g. Universal Soil Loss Equation)</t>
  </si>
  <si>
    <t>Can be robust if fed with quality local inputs and well-calibrated, but highly uncertain if inputs poor. Some report that patterns of erosion are poorly predicted and models can rarely be relied upon to give accurate predictions of absolute amounts of soil erosion (Sepuru et al., 2018)</t>
  </si>
  <si>
    <t>High-level technical expertise in geospatial statistics as well as access to computing power, time cost. The equation also has multiple components, some of which need to be collected in the field before model can be built; Input data preparation is a difficult task and the mechanics of operating the models is sometimes complicated (Sepuru et al., 2018)</t>
  </si>
  <si>
    <t>Collecting input data can be time consuming and costly (Sepuru et al., 2018). Relatively low cost if input data has already been collected (Alexakis et al., 2013)</t>
  </si>
  <si>
    <t>*remote sensing can provide input data (land cover data, vegetation indices, DEMs for slope, etc.,) feeding into models like USLE</t>
  </si>
  <si>
    <t>https://doi.org/10.1016/j.atmosres.2013.02.013</t>
  </si>
  <si>
    <t>Alexakis et al., 2013</t>
  </si>
  <si>
    <t>https://doi.org/10.1016/j.rsase.2017.10.005</t>
  </si>
  <si>
    <t>Sepuru et al., 2018</t>
  </si>
  <si>
    <t xml:space="preserve">Can be an effective and accurate assessment of soil erosion over large spatial extents (Alexakis et al., 2013; Polovina et al., 2024). However, difficulty under dense vegetation, cloud cover, and spatial resolution may be limiting. </t>
  </si>
  <si>
    <t>Requires GIS expertise. But Ready to download and integrate into GIS. Overally, Remote sensing techniques can map erosion with less expert data, time and cost.</t>
  </si>
  <si>
    <t xml:space="preserve">Remote sensing techniques can map erosion with less expert data, time and cost. Datasets are typically free and easy to access. </t>
  </si>
  <si>
    <t>https://doi.org/10.3390/rs16132390</t>
  </si>
  <si>
    <t>Polovina et al., 2024</t>
  </si>
  <si>
    <t>RGB cameras are favored for their affordability and high resolution but can introduce noise in photogrammetric products (Medeiros et al., 2025).  Found to detect erosion with high accuracy (Malinowski et al., 2022) and produce high-resolution data over large areas at a fraction of the cost of ground-based surveys (Medeiros et al., 2025)</t>
  </si>
  <si>
    <t>https://doi.org/10.3390/drones9040305</t>
  </si>
  <si>
    <t>Medeiros et al., 2025</t>
  </si>
  <si>
    <t>https://doi.org/10.1002/esp.5505</t>
  </si>
  <si>
    <t>Malinowski et al., 2022</t>
  </si>
  <si>
    <t>Provides high-resolution data over large spatial areas (Medeiros et al., 2025). Offer better spectral resolution than RGB sensors, making them more suitable for detailed vegetation and soil health analysis. Also,  produces high-resolution data over large areas at a fraction of the cost of ground-based surveys (Medeiros et al., 2025)</t>
  </si>
  <si>
    <t>LiDAR, a powerful tool for high-resolution topographic modeling. particularly effective in hard-to-reach areas, allowing for the modeling of small-scale features and erosion-affected soils(Medeiros et al., 2025) Also,  produces high-resolution data over large areas at a fraction of the cost of ground-based surveys (Medeiros et al., 2025)</t>
  </si>
  <si>
    <t>Chromatography (broad-spectrum)</t>
  </si>
  <si>
    <t>Commercial lab testing for pesticides using GC typically falls within £100-200 per sample.</t>
  </si>
  <si>
    <t>High Performance Liquid Chromatography (paried with Mass Spectroscopy)</t>
  </si>
  <si>
    <t xml:space="preserve">High accuracy and  higher sensitivity compared to GC(González-Curbelo et al., 2022). Greater versatility because it can analyze a broader range of pesticides, including non-volatile and thermally unstable compounds, which GC struggles with (Brinco et al., 2023) Also, shows </t>
  </si>
  <si>
    <t>Easier sample prep compared to GC. Though, longer sample processing times compared to GC and still requires access to labratory with highly specialised techinical expertise and equipment.</t>
  </si>
  <si>
    <t>More expensive than GC (Brinco et al., 2023). Commercial lab testing for pesticides using HPLC is typically &gt; £200 per sample.</t>
  </si>
  <si>
    <t>An accurate and precise method. more sensitive than gas chromatogrphay method.  Though, closed dynbamic chambers can be prone to underestimation  (Pihlatie., 2013). Increasing chamber height, area and volume can significantly reduce flux underestimation (Pihlatie., 2013). Also, the use of non-linear flux calculation significantly reduces flux underestimation (Pihlatie., 2013).</t>
  </si>
  <si>
    <t>With static chambers, potential errors due to sampling and gas sample storage have to be considered (Maeir et al., 2022). Also, can be prone to underestimation. Increasing chamber height, area and volume can significantly reduce flux underestimation (Pihlatie., 2013). The use of non-linear flux calculation significantly reduces flux underestimation (Pihlatie., 2013).</t>
  </si>
  <si>
    <t xml:space="preserve">Laser-based analyzers </t>
  </si>
  <si>
    <t>An accurate and precise method. Laser-based analyzers are  more sensitive at flux detection than gas chromatography methods (Brannon, 2016). Though, closed dynbamic chambers can be prone to underestimation  (Pihlatie., 2013). Increasing chamber height, area and volume can significantly reduce flux underestimation (Pihlatie., 2013). Also, the use of non-linear flux calculation significantly reduces flux underestimation (Pihlatie., 2013).</t>
  </si>
  <si>
    <t>Commercial devices range between £10,000 - 50,000</t>
  </si>
  <si>
    <t>https://doi.org/10.1002/lom3.10105</t>
  </si>
  <si>
    <t>Brannon, 2016</t>
  </si>
  <si>
    <t>https://www.picarro.com/environmental/methane_soil_flux_estimates_using_mobile_and_high_precision_cavity_ringdown</t>
  </si>
  <si>
    <t>https://www.picarro.com/products/gas-scouter-g4301?utm_source=chatgpt.com</t>
  </si>
  <si>
    <t>An accurate and precise method.  Laser-based analyzers are  more sensitive at flux detection than gas chromatography methods (Brannon, 2016) Though, steady state chambers can be prone to overestimatation of fluxes, but these tend to be very small overestimations (Pumpanen et al., 2004)</t>
  </si>
  <si>
    <t>Automated Dry Combustion</t>
  </si>
  <si>
    <t>Dichromate-Oxidation (Walkley–Black)</t>
  </si>
  <si>
    <t>Questionnaires/surveys</t>
  </si>
  <si>
    <t>Reliable, accurate data that is easy to quanitify and compare. However, data will have less 'depth or 'nuance' compared to less structured methods.</t>
  </si>
  <si>
    <t>Time effective, easy to conduct.</t>
  </si>
  <si>
    <t>Often disseminated online, or briefly in person. Requires little follow-up.</t>
  </si>
  <si>
    <r>
      <rPr>
        <b/>
        <sz val="11"/>
        <color rgb="FF000000"/>
        <rFont val="Aptos Narrow"/>
      </rPr>
      <t>*1.</t>
    </r>
    <r>
      <rPr>
        <sz val="11"/>
        <color rgb="FF000000"/>
        <rFont val="Aptos Narrow"/>
      </rPr>
      <t xml:space="preserve"> Accuracy rankings reflect consistency and replicability, but methods ranked lower for accuracy can still provide rich, in-depth insights and  those ranked higher may offer less nuance.</t>
    </r>
    <r>
      <rPr>
        <b/>
        <sz val="11"/>
        <color rgb="FF000000"/>
        <rFont val="Aptos Narrow"/>
      </rPr>
      <t xml:space="preserve"> 2. </t>
    </r>
    <r>
      <rPr>
        <sz val="11"/>
        <color rgb="FF000000"/>
        <rFont val="Aptos Narrow"/>
      </rPr>
      <t>For qualitative methods, financial costs were estimated based on relative expenses likely to be incurred, such as, travel, participant compensation, equipment, and time-related costs like interview transcription.</t>
    </r>
  </si>
  <si>
    <t>https://doi.org/10.1111/j.1365-2929.2006.02418.x</t>
  </si>
  <si>
    <t>DiCicco-Bloom &amp; Crabtree, 1989</t>
  </si>
  <si>
    <t>Analysis of governmental records</t>
  </si>
  <si>
    <t>High accuracy at larger scales (national/regional levels), but data may loose accuracy at finer scales (e.g. community level)</t>
  </si>
  <si>
    <t xml:space="preserve">Usually collected in census &amp; government surveys. Should be relatively easy to obtain access to data, though likely requires a request, depending on the country. </t>
  </si>
  <si>
    <t>Data typically free to access, depending on the country.</t>
  </si>
  <si>
    <t>https://www.ons.gov.uk/explore-local-statistics/</t>
  </si>
  <si>
    <t>DiCicco-Bloom &amp; Crabtree, 1990</t>
  </si>
  <si>
    <t>DiCicco-Bloom &amp; Crabtree, 1991</t>
  </si>
  <si>
    <t>DiCicco-Bloom &amp; Crabtree, 1992</t>
  </si>
  <si>
    <t>DiCicco-Bloom &amp; Crabtree, 1993</t>
  </si>
  <si>
    <t>DiCicco-Bloom &amp; Crabtree, 1994</t>
  </si>
  <si>
    <t>DiCicco-Bloom &amp; Crabtree, 1995</t>
  </si>
  <si>
    <t>DiCicco-Bloom &amp; Crabtree, 1996</t>
  </si>
  <si>
    <t>DiCicco-Bloom &amp; Crabtree, 1997</t>
  </si>
  <si>
    <t>DiCicco-Bloom &amp; Crabtree, 1998</t>
  </si>
  <si>
    <t>DiCicco-Bloom &amp; Crabtree, 1999</t>
  </si>
  <si>
    <t>DiCicco-Bloom &amp; Crabtree, 2000</t>
  </si>
  <si>
    <t>DiCicco-Bloom &amp; Crabtree, 2001</t>
  </si>
  <si>
    <t>DiCicco-Bloom &amp; Crabtree, 2002</t>
  </si>
  <si>
    <t>DiCicco-Bloom &amp; Crabtree, 2003</t>
  </si>
  <si>
    <t>DiCicco-Bloom &amp; Crabtree, 2004</t>
  </si>
  <si>
    <t>DiCicco-Bloom &amp; Crabtree, 2005</t>
  </si>
  <si>
    <t>DiCicco-Bloom &amp; Crabtree, 2006</t>
  </si>
  <si>
    <t>Interviews</t>
  </si>
  <si>
    <t>Structured</t>
  </si>
  <si>
    <t>Brief proccess, with little follow up and transciption.</t>
  </si>
  <si>
    <t>DiCicco-Bloom &amp; Crabtree, 2007</t>
  </si>
  <si>
    <t>Semi-structured</t>
  </si>
  <si>
    <t>Reliable, with oppurtunities for data with depth and nuance. Though, slightly more susceptable to bias compared to more structured approaches.</t>
  </si>
  <si>
    <t>Preparation is time-consuming.</t>
  </si>
  <si>
    <t>Requires more time with the participant and transcribing interviews, than more structured approaches.</t>
  </si>
  <si>
    <t>DiCicco-Bloom &amp; Crabtree, 2008</t>
  </si>
  <si>
    <t>Unstructured</t>
  </si>
  <si>
    <t>Potential for more nuanced data, but low comparability and reliability. More susceptable to bias than other methods.</t>
  </si>
  <si>
    <t>Need to have excellent conversational skills to keep the interview going. Preparation is also very time-consuming. Analysis will be labour-intensive.</t>
  </si>
  <si>
    <t>Requires more time with the participant, and transcribing interviews.</t>
  </si>
  <si>
    <r>
      <rPr>
        <b/>
        <sz val="11"/>
        <color rgb="FF000000"/>
        <rFont val="Aptos Narrow"/>
      </rPr>
      <t>*1.</t>
    </r>
    <r>
      <rPr>
        <sz val="11"/>
        <color rgb="FF000000"/>
        <rFont val="Aptos Narrow"/>
      </rPr>
      <t xml:space="preserve"> Accuracy rankings reflect consistency and replicability, but methods ranked lower for accuracy can still provide rich, in-depth insights and  those ranked higher may offer less nuance.</t>
    </r>
    <r>
      <rPr>
        <b/>
        <sz val="11"/>
        <color rgb="FF000000"/>
        <rFont val="Aptos Narrow"/>
      </rPr>
      <t xml:space="preserve"> 2. F</t>
    </r>
    <r>
      <rPr>
        <sz val="11"/>
        <color rgb="FF000000"/>
        <rFont val="Aptos Narrow"/>
      </rPr>
      <t>inancial costs were estimated based on relative expenses likely to be incurred, such as, travel, participant compensation, equipment, and time-related costs like interview transcription.</t>
    </r>
  </si>
  <si>
    <t>DiCicco-Bloom &amp; Crabtree, 2009</t>
  </si>
  <si>
    <t>Focus Group</t>
  </si>
  <si>
    <t>Great for assessing collective insights, but group structure may lead to  suppression of diverse/marginalized opinions.</t>
  </si>
  <si>
    <t>Need to have good conversational and leadership skills.</t>
  </si>
  <si>
    <t>Cost and time efficient, as you can interview multiple people at once. Though, coordination and facilitation of a larger group may incur additional costs.</t>
  </si>
  <si>
    <t>DiCicco-Bloom &amp; Crabtree, 2010</t>
  </si>
  <si>
    <t>Randomised response techniques (RRT)</t>
  </si>
  <si>
    <t>is it a production assessment. or are using flow meteres the method???</t>
  </si>
  <si>
    <t>see comment</t>
  </si>
  <si>
    <t xml:space="preserve">Very accurate, as long as flow metres are calibrated and regularly checked. </t>
  </si>
  <si>
    <t>Requires installation and regular calibration of flow meters. Otherwise, easy to carry out assessment of records</t>
  </si>
  <si>
    <t xml:space="preserve">Requires installation of water flow meters, which can cost anywhere from £100 to over £5,000  depending on volume of </t>
  </si>
  <si>
    <t>Production assessments</t>
  </si>
  <si>
    <t>High accuracy if records are well kept</t>
  </si>
  <si>
    <t>Easy to carry out, provided that records are well kept</t>
  </si>
  <si>
    <t>Relies mainly on record review, therefore no anticipated costs.</t>
  </si>
  <si>
    <t>See comment above about water use.</t>
  </si>
  <si>
    <t>Requires analysis of the relationship between economic productivity and water consumption</t>
  </si>
  <si>
    <t>more difficult to link to project activities</t>
  </si>
  <si>
    <t>Data usually collected in census &amp; government surveys. Should be relatively easy to obtain access to data, though likely requires a request, depending on the country. Though, requires analysis of the relationship between economic productivity and water consumption</t>
  </si>
  <si>
    <t>Depends on the reliability of supplier and accurate reporting on fertilizer labels.</t>
  </si>
  <si>
    <t>Accuracy depends on record-keeping.</t>
  </si>
  <si>
    <t>Provided that records are well kept, it may be easy to acquire data. Though, indices requires compiling and analysing multiple data sets, which maybe be time consumingand challenging.</t>
  </si>
  <si>
    <t xml:space="preserve">Electricity metres </t>
  </si>
  <si>
    <t>Accurate measure of electricity use, but cannot determine where/how energy is used.</t>
  </si>
  <si>
    <t>Easy to use. Simple reading from the meter.</t>
  </si>
  <si>
    <t>Low cost if using existing utility meter. Depending on size of operation, may require sub-meters to understand energy use across site, which can cost £50-100 pounds for device and installation.</t>
  </si>
  <si>
    <t>https://www.energy.gov.au/business/energy-management-business/1-understand-your-energy-use/conduct-energy-audit</t>
  </si>
  <si>
    <t>https://www.peclights.com/shop/circuit-protection/sub-prepayment-meters?srsltid=AfmBOopx6QWGo-3I8PX4u_IPZ9EGMAFDPwgCWYZ2q3Jgpzov1EZtUphr</t>
  </si>
  <si>
    <t>Energy audit</t>
  </si>
  <si>
    <t>Identifies how and where energy is use, helps to identify areas for increased savings/efficiency.</t>
  </si>
  <si>
    <t>Requires trained auditors and  monitoring devices.</t>
  </si>
  <si>
    <t xml:space="preserve">Likely requires professional audit fees, possible rental/purchase of monitoring equipment. Depends on size, country etc. but can cost thousands of pounds. </t>
  </si>
  <si>
    <t>Utility bill analsyis</t>
  </si>
  <si>
    <t>Estimated electricity use based on bills. Also cannot determine where/how energy is used.</t>
  </si>
  <si>
    <t>Easy to carry out, provided that bill records are kept.</t>
  </si>
  <si>
    <t>https://www.abraxasenergy.com/articles/utility-bill-analysis-methods/</t>
  </si>
  <si>
    <t xml:space="preserve">Straighforward assessment, so low risk of misclassification. </t>
  </si>
  <si>
    <t>Straightforward and easy to assess, through energy contacts, bills, or on-site inspection, depending on the context</t>
  </si>
  <si>
    <t>Straightforward and easy to assess through visual confirmation</t>
  </si>
  <si>
    <t>Relies on visual confirmation, therefore no anticipated costs.</t>
  </si>
  <si>
    <r>
      <rPr>
        <b/>
        <sz val="11"/>
        <color rgb="FF000000"/>
        <rFont val="Aptos Narrow"/>
      </rPr>
      <t>*1.</t>
    </r>
    <r>
      <rPr>
        <sz val="11"/>
        <color rgb="FF000000"/>
        <rFont val="Aptos Narrow"/>
      </rPr>
      <t xml:space="preserve"> Accuracy rankings reflect consistency and replicability, but methods ranked lower for accuracy can still provide rich, in-depth insights and  those ranked higher may offer less nuance.</t>
    </r>
    <r>
      <rPr>
        <b/>
        <sz val="11"/>
        <color rgb="FF000000"/>
        <rFont val="Aptos Narrow"/>
      </rPr>
      <t xml:space="preserve"> 2. </t>
    </r>
    <r>
      <rPr>
        <sz val="11"/>
        <color rgb="FF000000"/>
        <rFont val="Aptos Narrow"/>
      </rPr>
      <t xml:space="preserve">For qualitative methods, financial costs were estimated based on relative expenses likely to be incurred, such as, travel, participant compensation, equipment, and time-related costs like interview transcription. </t>
    </r>
    <r>
      <rPr>
        <b/>
        <sz val="11"/>
        <color rgb="FF000000"/>
        <rFont val="Aptos Narrow"/>
      </rPr>
      <t xml:space="preserve">2. </t>
    </r>
    <r>
      <rPr>
        <sz val="11"/>
        <color rgb="FF000000"/>
        <rFont val="Aptos Narrow"/>
      </rPr>
      <t xml:space="preserve">This method is more suited to monitoring solid fuel consumption at a larger scale. </t>
    </r>
  </si>
  <si>
    <t>https://cleanair.london/app/uploads/14973_AnnexeA-UKdomesticsolidfuelsuseestimatespaper.pdf</t>
  </si>
  <si>
    <t>&lt;- Example of questionaire used for solid fuel onsumption estimates</t>
  </si>
  <si>
    <t>High accuracy if records are well kept or are working with good, calibrated scales</t>
  </si>
  <si>
    <t>Either by weighing, or reviewing records, estimate solid fuel used over time.</t>
  </si>
  <si>
    <t xml:space="preserve">Possibly requires weighing equipment </t>
  </si>
  <si>
    <t>This method is more suited to monitoring solid fuel consumption at a smaller scale.</t>
  </si>
  <si>
    <t>If categories are cleary defined and carried out by individuals who understand the categories, accuracy should be high.</t>
  </si>
  <si>
    <t>Should be straightforward using visual inspection and separation. Does not require technical expertise to carry out.</t>
  </si>
  <si>
    <t>Possibly requires protective gear depending on the type of waste being sorted.</t>
  </si>
  <si>
    <t>https://www.businesswaste.co.uk/waste-management-audit/</t>
  </si>
  <si>
    <t>https://businessofrecycling.wrap.ngo/recycling-guide/food-manufacturing/setting-up-recycling-for-your-food-or-drinks-manufacturing-business/how-to-conduct-a-waste-audit-for-the-food-and-drinks-manufacturing-sector</t>
  </si>
  <si>
    <t>High accuracy if working with good, calibrated scales</t>
  </si>
  <si>
    <t>More time and effort than waste classification, but does not require technical expertise to carry out.</t>
  </si>
  <si>
    <t>Requires weighing equipment and possible extra labour for carrying out assessment. Possibly requires protective gear depending on the type of waste being sorted.</t>
  </si>
  <si>
    <t>Accuracy depends on record-keeping and ability to verify dispoal routes</t>
  </si>
  <si>
    <t>Easy to carry out, provided that records are kept, and disposal routes are traceable.</t>
  </si>
  <si>
    <t>potential costs related to transport for validation of dispoal routes</t>
  </si>
  <si>
    <t>Judgments can be somewhat subjective. Dependent on assessor’s knowledge of local recycling infrastructure and markets.</t>
  </si>
  <si>
    <t>Requires specific knowledge/technical skill on local recycling infrastructure and markets</t>
  </si>
  <si>
    <t>Cost of hiring someone with technical knowledge or cost of training</t>
  </si>
  <si>
    <t>med-low</t>
  </si>
  <si>
    <t>Requires safety equiptment and adherence to protocols for handling hazardous wastes</t>
  </si>
  <si>
    <t>Costs of safety equiptment and training to adhere to protocols for handling hazardous wastes</t>
  </si>
  <si>
    <t>Relatively easy to carry out, provided that records are well kept. Though, maybe be time consuming.</t>
  </si>
  <si>
    <t>Participatory Mapping</t>
  </si>
  <si>
    <t>Requires materials to carry out mapping workshops, and time-intensive.</t>
  </si>
  <si>
    <t>Stakeholder analysis</t>
  </si>
  <si>
    <t>Stakeholder analysis are an effective way increase ability to anticipate opportunities and problems for the project. Though, lack of standardization and clear guidelines on how to carry out stakeholder analysis can undermine their credibility  (Bendtsen et al., 2021)</t>
  </si>
  <si>
    <t xml:space="preserve"> Interviews themselves typically follow a semi-structured format and therefore can be time-consuming to prepare. Jepsen &amp; Eskerod (2009) found that project managers may not have the skills or the resources required to carry out the tasks involved in making the necessary inquiries/determining key stakeholders to interview</t>
  </si>
  <si>
    <t>Requires significant time with the participants and transcribing interviews (Jepsen &amp; Eskerod, 2009)</t>
  </si>
  <si>
    <t>https://doi.org/10.1016/j.jenvman.2020.111773</t>
  </si>
  <si>
    <t>Bendtsen et al., 2021</t>
  </si>
  <si>
    <t>https://doi.org/10.1016/j.ijproman.2008.04.002</t>
  </si>
  <si>
    <t>Jepsen &amp; Eskerod, 2009</t>
  </si>
  <si>
    <t>Social network analysis</t>
  </si>
  <si>
    <t>Great tool for mapping relationships and power structures. However, issues with accuracy can occur as participants tend to overreport communication when they perceive a strong structural relationship to the alters they are rating (Corman et al., 2021)</t>
  </si>
  <si>
    <t xml:space="preserve">Requires technical knowledge and often specialized software (Tabassum et al., 2018). Must conduct interviews and surveys before hand to then carry out the analysis. </t>
  </si>
  <si>
    <t>Requires training, software, and prior data collection, which may add to costs.</t>
  </si>
  <si>
    <t>https://doi.org/10.1016/j.socnet.2020.12.010</t>
  </si>
  <si>
    <t>Corman et al., 2021</t>
  </si>
  <si>
    <t>https://doi.org/10.1002/widm.1256</t>
  </si>
  <si>
    <t>Tabassum et al., 2018</t>
  </si>
  <si>
    <t>Stakeholder consultation</t>
  </si>
  <si>
    <t>Different consultation approaches affects stakeholder diversity (Fraussen et al., 2020). It takes effort to consult a diversity of stakeholders, but without diversity of perspectives, ideas of stakeholder needs and concerns can be skewed and affect accuracy of findings (Burns et al., 2024)</t>
  </si>
  <si>
    <t>Relatively easy to carry out, as consultations are often informal and conversational. Though, can be time consuming as consultations need to be done early, and regularly so that the management of trade-offs responds directly to ongoing evaluation of outcomes (Burns et al.,2024). Also, approaches that allow for more stakeholder diversity, may take more time (Fraussen et al., 2020)</t>
  </si>
  <si>
    <t>Requires significant time with stakeholders.</t>
  </si>
  <si>
    <t>https://doi.org/10.1016/j.marpol.2024.106238</t>
  </si>
  <si>
    <t>Burns et al., 2024</t>
  </si>
  <si>
    <t>https://doi.org/10.1007/s11077-020-09382-3</t>
  </si>
  <si>
    <t>Fraussen et al., 2020</t>
  </si>
  <si>
    <t>Between 0-2</t>
  </si>
  <si>
    <t>Between 0-3</t>
  </si>
  <si>
    <t>Between 0-4</t>
  </si>
  <si>
    <t>id</t>
  </si>
  <si>
    <t>1.1 Avoid ecosystem degradation</t>
  </si>
  <si>
    <t>1.2 Minimize GHG emissions and enhance sinks</t>
  </si>
  <si>
    <t>1.3. Shift to environmentally sustainable practices</t>
  </si>
  <si>
    <t>1.4. Shift to renewable and bio-based processes</t>
  </si>
  <si>
    <t>2.1 Enhance human health and wellbeing</t>
  </si>
  <si>
    <t>2.2 Enhance equity and inclusion</t>
  </si>
  <si>
    <t>2.3 Shift to just governance</t>
  </si>
  <si>
    <t>3.1 Enhance economic prosperity</t>
  </si>
  <si>
    <t>3.2 Enhance livelihoods</t>
  </si>
  <si>
    <t>4.1 Conserve and restore ecological diversity</t>
  </si>
  <si>
    <t>4.2. Support and enhance social and cultural diversity</t>
  </si>
  <si>
    <t>4.3 Enhance economic diversity</t>
  </si>
  <si>
    <t>5.1 Restore ecological connectivity</t>
  </si>
  <si>
    <t>5.2 Enhance social connectivity</t>
  </si>
  <si>
    <t>6.1 Reduce socioecological risks</t>
  </si>
  <si>
    <t>6.2 Enhance innovation capacity</t>
  </si>
  <si>
    <t>7.1 Enhance nature-based solutions</t>
  </si>
  <si>
    <t>7.2. Balance trade-offs between and among humans and nature</t>
  </si>
  <si>
    <t>7.3. Harness local context, culture, and knowledge</t>
  </si>
  <si>
    <t>7.4 Enhance multi-level compliance</t>
  </si>
  <si>
    <t>Principle: 1. Natural Environment</t>
  </si>
  <si>
    <t>Principle: 2. Social Well-being</t>
  </si>
  <si>
    <t>Principle: 3. Economic Prosperity</t>
  </si>
  <si>
    <t>Principle: 4. Diversity</t>
  </si>
  <si>
    <t>Principle: 5. Connectivity</t>
  </si>
  <si>
    <t>Principle: 6. Adaptive Capacity</t>
  </si>
  <si>
    <t>Principle: 7. Harmony</t>
  </si>
  <si>
    <t>Indicator</t>
  </si>
  <si>
    <t>Class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</si>
</sst>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3">
    <font>
      <sz val="12"/>
      <color theme="1"/>
      <name val="Aptos Narrow"/>
      <family val="2"/>
      <scheme val="minor"/>
    </font>
    <font>
      <sz val="11"/>
      <color theme="1"/>
      <name val="Aptos Narrow"/>
      <family val="2"/>
      <scheme val="minor"/>
    </font>
    <font>
      <b/>
      <sz val="12"/>
      <color theme="1"/>
      <name val="Arial"/>
      <family val="2"/>
    </font>
    <font>
      <b/>
      <sz val="10"/>
      <color theme="1"/>
      <name val="Arial"/>
      <family val="2"/>
    </font>
    <font>
      <sz val="10"/>
      <color rgb="FF000000"/>
      <name val="Noto Sans"/>
      <charset val="1"/>
    </font>
    <font>
      <sz val="10"/>
      <color rgb="FF000000"/>
      <name val="Noto Sans"/>
      <family val="2"/>
    </font>
    <font>
      <sz val="10"/>
      <color theme="1"/>
      <name val="Arial"/>
      <family val="2"/>
    </font>
    <font>
      <b/>
      <sz val="10"/>
      <color theme="1"/>
      <name val="lato"/>
    </font>
    <font>
      <b/>
      <sz val="11"/>
      <color theme="1"/>
      <name val="Lato"/>
    </font>
    <font>
      <b/>
      <sz val="11"/>
      <color rgb="FF000000"/>
      <name val="Lato"/>
    </font>
    <font>
      <sz val="11"/>
      <color rgb="FF000000"/>
      <name val="Lato"/>
    </font>
    <font>
      <b/>
      <sz val="10"/>
      <color theme="1"/>
      <name val="Lato"/>
      <family val="2"/>
    </font>
    <font>
      <sz val="10"/>
      <color theme="1"/>
      <name val="lato"/>
    </font>
    <font>
      <sz val="10"/>
      <color theme="1"/>
      <name val="Aptos Narrow"/>
    </font>
    <font>
      <sz val="11"/>
      <color theme="1"/>
      <name val="Lato"/>
    </font>
    <font>
      <sz val="10"/>
      <color rgb="FF000000"/>
      <name val="lato"/>
    </font>
    <font>
      <sz val="10"/>
      <color rgb="FFFF0000"/>
      <name val="lato"/>
    </font>
    <font>
      <i/>
      <sz val="11"/>
      <color theme="1"/>
      <name val="Aptos Narrow"/>
      <family val="2"/>
      <scheme val="minor"/>
    </font>
    <font>
      <u/>
      <sz val="11"/>
      <color theme="10"/>
      <name val="Aptos Narrow"/>
      <family val="2"/>
      <scheme val="minor"/>
    </font>
    <font>
      <sz val="11"/>
      <color rgb="FFFF0000"/>
      <name val="Lato"/>
    </font>
    <font>
      <sz val="10"/>
      <color theme="1"/>
      <name val="Aptos Narrow"/>
      <family val="2"/>
      <scheme val="minor"/>
    </font>
    <font>
      <u/>
      <sz val="10"/>
      <color theme="10"/>
      <name val="Aptos Narrow"/>
      <family val="2"/>
      <scheme val="minor"/>
    </font>
    <font>
      <sz val="10"/>
      <color rgb="FF000000"/>
      <name val="Arial"/>
      <family val="2"/>
    </font>
    <font>
      <sz val="11"/>
      <color rgb="FF000000"/>
      <name val="Aptos Narrow"/>
    </font>
    <font>
      <sz val="11"/>
      <color rgb="FF000000"/>
      <name val="Aptos Narrow"/>
      <family val="2"/>
      <scheme val="minor"/>
    </font>
    <font>
      <b/>
      <sz val="10"/>
      <color rgb="FFFF0000"/>
      <name val="lato"/>
    </font>
    <font>
      <sz val="10"/>
      <color rgb="FFFF0000"/>
      <name val="Lato"/>
      <family val="2"/>
    </font>
    <font>
      <sz val="10"/>
      <color theme="1"/>
      <name val="Cambria"/>
      <family val="1"/>
    </font>
    <font>
      <sz val="10"/>
      <color rgb="FFFF0000"/>
      <name val="Arial"/>
      <family val="2"/>
    </font>
    <font>
      <sz val="10"/>
      <color rgb="FF000000"/>
      <name val="Lato"/>
      <family val="2"/>
    </font>
    <font>
      <sz val="10"/>
      <color rgb="FF000000"/>
      <name val="Aptos Narrow"/>
      <family val="2"/>
      <scheme val="minor"/>
    </font>
    <font>
      <sz val="11"/>
      <color rgb="FF000000"/>
      <name val="Aptos Narrow"/>
      <scheme val="minor"/>
    </font>
    <font>
      <sz val="10"/>
      <color theme="1"/>
      <name val="Cambria"/>
      <family val="1"/>
      <charset val="1"/>
    </font>
    <font>
      <u/>
      <sz val="11"/>
      <color theme="10"/>
      <name val="lato"/>
    </font>
    <font>
      <sz val="12"/>
      <color theme="1"/>
      <name val="lato"/>
    </font>
    <font>
      <sz val="10"/>
      <color rgb="FFFF0000"/>
      <name val="Aptos Narrow"/>
      <scheme val="minor"/>
    </font>
    <font>
      <b/>
      <sz val="11"/>
      <color rgb="FF000000"/>
      <name val="Aptos Narrow"/>
    </font>
    <font>
      <b/>
      <sz val="10"/>
      <color rgb="FF000000"/>
      <name val="Lato"/>
    </font>
    <font>
      <b/>
      <sz val="11"/>
      <color rgb="FF000000"/>
      <name val="Aptos Narrow"/>
      <scheme val="minor"/>
    </font>
    <font>
      <sz val="10"/>
      <color rgb="FF000000"/>
      <name val="Aptos Narrow"/>
      <scheme val="minor"/>
    </font>
    <font>
      <b/>
      <i/>
      <sz val="11"/>
      <color rgb="FF000000"/>
      <name val="Lato"/>
    </font>
    <font>
      <b/>
      <i/>
      <sz val="11"/>
      <color rgb="FF000000"/>
      <name val="Aptos Narrow"/>
      <scheme val="minor"/>
    </font>
    <font>
      <sz val="10"/>
      <color rgb="FF000000"/>
      <name val="Aptos Narrow"/>
    </font>
    <font>
      <sz val="12"/>
      <color theme="1"/>
      <name val="Cambria"/>
      <family val="1"/>
      <charset val="1"/>
    </font>
    <font>
      <sz val="10"/>
      <name val="lato"/>
    </font>
    <font>
      <sz val="10"/>
      <name val="Lato"/>
      <family val="2"/>
    </font>
    <font>
      <b/>
      <sz val="10"/>
      <color rgb="FFFF0000"/>
      <name val="Lato"/>
      <family val="2"/>
    </font>
    <font>
      <vertAlign val="superscript"/>
      <sz val="10"/>
      <color rgb="FF000000"/>
      <name val="lato"/>
    </font>
    <font>
      <sz val="11"/>
      <color rgb="FFFF0000"/>
      <name val="Aptos Narrow"/>
      <family val="2"/>
      <scheme val="minor"/>
    </font>
    <font>
      <sz val="10"/>
      <color rgb="FFFF0000"/>
      <name val="Aptos Narrow"/>
      <family val="2"/>
      <scheme val="minor"/>
    </font>
    <font>
      <sz val="10"/>
      <color theme="1"/>
      <name val="Arial"/>
      <family val="2"/>
      <charset val="1"/>
    </font>
    <font>
      <b/>
      <sz val="11"/>
      <color rgb="FFFF0000"/>
      <name val="Lato"/>
    </font>
    <font>
      <b/>
      <sz val="11"/>
      <color theme="1"/>
      <name val="Aptos Narrow"/>
      <family val="2"/>
      <scheme val="minor"/>
    </font>
  </fonts>
  <fills count="13">
    <fill>
      <patternFill patternType="none"/>
    </fill>
    <fill>
      <patternFill patternType="gray125"/>
    </fill>
    <fill>
      <patternFill patternType="solid">
        <fgColor rgb="FFD9EAD3"/>
        <bgColor indexed="64"/>
      </patternFill>
    </fill>
    <fill>
      <patternFill patternType="solid">
        <fgColor rgb="FFEAD1DC"/>
        <bgColor indexed="64"/>
      </patternFill>
    </fill>
    <fill>
      <patternFill patternType="solid">
        <fgColor rgb="FFCFE2F3"/>
        <bgColor indexed="64"/>
      </patternFill>
    </fill>
    <fill>
      <patternFill patternType="solid">
        <fgColor theme="3" tint="0.89999084444715716"/>
        <bgColor indexed="64"/>
      </patternFill>
    </fill>
    <fill>
      <patternFill patternType="solid">
        <fgColor rgb="FFFCE5CD"/>
        <bgColor indexed="64"/>
      </patternFill>
    </fill>
    <fill>
      <patternFill patternType="solid">
        <fgColor rgb="FFF4CCCC"/>
        <bgColor indexed="64"/>
      </patternFill>
    </fill>
    <fill>
      <patternFill patternType="solid">
        <fgColor rgb="FFFFF2CC"/>
        <bgColor indexed="64"/>
      </patternFill>
    </fill>
    <fill>
      <patternFill patternType="solid">
        <fgColor rgb="FFD9D2E9"/>
        <bgColor indexed="64"/>
      </patternFill>
    </fill>
    <fill>
      <patternFill patternType="solid">
        <fgColor theme="4" tint="0.79998168889431442"/>
        <bgColor indexed="64"/>
      </patternFill>
    </fill>
    <fill>
      <patternFill patternType="solid">
        <fgColor theme="0"/>
        <bgColor indexed="64"/>
      </patternFill>
    </fill>
    <fill>
      <patternFill patternType="solid">
        <fgColor rgb="FFFFD9D9"/>
        <bgColor indexed="64"/>
      </patternFill>
    </fill>
  </fills>
  <borders count="1">
    <border>
      <left/>
      <right/>
      <top/>
      <bottom/>
      <diagonal/>
    </border>
  </borders>
  <cellStyleXfs count="3">
    <xf numFmtId="0" fontId="0" fillId="0" borderId="0"/>
    <xf numFmtId="0" fontId="1" fillId="0" borderId="0"/>
    <xf numFmtId="0" fontId="18" fillId="0" borderId="0" applyNumberFormat="0" applyFill="0" applyBorder="0" applyAlignment="0" applyProtection="0"/>
  </cellStyleXfs>
  <cellXfs count="131">
    <xf numFmtId="0" fontId="0" fillId="0" borderId="0" xfId="0"/>
    <xf numFmtId="0" fontId="18" fillId="0" borderId="0" xfId="2" applyBorder="1" applyAlignment="1">
      <alignment vertical="top"/>
    </xf>
    <xf numFmtId="0" fontId="33" fillId="0" borderId="0" xfId="2" applyFont="1" applyBorder="1" applyAlignment="1">
      <alignment vertical="top"/>
    </xf>
    <xf numFmtId="0" fontId="18" fillId="0" borderId="0" xfId="2" applyFill="1" applyBorder="1" applyAlignment="1">
      <alignment vertical="top"/>
    </xf>
    <xf numFmtId="0" fontId="18" fillId="0" borderId="0" xfId="2" applyBorder="1" applyAlignment="1">
      <alignment readingOrder="1"/>
    </xf>
    <xf numFmtId="0" fontId="2" fillId="0" borderId="0" xfId="1" applyFont="1" applyAlignment="1">
      <alignment wrapText="1" readingOrder="1"/>
    </xf>
    <xf numFmtId="0" fontId="2" fillId="0" borderId="0" xfId="1" applyFont="1" applyAlignment="1">
      <alignment horizontal="left" readingOrder="1"/>
    </xf>
    <xf numFmtId="0" fontId="3" fillId="0" borderId="0" xfId="1" applyFont="1" applyAlignment="1">
      <alignment wrapText="1" readingOrder="1"/>
    </xf>
    <xf numFmtId="0" fontId="3" fillId="0" borderId="0" xfId="1" applyFont="1" applyAlignment="1">
      <alignment textRotation="90" wrapText="1" readingOrder="1"/>
    </xf>
    <xf numFmtId="0" fontId="3" fillId="2" borderId="0" xfId="1" applyFont="1" applyFill="1" applyAlignment="1">
      <alignment textRotation="90" wrapText="1" readingOrder="1"/>
    </xf>
    <xf numFmtId="0" fontId="4" fillId="2" borderId="0" xfId="1" applyFont="1" applyFill="1" applyAlignment="1">
      <alignment wrapText="1"/>
    </xf>
    <xf numFmtId="0" fontId="3" fillId="3" borderId="0" xfId="1" applyFont="1" applyFill="1" applyAlignment="1">
      <alignment textRotation="90" wrapText="1" readingOrder="1"/>
    </xf>
    <xf numFmtId="0" fontId="4" fillId="3" borderId="0" xfId="1" applyFont="1" applyFill="1" applyAlignment="1">
      <alignment wrapText="1"/>
    </xf>
    <xf numFmtId="0" fontId="3" fillId="4" borderId="0" xfId="1" applyFont="1" applyFill="1" applyAlignment="1">
      <alignment textRotation="90" wrapText="1" readingOrder="1"/>
    </xf>
    <xf numFmtId="0" fontId="4" fillId="5" borderId="0" xfId="1" applyFont="1" applyFill="1" applyAlignment="1">
      <alignment wrapText="1"/>
    </xf>
    <xf numFmtId="0" fontId="5" fillId="5" borderId="0" xfId="1" applyFont="1" applyFill="1" applyAlignment="1">
      <alignment wrapText="1"/>
    </xf>
    <xf numFmtId="0" fontId="3" fillId="6" borderId="0" xfId="1" applyFont="1" applyFill="1" applyAlignment="1">
      <alignment textRotation="90" wrapText="1" readingOrder="1"/>
    </xf>
    <xf numFmtId="0" fontId="4" fillId="6" borderId="0" xfId="1" applyFont="1" applyFill="1" applyAlignment="1">
      <alignment wrapText="1"/>
    </xf>
    <xf numFmtId="0" fontId="5" fillId="6" borderId="0" xfId="1" applyFont="1" applyFill="1" applyAlignment="1">
      <alignment wrapText="1"/>
    </xf>
    <xf numFmtId="0" fontId="3" fillId="7" borderId="0" xfId="1" applyFont="1" applyFill="1" applyAlignment="1">
      <alignment textRotation="90" wrapText="1" readingOrder="1"/>
    </xf>
    <xf numFmtId="0" fontId="4" fillId="7" borderId="0" xfId="1" applyFont="1" applyFill="1" applyAlignment="1">
      <alignment wrapText="1"/>
    </xf>
    <xf numFmtId="0" fontId="5" fillId="7" borderId="0" xfId="1" applyFont="1" applyFill="1" applyAlignment="1">
      <alignment wrapText="1"/>
    </xf>
    <xf numFmtId="0" fontId="3" fillId="8" borderId="0" xfId="1" applyFont="1" applyFill="1" applyAlignment="1">
      <alignment textRotation="90" wrapText="1" readingOrder="1"/>
    </xf>
    <xf numFmtId="0" fontId="4" fillId="8" borderId="0" xfId="1" applyFont="1" applyFill="1" applyAlignment="1">
      <alignment wrapText="1"/>
    </xf>
    <xf numFmtId="0" fontId="3" fillId="9" borderId="0" xfId="1" applyFont="1" applyFill="1" applyAlignment="1">
      <alignment textRotation="90" wrapText="1" readingOrder="1"/>
    </xf>
    <xf numFmtId="0" fontId="5" fillId="9" borderId="0" xfId="1" applyFont="1" applyFill="1" applyAlignment="1">
      <alignment wrapText="1"/>
    </xf>
    <xf numFmtId="0" fontId="4" fillId="10" borderId="0" xfId="1" applyFont="1" applyFill="1" applyAlignment="1">
      <alignment wrapText="1"/>
    </xf>
    <xf numFmtId="0" fontId="1" fillId="0" borderId="0" xfId="1"/>
    <xf numFmtId="0" fontId="6" fillId="0" borderId="0" xfId="1" applyFont="1" applyAlignment="1">
      <alignment readingOrder="1"/>
    </xf>
    <xf numFmtId="0" fontId="6" fillId="0" borderId="0" xfId="1" applyFont="1" applyAlignment="1">
      <alignment horizontal="left" readingOrder="1"/>
    </xf>
    <xf numFmtId="0" fontId="3" fillId="0" borderId="0" xfId="1" applyFont="1" applyAlignment="1">
      <alignment readingOrder="1"/>
    </xf>
    <xf numFmtId="0" fontId="6" fillId="2" borderId="0" xfId="1" applyFont="1" applyFill="1" applyAlignment="1">
      <alignment readingOrder="1"/>
    </xf>
    <xf numFmtId="0" fontId="6" fillId="3" borderId="0" xfId="1" applyFont="1" applyFill="1" applyAlignment="1">
      <alignment readingOrder="1"/>
    </xf>
    <xf numFmtId="0" fontId="6" fillId="4" borderId="0" xfId="1" applyFont="1" applyFill="1" applyAlignment="1">
      <alignment readingOrder="1"/>
    </xf>
    <xf numFmtId="0" fontId="6" fillId="6" borderId="0" xfId="1" applyFont="1" applyFill="1" applyAlignment="1">
      <alignment readingOrder="1"/>
    </xf>
    <xf numFmtId="0" fontId="6" fillId="7" borderId="0" xfId="1" applyFont="1" applyFill="1" applyAlignment="1">
      <alignment readingOrder="1"/>
    </xf>
    <xf numFmtId="0" fontId="6" fillId="8" borderId="0" xfId="1" applyFont="1" applyFill="1" applyAlignment="1">
      <alignment readingOrder="1"/>
    </xf>
    <xf numFmtId="0" fontId="6" fillId="9" borderId="0" xfId="1" applyFont="1" applyFill="1" applyAlignment="1">
      <alignment readingOrder="1"/>
    </xf>
    <xf numFmtId="0" fontId="1" fillId="10" borderId="0" xfId="1" applyFill="1"/>
    <xf numFmtId="0" fontId="1" fillId="0" borderId="0" xfId="1" applyAlignment="1">
      <alignment horizontal="left"/>
    </xf>
    <xf numFmtId="0" fontId="18" fillId="0" borderId="0" xfId="2" applyBorder="1" applyAlignment="1"/>
    <xf numFmtId="0" fontId="7" fillId="0" borderId="0" xfId="1" applyFont="1" applyAlignment="1">
      <alignment horizontal="center" vertical="center" wrapText="1"/>
    </xf>
    <xf numFmtId="0" fontId="8" fillId="0" borderId="0" xfId="1" applyFont="1" applyAlignment="1">
      <alignment horizontal="center" vertical="center"/>
    </xf>
    <xf numFmtId="0" fontId="9" fillId="0" borderId="0" xfId="1" applyFont="1" applyAlignment="1">
      <alignment horizontal="center" vertical="center"/>
    </xf>
    <xf numFmtId="0" fontId="9" fillId="0" borderId="0" xfId="1" applyFont="1" applyAlignment="1">
      <alignment horizontal="center" vertical="center" wrapText="1"/>
    </xf>
    <xf numFmtId="0" fontId="10" fillId="11" borderId="0" xfId="1" applyFont="1" applyFill="1" applyAlignment="1">
      <alignment horizontal="center" vertical="center" wrapText="1"/>
    </xf>
    <xf numFmtId="0" fontId="10" fillId="0" borderId="0" xfId="1" applyFont="1" applyAlignment="1">
      <alignment horizontal="center" vertical="center" wrapText="1"/>
    </xf>
    <xf numFmtId="0" fontId="11" fillId="0" borderId="0" xfId="1" applyFont="1" applyAlignment="1">
      <alignment horizontal="center" vertical="center" textRotation="90" wrapText="1"/>
    </xf>
    <xf numFmtId="0" fontId="8" fillId="0" borderId="0" xfId="1" applyFont="1" applyAlignment="1">
      <alignment horizontal="center" vertical="center" wrapText="1"/>
    </xf>
    <xf numFmtId="0" fontId="12" fillId="0" borderId="0" xfId="1" applyFont="1" applyAlignment="1">
      <alignment vertical="top" readingOrder="1"/>
    </xf>
    <xf numFmtId="0" fontId="6" fillId="0" borderId="0" xfId="1" applyFont="1" applyAlignment="1">
      <alignment horizontal="center" vertical="center" readingOrder="1"/>
    </xf>
    <xf numFmtId="0" fontId="12" fillId="0" borderId="0" xfId="1" applyFont="1" applyAlignment="1">
      <alignment horizontal="left" vertical="top"/>
    </xf>
    <xf numFmtId="0" fontId="7" fillId="0" borderId="0" xfId="1" applyFont="1" applyAlignment="1">
      <alignment horizontal="center" vertical="center"/>
    </xf>
    <xf numFmtId="0" fontId="12" fillId="0" borderId="0" xfId="1" applyFont="1" applyAlignment="1">
      <alignment vertical="top"/>
    </xf>
    <xf numFmtId="0" fontId="12" fillId="0" borderId="0" xfId="1" applyFont="1"/>
    <xf numFmtId="0" fontId="13" fillId="0" borderId="0" xfId="1" applyFont="1" applyAlignment="1">
      <alignment vertical="top"/>
    </xf>
    <xf numFmtId="0" fontId="14" fillId="0" borderId="0" xfId="1" applyFont="1" applyAlignment="1">
      <alignment horizontal="center" vertical="center"/>
    </xf>
    <xf numFmtId="0" fontId="15" fillId="0" borderId="0" xfId="1" applyFont="1" applyAlignment="1">
      <alignment vertical="top"/>
    </xf>
    <xf numFmtId="0" fontId="14" fillId="0" borderId="0" xfId="1" applyFont="1"/>
    <xf numFmtId="0" fontId="14" fillId="0" borderId="0" xfId="1" applyFont="1" applyAlignment="1">
      <alignment vertical="top"/>
    </xf>
    <xf numFmtId="0" fontId="1" fillId="0" borderId="0" xfId="1" applyAlignment="1">
      <alignment vertical="top"/>
    </xf>
    <xf numFmtId="0" fontId="16" fillId="0" borderId="0" xfId="1" applyFont="1" applyAlignment="1">
      <alignment vertical="top"/>
    </xf>
    <xf numFmtId="0" fontId="17" fillId="0" borderId="0" xfId="1" applyFont="1" applyAlignment="1">
      <alignment vertical="top"/>
    </xf>
    <xf numFmtId="0" fontId="15" fillId="0" borderId="0" xfId="1" applyFont="1" applyAlignment="1">
      <alignment horizontal="left" vertical="top"/>
    </xf>
    <xf numFmtId="0" fontId="19" fillId="0" borderId="0" xfId="1" applyFont="1" applyAlignment="1">
      <alignment vertical="top"/>
    </xf>
    <xf numFmtId="0" fontId="20" fillId="0" borderId="0" xfId="1" applyFont="1"/>
    <xf numFmtId="0" fontId="21" fillId="0" borderId="0" xfId="2" applyFont="1" applyBorder="1" applyAlignment="1"/>
    <xf numFmtId="0" fontId="20" fillId="0" borderId="0" xfId="1" applyFont="1" applyAlignment="1">
      <alignment vertical="top"/>
    </xf>
    <xf numFmtId="0" fontId="15" fillId="0" borderId="0" xfId="1" applyFont="1" applyAlignment="1">
      <alignment horizontal="center" vertical="center" readingOrder="1"/>
    </xf>
    <xf numFmtId="0" fontId="15" fillId="0" borderId="0" xfId="1" applyFont="1" applyAlignment="1">
      <alignment vertical="center"/>
    </xf>
    <xf numFmtId="0" fontId="10" fillId="0" borderId="0" xfId="1" applyFont="1" applyAlignment="1">
      <alignment horizontal="center" vertical="center"/>
    </xf>
    <xf numFmtId="0" fontId="10" fillId="0" borderId="0" xfId="1" applyFont="1" applyAlignment="1">
      <alignment vertical="top"/>
    </xf>
    <xf numFmtId="0" fontId="22" fillId="0" borderId="0" xfId="1" applyFont="1" applyAlignment="1">
      <alignment vertical="top" readingOrder="1"/>
    </xf>
    <xf numFmtId="0" fontId="23" fillId="0" borderId="0" xfId="1" applyFont="1" applyAlignment="1">
      <alignment vertical="top"/>
    </xf>
    <xf numFmtId="0" fontId="24" fillId="0" borderId="0" xfId="1" applyFont="1" applyAlignment="1">
      <alignment vertical="top"/>
    </xf>
    <xf numFmtId="0" fontId="24" fillId="0" borderId="0" xfId="1" applyFont="1"/>
    <xf numFmtId="0" fontId="12" fillId="0" borderId="0" xfId="1" applyFont="1" applyAlignment="1">
      <alignment horizontal="center" vertical="center" readingOrder="1"/>
    </xf>
    <xf numFmtId="0" fontId="25" fillId="0" borderId="0" xfId="1" applyFont="1" applyAlignment="1">
      <alignment horizontal="left" vertical="top"/>
    </xf>
    <xf numFmtId="0" fontId="16" fillId="0" borderId="0" xfId="1" applyFont="1" applyAlignment="1">
      <alignment vertical="top" readingOrder="1"/>
    </xf>
    <xf numFmtId="0" fontId="26" fillId="0" borderId="0" xfId="1" applyFont="1" applyAlignment="1">
      <alignment horizontal="left" vertical="top"/>
    </xf>
    <xf numFmtId="0" fontId="16" fillId="0" borderId="0" xfId="1" applyFont="1" applyAlignment="1">
      <alignment horizontal="left" vertical="top"/>
    </xf>
    <xf numFmtId="0" fontId="27" fillId="0" borderId="0" xfId="1" applyFont="1" applyAlignment="1">
      <alignment vertical="top"/>
    </xf>
    <xf numFmtId="0" fontId="28" fillId="0" borderId="0" xfId="1" applyFont="1" applyAlignment="1">
      <alignment horizontal="center" vertical="center" readingOrder="1"/>
    </xf>
    <xf numFmtId="0" fontId="29" fillId="0" borderId="0" xfId="1" applyFont="1" applyAlignment="1">
      <alignment horizontal="left" vertical="top"/>
    </xf>
    <xf numFmtId="0" fontId="6" fillId="0" borderId="0" xfId="1" applyFont="1" applyAlignment="1">
      <alignment horizontal="center" vertical="top" readingOrder="1"/>
    </xf>
    <xf numFmtId="0" fontId="6" fillId="0" borderId="0" xfId="1" applyFont="1" applyAlignment="1">
      <alignment vertical="top" readingOrder="1"/>
    </xf>
    <xf numFmtId="0" fontId="15" fillId="0" borderId="0" xfId="1" applyFont="1" applyAlignment="1">
      <alignment vertical="top" readingOrder="1"/>
    </xf>
    <xf numFmtId="0" fontId="22" fillId="0" borderId="0" xfId="1" applyFont="1" applyAlignment="1">
      <alignment horizontal="center" vertical="center" readingOrder="1"/>
    </xf>
    <xf numFmtId="0" fontId="30" fillId="0" borderId="0" xfId="1" applyFont="1"/>
    <xf numFmtId="0" fontId="15" fillId="0" borderId="0" xfId="1" applyFont="1"/>
    <xf numFmtId="0" fontId="31" fillId="0" borderId="0" xfId="1" applyFont="1" applyAlignment="1">
      <alignment vertical="top"/>
    </xf>
    <xf numFmtId="0" fontId="30" fillId="0" borderId="0" xfId="1" applyFont="1" applyAlignment="1">
      <alignment vertical="top"/>
    </xf>
    <xf numFmtId="0" fontId="32" fillId="0" borderId="0" xfId="1" applyFont="1"/>
    <xf numFmtId="0" fontId="8" fillId="0" borderId="0" xfId="1" applyFont="1" applyAlignment="1">
      <alignment horizontal="center" vertical="top"/>
    </xf>
    <xf numFmtId="0" fontId="14" fillId="0" borderId="0" xfId="1" applyFont="1" applyAlignment="1">
      <alignment horizontal="center" vertical="top"/>
    </xf>
    <xf numFmtId="0" fontId="34" fillId="0" borderId="0" xfId="1" applyFont="1" applyAlignment="1">
      <alignment vertical="top"/>
    </xf>
    <xf numFmtId="0" fontId="35" fillId="0" borderId="0" xfId="1" applyFont="1" applyAlignment="1">
      <alignment vertical="top"/>
    </xf>
    <xf numFmtId="0" fontId="23" fillId="0" borderId="0" xfId="1" applyFont="1" applyAlignment="1">
      <alignment vertical="center"/>
    </xf>
    <xf numFmtId="0" fontId="39" fillId="0" borderId="0" xfId="1" applyFont="1" applyAlignment="1">
      <alignment vertical="top"/>
    </xf>
    <xf numFmtId="0" fontId="42" fillId="0" borderId="0" xfId="1" applyFont="1" applyAlignment="1">
      <alignment vertical="top"/>
    </xf>
    <xf numFmtId="0" fontId="43" fillId="0" borderId="0" xfId="1" applyFont="1" applyAlignment="1">
      <alignment vertical="top"/>
    </xf>
    <xf numFmtId="0" fontId="43" fillId="0" borderId="0" xfId="1" applyFont="1"/>
    <xf numFmtId="0" fontId="44" fillId="0" borderId="0" xfId="1" applyFont="1" applyAlignment="1">
      <alignment horizontal="left" vertical="top"/>
    </xf>
    <xf numFmtId="0" fontId="25" fillId="0" borderId="0" xfId="1" applyFont="1" applyAlignment="1">
      <alignment vertical="top"/>
    </xf>
    <xf numFmtId="0" fontId="44" fillId="0" borderId="0" xfId="1" applyFont="1" applyAlignment="1">
      <alignment vertical="top" readingOrder="1"/>
    </xf>
    <xf numFmtId="0" fontId="45" fillId="0" borderId="0" xfId="1" applyFont="1" applyAlignment="1">
      <alignment horizontal="center" vertical="center" readingOrder="1"/>
    </xf>
    <xf numFmtId="0" fontId="45" fillId="0" borderId="0" xfId="1" applyFont="1"/>
    <xf numFmtId="0" fontId="46" fillId="0" borderId="0" xfId="1" applyFont="1" applyAlignment="1">
      <alignment horizontal="center" vertical="center"/>
    </xf>
    <xf numFmtId="0" fontId="45" fillId="0" borderId="0" xfId="1" applyFont="1" applyAlignment="1">
      <alignment vertical="top"/>
    </xf>
    <xf numFmtId="0" fontId="19" fillId="12" borderId="0" xfId="1" applyFont="1" applyFill="1" applyAlignment="1">
      <alignment horizontal="center" vertical="center"/>
    </xf>
    <xf numFmtId="0" fontId="12" fillId="0" borderId="0" xfId="1" applyFont="1" applyAlignment="1">
      <alignment horizontal="center" vertical="center"/>
    </xf>
    <xf numFmtId="0" fontId="37" fillId="0" borderId="0" xfId="1" applyFont="1" applyAlignment="1">
      <alignment horizontal="center" vertical="center"/>
    </xf>
    <xf numFmtId="0" fontId="48" fillId="0" borderId="0" xfId="1" applyFont="1"/>
    <xf numFmtId="0" fontId="1" fillId="0" borderId="0" xfId="1" applyAlignment="1">
      <alignment horizontal="center"/>
    </xf>
    <xf numFmtId="0" fontId="31" fillId="0" borderId="0" xfId="1" applyFont="1"/>
    <xf numFmtId="0" fontId="12" fillId="0" borderId="0" xfId="1" applyFont="1" applyAlignment="1">
      <alignment horizontal="left" vertical="top" readingOrder="1"/>
    </xf>
    <xf numFmtId="0" fontId="49" fillId="0" borderId="0" xfId="1" applyFont="1"/>
    <xf numFmtId="0" fontId="50" fillId="0" borderId="0" xfId="1" applyFont="1" applyAlignment="1">
      <alignment vertical="top"/>
    </xf>
    <xf numFmtId="0" fontId="25" fillId="0" borderId="0" xfId="1" applyFont="1" applyAlignment="1">
      <alignment horizontal="center" vertical="center"/>
    </xf>
    <xf numFmtId="0" fontId="51" fillId="0" borderId="0" xfId="1" applyFont="1" applyAlignment="1">
      <alignment horizontal="center" vertical="center"/>
    </xf>
    <xf numFmtId="0" fontId="49" fillId="0" borderId="0" xfId="1" applyFont="1" applyAlignment="1">
      <alignment vertical="top"/>
    </xf>
    <xf numFmtId="0" fontId="19" fillId="0" borderId="0" xfId="1" applyFont="1" applyAlignment="1">
      <alignment horizontal="center" vertical="center"/>
    </xf>
    <xf numFmtId="0" fontId="28" fillId="0" borderId="0" xfId="1" applyFont="1" applyAlignment="1">
      <alignment horizontal="left" vertical="center" readingOrder="1"/>
    </xf>
    <xf numFmtId="0" fontId="16" fillId="0" borderId="0" xfId="1" applyFont="1" applyAlignment="1">
      <alignment horizontal="left" vertical="top" readingOrder="1"/>
    </xf>
    <xf numFmtId="0" fontId="16" fillId="0" borderId="0" xfId="1" applyFont="1" applyAlignment="1">
      <alignment horizontal="center" vertical="top" readingOrder="1"/>
    </xf>
    <xf numFmtId="0" fontId="6" fillId="0" borderId="0" xfId="1" applyFont="1" applyAlignment="1">
      <alignment horizontal="left" vertical="center" readingOrder="1"/>
    </xf>
    <xf numFmtId="0" fontId="23" fillId="0" borderId="0" xfId="1" applyFont="1"/>
    <xf numFmtId="0" fontId="6" fillId="0" borderId="0" xfId="1" applyFont="1" applyAlignment="1">
      <alignment horizontal="left" vertical="top" readingOrder="1"/>
    </xf>
    <xf numFmtId="0" fontId="7" fillId="0" borderId="0" xfId="1" applyFont="1" applyAlignment="1">
      <alignment horizontal="center" vertical="top"/>
    </xf>
    <xf numFmtId="0" fontId="52" fillId="0" borderId="0" xfId="1" applyFont="1"/>
    <xf numFmtId="0" fontId="16" fillId="0" borderId="0" xfId="1" applyFont="1" applyAlignment="1">
      <alignment horizontal="left" vertical="top"/>
    </xf>
  </cellXfs>
  <cellStyles count="3">
    <cellStyle name="Hyperlink 2" xfId="2" xr:uid="{CDCBA8E0-7F65-B14D-BD55-54147468BA92}"/>
    <cellStyle name="Normal" xfId="0" builtinId="0"/>
    <cellStyle name="Normal 2" xfId="1" xr:uid="{68D7840E-D7BA-C342-B633-4E05B272BDC5}"/>
  </cellStyles>
  <dxfs count="627">
    <dxf>
      <font>
        <b/>
        <i val="0"/>
        <color rgb="FFC26E00"/>
      </font>
      <fill>
        <patternFill patternType="solid">
          <bgColor rgb="FFFFDFC7"/>
        </patternFill>
      </fill>
    </dxf>
    <dxf>
      <font>
        <color rgb="FF9C0006"/>
      </font>
      <fill>
        <patternFill>
          <bgColor rgb="FFFFC7CE"/>
        </patternFill>
      </fill>
    </dxf>
    <dxf>
      <font>
        <b/>
        <i val="0"/>
        <color rgb="FF9C5700"/>
      </font>
      <fill>
        <patternFill patternType="solid">
          <bgColor rgb="FFFFEB9C"/>
        </patternFill>
      </fill>
    </dxf>
    <dxf>
      <font>
        <color rgb="FF006100"/>
      </font>
      <fill>
        <patternFill>
          <bgColor rgb="FFC6EFCE"/>
        </patternFill>
      </fill>
    </dxf>
    <dxf>
      <font>
        <b/>
        <i val="0"/>
        <color rgb="FF006100"/>
      </font>
      <fill>
        <patternFill patternType="solid">
          <bgColor rgb="FFC6EFCE"/>
        </patternFill>
      </fill>
    </dxf>
    <dxf>
      <font>
        <b/>
        <i val="0"/>
        <color rgb="FF818C00"/>
      </font>
      <fill>
        <patternFill patternType="solid">
          <bgColor rgb="FFF6FFC7"/>
        </patternFill>
      </fill>
    </dxf>
    <dxf>
      <font>
        <b/>
        <i val="0"/>
        <color rgb="FF9C0006"/>
      </font>
      <fill>
        <patternFill patternType="solid">
          <bgColor rgb="FFFFC7CE"/>
        </patternFill>
      </fill>
    </dxf>
    <dxf>
      <font>
        <b/>
        <i val="0"/>
        <color rgb="FF006100"/>
      </font>
      <fill>
        <patternFill patternType="solid">
          <bgColor rgb="FFC6EFCE"/>
        </patternFill>
      </fill>
    </dxf>
    <dxf>
      <font>
        <b/>
        <i val="0"/>
        <color rgb="FF9C5700"/>
      </font>
      <fill>
        <patternFill>
          <bgColor rgb="FFFFEB9C"/>
        </patternFill>
      </fill>
    </dxf>
    <dxf>
      <font>
        <b/>
        <i val="0"/>
        <color rgb="FFC26E00"/>
      </font>
      <fill>
        <patternFill patternType="solid">
          <bgColor rgb="FFFFDFC7"/>
        </patternFill>
      </fill>
    </dxf>
    <dxf>
      <font>
        <b/>
        <i val="0"/>
        <color rgb="FF9C0006"/>
      </font>
      <fill>
        <patternFill patternType="solid">
          <bgColor rgb="FFFFC7CE"/>
        </patternFill>
      </fill>
    </dxf>
    <dxf>
      <font>
        <b/>
        <i val="0"/>
        <color rgb="FF006100"/>
      </font>
      <fill>
        <patternFill patternType="solid">
          <bgColor rgb="FFC6EFCE"/>
        </patternFill>
      </fill>
    </dxf>
    <dxf>
      <font>
        <b/>
        <i val="0"/>
        <color rgb="FF9C5700"/>
      </font>
      <fill>
        <patternFill>
          <bgColor rgb="FFFFEB9C"/>
        </patternFill>
      </fill>
    </dxf>
    <dxf>
      <font>
        <b/>
        <i val="0"/>
        <color rgb="FF8F9C00"/>
      </font>
      <fill>
        <patternFill patternType="solid">
          <bgColor rgb="FFF6FFC7"/>
        </patternFill>
      </fill>
    </dxf>
    <dxf>
      <font>
        <b/>
        <i val="0"/>
        <color rgb="FF9C0006"/>
      </font>
      <fill>
        <patternFill patternType="solid">
          <bgColor rgb="FFFFC7CE"/>
        </patternFill>
      </fill>
    </dxf>
    <dxf>
      <font>
        <b/>
        <i val="0"/>
        <color rgb="FF006100"/>
      </font>
      <fill>
        <patternFill patternType="solid">
          <bgColor rgb="FFC6EFCE"/>
        </patternFill>
      </fill>
    </dxf>
    <dxf>
      <font>
        <b/>
        <i val="0"/>
        <color rgb="FF9C5700"/>
      </font>
      <fill>
        <patternFill>
          <bgColor rgb="FFFFEB9C"/>
        </patternFill>
      </fill>
    </dxf>
    <dxf>
      <font>
        <b/>
        <i val="0"/>
        <color rgb="FF9C0006"/>
      </font>
      <fill>
        <patternFill patternType="solid">
          <bgColor rgb="FFFFC7CE"/>
        </patternFill>
      </fill>
    </dxf>
    <dxf>
      <font>
        <b/>
        <i val="0"/>
        <color rgb="FF006100"/>
      </font>
      <fill>
        <patternFill patternType="solid">
          <bgColor rgb="FFC6EFCE"/>
        </patternFill>
      </fill>
    </dxf>
    <dxf>
      <font>
        <b/>
        <i val="0"/>
        <color rgb="FF9C5700"/>
      </font>
      <fill>
        <patternFill>
          <bgColor rgb="FFFFEB9C"/>
        </patternFill>
      </fill>
    </dxf>
    <dxf>
      <font>
        <b/>
        <i val="0"/>
        <color rgb="FFC26E00"/>
      </font>
      <fill>
        <patternFill patternType="solid">
          <bgColor rgb="FFFFDFC7"/>
        </patternFill>
      </fill>
    </dxf>
    <dxf>
      <font>
        <b/>
        <i val="0"/>
        <color rgb="FF9C5700"/>
      </font>
      <fill>
        <patternFill>
          <bgColor rgb="FFFFEB9C"/>
        </patternFill>
      </fill>
    </dxf>
    <dxf>
      <font>
        <b/>
        <i val="0"/>
        <color rgb="FF006100"/>
      </font>
      <fill>
        <patternFill patternType="solid">
          <bgColor rgb="FFC6EFCE"/>
        </patternFill>
      </fill>
    </dxf>
    <dxf>
      <font>
        <b/>
        <i val="0"/>
        <color rgb="FF9C0006"/>
      </font>
      <fill>
        <patternFill patternType="solid">
          <bgColor rgb="FFFFC7CE"/>
        </patternFill>
      </fill>
    </dxf>
    <dxf>
      <font>
        <b/>
        <i val="0"/>
        <color rgb="FF8F9C00"/>
      </font>
      <fill>
        <patternFill patternType="solid">
          <bgColor rgb="FFF6FFC7"/>
        </patternFill>
      </fill>
    </dxf>
    <dxf>
      <font>
        <b/>
        <i val="0"/>
        <color rgb="FF9C5700"/>
      </font>
      <fill>
        <patternFill>
          <bgColor rgb="FFFFEB9C"/>
        </patternFill>
      </fill>
    </dxf>
    <dxf>
      <font>
        <b/>
        <i val="0"/>
        <color rgb="FF006100"/>
      </font>
      <fill>
        <patternFill patternType="solid">
          <bgColor rgb="FFC6EFCE"/>
        </patternFill>
      </fill>
    </dxf>
    <dxf>
      <font>
        <b/>
        <i val="0"/>
        <color rgb="FF9C0006"/>
      </font>
      <fill>
        <patternFill patternType="solid">
          <bgColor rgb="FFFFC7CE"/>
        </patternFill>
      </fill>
    </dxf>
    <dxf>
      <font>
        <b/>
        <i val="0"/>
        <color rgb="FFC26E00"/>
      </font>
      <fill>
        <patternFill patternType="solid">
          <bgColor rgb="FFFFDFC7"/>
        </patternFill>
      </fill>
    </dxf>
    <dxf>
      <font>
        <b/>
        <i val="0"/>
        <color rgb="FFC26E00"/>
      </font>
      <fill>
        <patternFill patternType="solid">
          <bgColor rgb="FFFFDFC7"/>
        </patternFill>
      </fill>
    </dxf>
    <dxf>
      <font>
        <b/>
        <i val="0"/>
        <color rgb="FF9C5700"/>
      </font>
      <fill>
        <patternFill>
          <bgColor rgb="FFFFEB9C"/>
        </patternFill>
      </fill>
    </dxf>
    <dxf>
      <font>
        <b/>
        <i val="0"/>
        <color rgb="FF9C0006"/>
      </font>
      <fill>
        <patternFill patternType="solid">
          <bgColor rgb="FFFFC7CE"/>
        </patternFill>
      </fill>
    </dxf>
    <dxf>
      <font>
        <b/>
        <i val="0"/>
        <color rgb="FF006100"/>
      </font>
      <fill>
        <patternFill patternType="solid">
          <bgColor rgb="FFC6EFCE"/>
        </patternFill>
      </fill>
    </dxf>
    <dxf>
      <font>
        <b/>
        <i val="0"/>
        <color rgb="FF9C5700"/>
      </font>
      <fill>
        <patternFill>
          <bgColor rgb="FFFFEB9C"/>
        </patternFill>
      </fill>
    </dxf>
    <dxf>
      <font>
        <b/>
        <i val="0"/>
        <color rgb="FF006100"/>
      </font>
      <fill>
        <patternFill patternType="solid">
          <bgColor rgb="FFC6EFCE"/>
        </patternFill>
      </fill>
    </dxf>
    <dxf>
      <font>
        <b/>
        <i val="0"/>
        <color rgb="FF9C0006"/>
      </font>
      <fill>
        <patternFill patternType="solid">
          <bgColor rgb="FFFFC7CE"/>
        </patternFill>
      </fill>
    </dxf>
    <dxf>
      <font>
        <b/>
        <i val="0"/>
        <color rgb="FFC26E00"/>
      </font>
      <fill>
        <patternFill patternType="solid">
          <bgColor rgb="FFFFDFC7"/>
        </patternFill>
      </fill>
    </dxf>
    <dxf>
      <font>
        <b/>
        <i val="0"/>
        <color rgb="FF8F9C00"/>
      </font>
      <fill>
        <patternFill patternType="solid">
          <bgColor rgb="FFF6FFC7"/>
        </patternFill>
      </fill>
    </dxf>
    <dxf>
      <font>
        <b/>
        <i val="0"/>
        <color rgb="FF9C0006"/>
      </font>
      <fill>
        <patternFill patternType="solid">
          <bgColor rgb="FFFFC7CE"/>
        </patternFill>
      </fill>
    </dxf>
    <dxf>
      <font>
        <b/>
        <i val="0"/>
        <color rgb="FF006100"/>
      </font>
      <fill>
        <patternFill patternType="solid">
          <bgColor rgb="FFC6EFCE"/>
        </patternFill>
      </fill>
    </dxf>
    <dxf>
      <font>
        <b/>
        <i val="0"/>
        <color rgb="FF9C5700"/>
      </font>
      <fill>
        <patternFill>
          <bgColor rgb="FFFFEB9C"/>
        </patternFill>
      </fill>
    </dxf>
    <dxf>
      <font>
        <b/>
        <i val="0"/>
        <color rgb="FFC26E00"/>
      </font>
      <fill>
        <patternFill patternType="solid">
          <bgColor rgb="FFFFDFC7"/>
        </patternFill>
      </fill>
    </dxf>
    <dxf>
      <font>
        <b/>
        <i val="0"/>
        <color rgb="FF006100"/>
      </font>
      <fill>
        <patternFill patternType="solid">
          <bgColor rgb="FFC6EFCE"/>
        </patternFill>
      </fill>
    </dxf>
    <dxf>
      <font>
        <b/>
        <i val="0"/>
        <color rgb="FF9C0006"/>
      </font>
      <fill>
        <patternFill patternType="solid">
          <bgColor rgb="FFFFC7CE"/>
        </patternFill>
      </fill>
    </dxf>
    <dxf>
      <font>
        <b/>
        <i val="0"/>
        <color rgb="FF9C5700"/>
      </font>
      <fill>
        <patternFill>
          <bgColor rgb="FFFFEB9C"/>
        </patternFill>
      </fill>
    </dxf>
    <dxf>
      <font>
        <b/>
        <i val="0"/>
        <color rgb="FF8F9C00"/>
      </font>
      <fill>
        <patternFill patternType="solid">
          <bgColor rgb="FFF6FFC7"/>
        </patternFill>
      </fill>
    </dxf>
    <dxf>
      <font>
        <b/>
        <i val="0"/>
        <color rgb="FF9C0006"/>
      </font>
      <fill>
        <patternFill patternType="solid">
          <bgColor rgb="FFFFC7CE"/>
        </patternFill>
      </fill>
    </dxf>
    <dxf>
      <font>
        <b/>
        <i val="0"/>
        <color rgb="FF006100"/>
      </font>
      <fill>
        <patternFill patternType="solid">
          <bgColor rgb="FFC6EFCE"/>
        </patternFill>
      </fill>
    </dxf>
    <dxf>
      <font>
        <b/>
        <i val="0"/>
        <color rgb="FF9C5700"/>
      </font>
      <fill>
        <patternFill>
          <bgColor rgb="FFFFEB9C"/>
        </patternFill>
      </fill>
    </dxf>
    <dxf>
      <font>
        <b/>
        <i val="0"/>
        <color rgb="FFC26E00"/>
      </font>
      <fill>
        <patternFill patternType="solid">
          <bgColor rgb="FFFFDFC7"/>
        </patternFill>
      </fill>
    </dxf>
    <dxf>
      <font>
        <b/>
        <i val="0"/>
        <color rgb="FF9C0006"/>
      </font>
      <fill>
        <patternFill patternType="solid">
          <bgColor rgb="FFFFC7CE"/>
        </patternFill>
      </fill>
    </dxf>
    <dxf>
      <font>
        <b/>
        <i val="0"/>
        <color rgb="FF006100"/>
      </font>
      <fill>
        <patternFill patternType="solid">
          <bgColor rgb="FFC6EFCE"/>
        </patternFill>
      </fill>
    </dxf>
    <dxf>
      <font>
        <b/>
        <i val="0"/>
        <color rgb="FF9C5700"/>
      </font>
      <fill>
        <patternFill>
          <bgColor rgb="FFFFEB9C"/>
        </patternFill>
      </fill>
    </dxf>
    <dxf>
      <font>
        <b/>
        <i val="0"/>
        <color rgb="FF9C5700"/>
      </font>
      <fill>
        <patternFill>
          <bgColor rgb="FFFFEB9C"/>
        </patternFill>
      </fill>
    </dxf>
    <dxf>
      <font>
        <b/>
        <i val="0"/>
        <color rgb="FF9C0006"/>
      </font>
      <fill>
        <patternFill patternType="solid">
          <bgColor rgb="FFFFC7CE"/>
        </patternFill>
      </fill>
    </dxf>
    <dxf>
      <font>
        <b/>
        <i val="0"/>
        <color rgb="FFC26E00"/>
      </font>
      <fill>
        <patternFill patternType="solid">
          <bgColor rgb="FFFFDFC7"/>
        </patternFill>
      </fill>
    </dxf>
    <dxf>
      <font>
        <b/>
        <i val="0"/>
        <color rgb="FF006100"/>
      </font>
      <fill>
        <patternFill patternType="solid">
          <bgColor rgb="FFC6EFCE"/>
        </patternFill>
      </fill>
    </dxf>
    <dxf>
      <font>
        <b/>
        <i val="0"/>
        <color rgb="FF8F9C00"/>
      </font>
      <fill>
        <patternFill patternType="solid">
          <bgColor rgb="FFF6FFC7"/>
        </patternFill>
      </fill>
    </dxf>
    <dxf>
      <font>
        <b/>
        <i val="0"/>
        <color rgb="FFC26E00"/>
      </font>
      <fill>
        <patternFill patternType="solid">
          <bgColor rgb="FFFFDFC7"/>
        </patternFill>
      </fill>
    </dxf>
    <dxf>
      <font>
        <b/>
        <i val="0"/>
        <color rgb="FF9C0006"/>
      </font>
      <fill>
        <patternFill patternType="solid">
          <bgColor rgb="FFFFC7CE"/>
        </patternFill>
      </fill>
    </dxf>
    <dxf>
      <font>
        <b/>
        <i val="0"/>
        <color rgb="FF006100"/>
      </font>
      <fill>
        <patternFill patternType="solid">
          <bgColor rgb="FFC6EFCE"/>
        </patternFill>
      </fill>
    </dxf>
    <dxf>
      <font>
        <b/>
        <i val="0"/>
        <color rgb="FF9C5700"/>
      </font>
      <fill>
        <patternFill>
          <bgColor rgb="FFFFEB9C"/>
        </patternFill>
      </fill>
    </dxf>
    <dxf>
      <font>
        <b/>
        <i val="0"/>
        <color rgb="FF9C5700"/>
      </font>
      <fill>
        <patternFill>
          <bgColor rgb="FFFFEB9C"/>
        </patternFill>
      </fill>
    </dxf>
    <dxf>
      <font>
        <b/>
        <i val="0"/>
        <color rgb="FF9C0006"/>
      </font>
      <fill>
        <patternFill patternType="solid">
          <bgColor rgb="FFFFC7CE"/>
        </patternFill>
      </fill>
    </dxf>
    <dxf>
      <font>
        <b/>
        <i val="0"/>
        <color rgb="FF006100"/>
      </font>
      <fill>
        <patternFill patternType="solid">
          <bgColor rgb="FFC6EFCE"/>
        </patternFill>
      </fill>
    </dxf>
    <dxf>
      <font>
        <b/>
        <i val="0"/>
        <color rgb="FF9C0006"/>
      </font>
      <fill>
        <patternFill patternType="solid">
          <bgColor rgb="FFFFC7CE"/>
        </patternFill>
      </fill>
    </dxf>
    <dxf>
      <font>
        <b/>
        <i val="0"/>
        <color rgb="FF006100"/>
      </font>
      <fill>
        <patternFill patternType="solid">
          <bgColor rgb="FFC6EFCE"/>
        </patternFill>
      </fill>
    </dxf>
    <dxf>
      <font>
        <b/>
        <i val="0"/>
        <color rgb="FF9C5700"/>
      </font>
      <fill>
        <patternFill>
          <bgColor rgb="FFFFEB9C"/>
        </patternFill>
      </fill>
    </dxf>
    <dxf>
      <font>
        <b/>
        <i val="0"/>
        <color rgb="FFC26E00"/>
      </font>
      <fill>
        <patternFill patternType="solid">
          <bgColor rgb="FFFFDFC7"/>
        </patternFill>
      </fill>
    </dxf>
    <dxf>
      <font>
        <b/>
        <i val="0"/>
        <color rgb="FFC26E00"/>
      </font>
      <fill>
        <patternFill patternType="solid">
          <bgColor rgb="FFFFDFC7"/>
        </patternFill>
      </fill>
    </dxf>
    <dxf>
      <font>
        <b/>
        <i val="0"/>
        <color rgb="FF9C5700"/>
      </font>
      <fill>
        <patternFill>
          <bgColor rgb="FFFFEB9C"/>
        </patternFill>
      </fill>
    </dxf>
    <dxf>
      <font>
        <b/>
        <i val="0"/>
        <color rgb="FF006100"/>
      </font>
      <fill>
        <patternFill patternType="solid">
          <bgColor rgb="FFC6EFCE"/>
        </patternFill>
      </fill>
    </dxf>
    <dxf>
      <font>
        <b/>
        <i val="0"/>
        <color rgb="FF9C0006"/>
      </font>
      <fill>
        <patternFill patternType="solid">
          <bgColor rgb="FFFFC7CE"/>
        </patternFill>
      </fill>
    </dxf>
    <dxf>
      <font>
        <b/>
        <i val="0"/>
        <color rgb="FFC26E00"/>
      </font>
      <fill>
        <patternFill patternType="solid">
          <bgColor rgb="FFFFDFC7"/>
        </patternFill>
      </fill>
    </dxf>
    <dxf>
      <font>
        <b/>
        <i val="0"/>
        <color rgb="FF8F9C00"/>
      </font>
      <fill>
        <patternFill patternType="solid">
          <bgColor rgb="FFF6FFC7"/>
        </patternFill>
      </fill>
    </dxf>
    <dxf>
      <font>
        <b/>
        <i val="0"/>
        <color rgb="FF9C0006"/>
      </font>
      <fill>
        <patternFill patternType="solid">
          <bgColor rgb="FFFFC7CE"/>
        </patternFill>
      </fill>
    </dxf>
    <dxf>
      <font>
        <b/>
        <i val="0"/>
        <color rgb="FF006100"/>
      </font>
      <fill>
        <patternFill patternType="solid">
          <bgColor rgb="FFC6EFCE"/>
        </patternFill>
      </fill>
    </dxf>
    <dxf>
      <font>
        <b/>
        <i val="0"/>
        <color rgb="FF9C5700"/>
      </font>
      <fill>
        <patternFill>
          <bgColor rgb="FFFFEB9C"/>
        </patternFill>
      </fill>
    </dxf>
    <dxf>
      <font>
        <color rgb="FF006100"/>
      </font>
      <fill>
        <patternFill>
          <bgColor rgb="FFC6EFCE"/>
        </patternFill>
      </fill>
    </dxf>
    <dxf>
      <font>
        <b/>
        <i val="0"/>
        <color rgb="FF9C5700"/>
      </font>
      <fill>
        <patternFill patternType="solid">
          <bgColor rgb="FFFFEB9C"/>
        </patternFill>
      </fill>
    </dxf>
    <dxf>
      <font>
        <color rgb="FF9C0006"/>
      </font>
      <fill>
        <patternFill>
          <bgColor rgb="FFFFC7CE"/>
        </patternFill>
      </fill>
    </dxf>
    <dxf>
      <font>
        <b/>
        <i val="0"/>
        <color rgb="FF818C00"/>
      </font>
      <fill>
        <patternFill patternType="solid">
          <bgColor rgb="FFF6FFC7"/>
        </patternFill>
      </fill>
    </dxf>
    <dxf>
      <font>
        <b/>
        <i val="0"/>
        <color rgb="FF006100"/>
      </font>
      <fill>
        <patternFill patternType="solid">
          <bgColor rgb="FFC6EFCE"/>
        </patternFill>
      </fill>
    </dxf>
    <dxf>
      <font>
        <b/>
        <i val="0"/>
        <color rgb="FFC26E00"/>
      </font>
      <fill>
        <patternFill patternType="solid">
          <bgColor rgb="FFFFDFC7"/>
        </patternFill>
      </fill>
    </dxf>
    <dxf>
      <font>
        <b/>
        <i val="0"/>
        <color rgb="FF9C5700"/>
      </font>
      <fill>
        <patternFill>
          <bgColor rgb="FFFFEB9C"/>
        </patternFill>
      </fill>
    </dxf>
    <dxf>
      <font>
        <b/>
        <i val="0"/>
        <color rgb="FF006100"/>
      </font>
      <fill>
        <patternFill patternType="solid">
          <bgColor rgb="FFC6EFCE"/>
        </patternFill>
      </fill>
    </dxf>
    <dxf>
      <font>
        <b/>
        <i val="0"/>
        <color rgb="FF9C0006"/>
      </font>
      <fill>
        <patternFill patternType="solid">
          <bgColor rgb="FFFFC7CE"/>
        </patternFill>
      </fill>
    </dxf>
    <dxf>
      <font>
        <b/>
        <i val="0"/>
        <color rgb="FF006100"/>
      </font>
      <fill>
        <patternFill patternType="solid">
          <bgColor rgb="FFC6EFCE"/>
        </patternFill>
      </fill>
    </dxf>
    <dxf>
      <font>
        <b/>
        <i val="0"/>
        <color rgb="FF9C0006"/>
      </font>
      <fill>
        <patternFill patternType="solid">
          <bgColor rgb="FFFFC7CE"/>
        </patternFill>
      </fill>
    </dxf>
    <dxf>
      <font>
        <b/>
        <i val="0"/>
        <color rgb="FFC26E00"/>
      </font>
      <fill>
        <patternFill patternType="solid">
          <bgColor rgb="FFFFDFC7"/>
        </patternFill>
      </fill>
    </dxf>
    <dxf>
      <font>
        <b/>
        <i val="0"/>
        <color rgb="FF9C5700"/>
      </font>
      <fill>
        <patternFill>
          <bgColor rgb="FFFFEB9C"/>
        </patternFill>
      </fill>
    </dxf>
    <dxf>
      <font>
        <b/>
        <i val="0"/>
        <color rgb="FF9C5700"/>
      </font>
      <fill>
        <patternFill>
          <bgColor rgb="FFFFEB9C"/>
        </patternFill>
      </fill>
    </dxf>
    <dxf>
      <font>
        <b/>
        <i val="0"/>
        <color rgb="FF006100"/>
      </font>
      <fill>
        <patternFill patternType="solid">
          <bgColor rgb="FFC6EFCE"/>
        </patternFill>
      </fill>
    </dxf>
    <dxf>
      <font>
        <b/>
        <i val="0"/>
        <color rgb="FF9C0006"/>
      </font>
      <fill>
        <patternFill patternType="solid">
          <bgColor rgb="FFFFC7CE"/>
        </patternFill>
      </fill>
    </dxf>
    <dxf>
      <font>
        <b/>
        <i val="0"/>
        <color rgb="FFC26E00"/>
      </font>
      <fill>
        <patternFill patternType="solid">
          <bgColor rgb="FFFFDFC7"/>
        </patternFill>
      </fill>
    </dxf>
    <dxf>
      <font>
        <b/>
        <i val="0"/>
        <color rgb="FFC26E00"/>
      </font>
      <fill>
        <patternFill patternType="solid">
          <bgColor rgb="FFFFDFC7"/>
        </patternFill>
      </fill>
    </dxf>
    <dxf>
      <font>
        <b/>
        <i val="0"/>
        <color rgb="FFC26E00"/>
      </font>
      <fill>
        <patternFill patternType="solid">
          <bgColor rgb="FFFFDFC7"/>
        </patternFill>
      </fill>
    </dxf>
    <dxf>
      <font>
        <b/>
        <i val="0"/>
        <color rgb="FFC26E00"/>
      </font>
      <fill>
        <patternFill patternType="solid">
          <bgColor rgb="FFFFDFC7"/>
        </patternFill>
      </fill>
    </dxf>
    <dxf>
      <font>
        <b/>
        <i val="0"/>
        <color rgb="FFC26E00"/>
      </font>
      <fill>
        <patternFill patternType="solid">
          <bgColor rgb="FFFFDFC7"/>
        </patternFill>
      </fill>
    </dxf>
    <dxf>
      <font>
        <b/>
        <i val="0"/>
        <color rgb="FF9C0006"/>
      </font>
      <fill>
        <patternFill patternType="solid">
          <bgColor rgb="FFFFC7CE"/>
        </patternFill>
      </fill>
    </dxf>
    <dxf>
      <font>
        <b/>
        <i val="0"/>
        <color rgb="FF9C5700"/>
      </font>
      <fill>
        <patternFill>
          <bgColor rgb="FFFFEB9C"/>
        </patternFill>
      </fill>
    </dxf>
    <dxf>
      <font>
        <b/>
        <i val="0"/>
        <color rgb="FF006100"/>
      </font>
      <fill>
        <patternFill patternType="solid">
          <bgColor rgb="FFC6EFCE"/>
        </patternFill>
      </fill>
    </dxf>
    <dxf>
      <font>
        <b/>
        <i val="0"/>
        <color rgb="FFC26E00"/>
      </font>
      <fill>
        <patternFill patternType="solid">
          <bgColor rgb="FFFFDFC7"/>
        </patternFill>
      </fill>
    </dxf>
    <dxf>
      <font>
        <b/>
        <i val="0"/>
        <color rgb="FF9C5700"/>
      </font>
      <fill>
        <patternFill>
          <bgColor rgb="FFFFEB9C"/>
        </patternFill>
      </fill>
    </dxf>
    <dxf>
      <font>
        <b/>
        <i val="0"/>
        <color rgb="FF006100"/>
      </font>
      <fill>
        <patternFill patternType="solid">
          <bgColor rgb="FFC6EFCE"/>
        </patternFill>
      </fill>
    </dxf>
    <dxf>
      <font>
        <b/>
        <i val="0"/>
        <color rgb="FF9C0006"/>
      </font>
      <fill>
        <patternFill patternType="solid">
          <bgColor rgb="FFFFC7CE"/>
        </patternFill>
      </fill>
    </dxf>
    <dxf>
      <font>
        <b/>
        <i val="0"/>
        <color rgb="FF9C0006"/>
      </font>
      <fill>
        <patternFill patternType="solid">
          <bgColor rgb="FFFFC7CE"/>
        </patternFill>
      </fill>
    </dxf>
    <dxf>
      <font>
        <b/>
        <i val="0"/>
        <color rgb="FF006100"/>
      </font>
      <fill>
        <patternFill patternType="solid">
          <bgColor rgb="FFC6EFCE"/>
        </patternFill>
      </fill>
    </dxf>
    <dxf>
      <font>
        <b/>
        <i val="0"/>
        <color rgb="FF9C5700"/>
      </font>
      <fill>
        <patternFill>
          <bgColor rgb="FFFFEB9C"/>
        </patternFill>
      </fill>
    </dxf>
    <dxf>
      <font>
        <b/>
        <i val="0"/>
        <color rgb="FFC26E00"/>
      </font>
      <fill>
        <patternFill patternType="solid">
          <bgColor rgb="FFFFDFC7"/>
        </patternFill>
      </fill>
    </dxf>
    <dxf>
      <font>
        <b/>
        <i val="0"/>
        <color rgb="FF9C0006"/>
      </font>
      <fill>
        <patternFill patternType="solid">
          <bgColor rgb="FFFFC7CE"/>
        </patternFill>
      </fill>
    </dxf>
    <dxf>
      <font>
        <b/>
        <i val="0"/>
        <color rgb="FF006100"/>
      </font>
      <fill>
        <patternFill patternType="solid">
          <bgColor rgb="FFC6EFCE"/>
        </patternFill>
      </fill>
    </dxf>
    <dxf>
      <font>
        <b/>
        <i val="0"/>
        <color rgb="FF9C5700"/>
      </font>
      <fill>
        <patternFill>
          <bgColor rgb="FFFFEB9C"/>
        </patternFill>
      </fill>
    </dxf>
    <dxf>
      <font>
        <b/>
        <i val="0"/>
        <color rgb="FFC26E00"/>
      </font>
      <fill>
        <patternFill patternType="solid">
          <bgColor rgb="FFFFDFC7"/>
        </patternFill>
      </fill>
    </dxf>
    <dxf>
      <font>
        <b/>
        <i val="0"/>
        <color rgb="FFC26E00"/>
      </font>
      <fill>
        <patternFill patternType="solid">
          <bgColor rgb="FFFFDFC7"/>
        </patternFill>
      </fill>
    </dxf>
    <dxf>
      <font>
        <b/>
        <i val="0"/>
        <color rgb="FFC26E00"/>
      </font>
      <fill>
        <patternFill patternType="solid">
          <bgColor rgb="FFFFDFC7"/>
        </patternFill>
      </fill>
    </dxf>
    <dxf>
      <font>
        <b/>
        <i val="0"/>
        <color rgb="FFC26E00"/>
      </font>
      <fill>
        <patternFill patternType="solid">
          <bgColor rgb="FFFFDFC7"/>
        </patternFill>
      </fill>
    </dxf>
    <dxf>
      <font>
        <b/>
        <i val="0"/>
        <color rgb="FFC26E00"/>
      </font>
      <fill>
        <patternFill patternType="solid">
          <bgColor rgb="FFFFDFC7"/>
        </patternFill>
      </fill>
    </dxf>
    <dxf>
      <font>
        <b/>
        <i val="0"/>
        <color rgb="FFC26E00"/>
      </font>
      <fill>
        <patternFill patternType="solid">
          <bgColor rgb="FFFFDFC7"/>
        </patternFill>
      </fill>
    </dxf>
    <dxf>
      <font>
        <b/>
        <i val="0"/>
        <color rgb="FFC26E00"/>
      </font>
      <fill>
        <patternFill patternType="solid">
          <bgColor rgb="FFFFDFC7"/>
        </patternFill>
      </fill>
    </dxf>
    <dxf>
      <font>
        <b/>
        <i val="0"/>
        <color rgb="FFC26E00"/>
      </font>
      <fill>
        <patternFill patternType="solid">
          <bgColor rgb="FFFFDFC7"/>
        </patternFill>
      </fill>
    </dxf>
    <dxf>
      <font>
        <b/>
        <i val="0"/>
        <color rgb="FFC26E00"/>
      </font>
      <fill>
        <patternFill patternType="solid">
          <bgColor rgb="FFFFDFC7"/>
        </patternFill>
      </fill>
    </dxf>
    <dxf>
      <font>
        <b/>
        <i val="0"/>
        <color rgb="FFC26E00"/>
      </font>
      <fill>
        <patternFill patternType="solid">
          <bgColor rgb="FFFFDFC7"/>
        </patternFill>
      </fill>
    </dxf>
    <dxf>
      <font>
        <b/>
        <i val="0"/>
        <color rgb="FF9C5700"/>
      </font>
      <fill>
        <patternFill>
          <bgColor rgb="FFFFEB9C"/>
        </patternFill>
      </fill>
    </dxf>
    <dxf>
      <font>
        <b/>
        <i val="0"/>
        <color rgb="FF006100"/>
      </font>
      <fill>
        <patternFill patternType="solid">
          <bgColor rgb="FFC6EFCE"/>
        </patternFill>
      </fill>
    </dxf>
    <dxf>
      <font>
        <b/>
        <i val="0"/>
        <color rgb="FF9C0006"/>
      </font>
      <fill>
        <patternFill patternType="solid">
          <bgColor rgb="FFFFC7CE"/>
        </patternFill>
      </fill>
    </dxf>
    <dxf>
      <font>
        <b/>
        <i val="0"/>
        <color rgb="FFC26E00"/>
      </font>
      <fill>
        <patternFill patternType="solid">
          <bgColor rgb="FFFFDFC7"/>
        </patternFill>
      </fill>
    </dxf>
    <dxf>
      <font>
        <b/>
        <i val="0"/>
        <color rgb="FFC26E00"/>
      </font>
      <fill>
        <patternFill patternType="solid">
          <bgColor rgb="FFFFDFC7"/>
        </patternFill>
      </fill>
    </dxf>
    <dxf>
      <font>
        <b/>
        <i val="0"/>
        <color rgb="FF006100"/>
      </font>
      <fill>
        <patternFill patternType="solid">
          <bgColor rgb="FFC6EFCE"/>
        </patternFill>
      </fill>
    </dxf>
    <dxf>
      <font>
        <b/>
        <i val="0"/>
        <color rgb="FF9C5700"/>
      </font>
      <fill>
        <patternFill>
          <bgColor rgb="FFFFEB9C"/>
        </patternFill>
      </fill>
    </dxf>
    <dxf>
      <font>
        <b/>
        <i val="0"/>
        <color rgb="FF9C0006"/>
      </font>
      <fill>
        <patternFill patternType="solid">
          <bgColor rgb="FFFFC7CE"/>
        </patternFill>
      </fill>
    </dxf>
    <dxf>
      <font>
        <b/>
        <i val="0"/>
        <color rgb="FFC26E00"/>
      </font>
      <fill>
        <patternFill patternType="solid">
          <bgColor rgb="FFFFDFC7"/>
        </patternFill>
      </fill>
    </dxf>
    <dxf>
      <font>
        <b/>
        <i val="0"/>
        <color rgb="FFC26E00"/>
      </font>
      <fill>
        <patternFill patternType="solid">
          <bgColor rgb="FFFFDFC7"/>
        </patternFill>
      </fill>
    </dxf>
    <dxf>
      <font>
        <b/>
        <i val="0"/>
        <color rgb="FFC26E00"/>
      </font>
      <fill>
        <patternFill patternType="solid">
          <bgColor rgb="FFFFDFC7"/>
        </patternFill>
      </fill>
    </dxf>
    <dxf>
      <font>
        <b/>
        <i val="0"/>
        <color rgb="FFC26E00"/>
      </font>
      <fill>
        <patternFill patternType="solid">
          <bgColor rgb="FFFFDFC7"/>
        </patternFill>
      </fill>
    </dxf>
    <dxf>
      <font>
        <b/>
        <i val="0"/>
        <color rgb="FFC26E00"/>
      </font>
      <fill>
        <patternFill patternType="solid">
          <bgColor rgb="FFFFDFC7"/>
        </patternFill>
      </fill>
    </dxf>
    <dxf>
      <font>
        <b/>
        <i val="0"/>
        <color rgb="FFC26E00"/>
      </font>
      <fill>
        <patternFill patternType="solid">
          <bgColor rgb="FFFFDFC7"/>
        </patternFill>
      </fill>
    </dxf>
    <dxf>
      <font>
        <b/>
        <i val="0"/>
        <color rgb="FFC26E00"/>
      </font>
      <fill>
        <patternFill patternType="solid">
          <bgColor rgb="FFFFDFC7"/>
        </patternFill>
      </fill>
    </dxf>
    <dxf>
      <font>
        <b/>
        <i val="0"/>
        <color rgb="FFC26E00"/>
      </font>
      <fill>
        <patternFill patternType="solid">
          <bgColor rgb="FFFFDFC7"/>
        </patternFill>
      </fill>
    </dxf>
    <dxf>
      <font>
        <b/>
        <i val="0"/>
        <color rgb="FFC26E00"/>
      </font>
      <fill>
        <patternFill patternType="solid">
          <bgColor rgb="FFFFDFC7"/>
        </patternFill>
      </fill>
    </dxf>
    <dxf>
      <font>
        <b/>
        <i val="0"/>
        <color rgb="FFC26E00"/>
      </font>
      <fill>
        <patternFill patternType="solid">
          <bgColor rgb="FFFFDFC7"/>
        </patternFill>
      </fill>
    </dxf>
    <dxf>
      <font>
        <b/>
        <i val="0"/>
        <color rgb="FFC26E00"/>
      </font>
      <fill>
        <patternFill patternType="solid">
          <bgColor rgb="FFFFDFC7"/>
        </patternFill>
      </fill>
    </dxf>
    <dxf>
      <font>
        <b/>
        <i val="0"/>
        <color rgb="FFC26E00"/>
      </font>
      <fill>
        <patternFill patternType="solid">
          <bgColor rgb="FFFFDFC7"/>
        </patternFill>
      </fill>
    </dxf>
    <dxf>
      <font>
        <b/>
        <i val="0"/>
        <color rgb="FFC26E00"/>
      </font>
      <fill>
        <patternFill patternType="solid">
          <bgColor rgb="FFFFDFC7"/>
        </patternFill>
      </fill>
    </dxf>
    <dxf>
      <font>
        <b/>
        <i val="0"/>
        <color rgb="FFC26E00"/>
      </font>
      <fill>
        <patternFill patternType="solid">
          <bgColor rgb="FFFFDFC7"/>
        </patternFill>
      </fill>
    </dxf>
    <dxf>
      <font>
        <b/>
        <i val="0"/>
        <color rgb="FFC26E00"/>
      </font>
      <fill>
        <patternFill patternType="solid">
          <bgColor rgb="FFFFDFC7"/>
        </patternFill>
      </fill>
    </dxf>
    <dxf>
      <font>
        <b/>
        <i val="0"/>
        <color rgb="FFC26E00"/>
      </font>
      <fill>
        <patternFill patternType="solid">
          <bgColor rgb="FFFFDFC7"/>
        </patternFill>
      </fill>
    </dxf>
    <dxf>
      <font>
        <b/>
        <i val="0"/>
        <color rgb="FFC26E00"/>
      </font>
      <fill>
        <patternFill patternType="solid">
          <bgColor rgb="FFFFDFC7"/>
        </patternFill>
      </fill>
    </dxf>
    <dxf>
      <font>
        <b/>
        <i val="0"/>
        <color rgb="FF9C5700"/>
      </font>
      <fill>
        <patternFill>
          <bgColor rgb="FFFFEB9C"/>
        </patternFill>
      </fill>
    </dxf>
    <dxf>
      <font>
        <b/>
        <i val="0"/>
        <color rgb="FF006100"/>
      </font>
      <fill>
        <patternFill patternType="solid">
          <bgColor rgb="FFC6EFCE"/>
        </patternFill>
      </fill>
    </dxf>
    <dxf>
      <font>
        <b/>
        <i val="0"/>
        <color rgb="FF9C0006"/>
      </font>
      <fill>
        <patternFill patternType="solid">
          <bgColor rgb="FFFFC7CE"/>
        </patternFill>
      </fill>
    </dxf>
    <dxf>
      <font>
        <b/>
        <i val="0"/>
        <color rgb="FF8F9C00"/>
      </font>
      <fill>
        <patternFill patternType="solid">
          <bgColor rgb="FFF6FFC7"/>
        </patternFill>
      </fill>
    </dxf>
    <dxf>
      <font>
        <b/>
        <i val="0"/>
        <color rgb="FF9C5700"/>
      </font>
      <fill>
        <patternFill>
          <bgColor rgb="FFFFEB9C"/>
        </patternFill>
      </fill>
    </dxf>
    <dxf>
      <font>
        <b/>
        <i val="0"/>
        <color rgb="FF006100"/>
      </font>
      <fill>
        <patternFill patternType="solid">
          <bgColor rgb="FFC6EFCE"/>
        </patternFill>
      </fill>
    </dxf>
    <dxf>
      <font>
        <b/>
        <i val="0"/>
        <color rgb="FFC26E00"/>
      </font>
      <fill>
        <patternFill patternType="solid">
          <bgColor rgb="FFFFDFC7"/>
        </patternFill>
      </fill>
    </dxf>
    <dxf>
      <font>
        <b/>
        <i val="0"/>
        <color rgb="FF9C0006"/>
      </font>
      <fill>
        <patternFill patternType="solid">
          <bgColor rgb="FFFFC7CE"/>
        </patternFill>
      </fill>
    </dxf>
    <dxf>
      <font>
        <b/>
        <i val="0"/>
        <color rgb="FFC26E00"/>
      </font>
      <fill>
        <patternFill patternType="solid">
          <bgColor rgb="FFFFDFC7"/>
        </patternFill>
      </fill>
    </dxf>
    <dxf>
      <font>
        <b/>
        <i val="0"/>
        <color rgb="FFC26E00"/>
      </font>
      <fill>
        <patternFill patternType="solid">
          <bgColor rgb="FFFFDFC7"/>
        </patternFill>
      </fill>
    </dxf>
    <dxf>
      <font>
        <b/>
        <i val="0"/>
        <color rgb="FFC26E00"/>
      </font>
      <fill>
        <patternFill patternType="solid">
          <bgColor rgb="FFFFDFC7"/>
        </patternFill>
      </fill>
    </dxf>
    <dxf>
      <font>
        <b/>
        <i val="0"/>
        <color rgb="FFC26E00"/>
      </font>
      <fill>
        <patternFill patternType="solid">
          <bgColor rgb="FFFFDFC7"/>
        </patternFill>
      </fill>
    </dxf>
    <dxf>
      <font>
        <b/>
        <i val="0"/>
        <color rgb="FFC26E00"/>
      </font>
      <fill>
        <patternFill patternType="solid">
          <bgColor rgb="FFFFDFC7"/>
        </patternFill>
      </fill>
    </dxf>
    <dxf>
      <font>
        <b/>
        <i val="0"/>
        <color rgb="FFC26E00"/>
      </font>
      <fill>
        <patternFill patternType="solid">
          <bgColor rgb="FFFFDFC7"/>
        </patternFill>
      </fill>
    </dxf>
    <dxf>
      <font>
        <b/>
        <i val="0"/>
        <color rgb="FF9C0006"/>
      </font>
      <fill>
        <patternFill patternType="solid">
          <bgColor rgb="FFFFC7CE"/>
        </patternFill>
      </fill>
    </dxf>
    <dxf>
      <font>
        <b/>
        <i val="0"/>
        <color rgb="FF8F9C00"/>
      </font>
      <fill>
        <patternFill patternType="solid">
          <bgColor rgb="FFF6FFC7"/>
        </patternFill>
      </fill>
    </dxf>
    <dxf>
      <font>
        <b/>
        <i val="0"/>
        <color rgb="FF9C5700"/>
      </font>
      <fill>
        <patternFill>
          <bgColor rgb="FFFFEB9C"/>
        </patternFill>
      </fill>
    </dxf>
    <dxf>
      <font>
        <b/>
        <i val="0"/>
        <color rgb="FF006100"/>
      </font>
      <fill>
        <patternFill patternType="solid">
          <bgColor rgb="FFC6EFCE"/>
        </patternFill>
      </fill>
    </dxf>
    <dxf>
      <font>
        <b/>
        <i val="0"/>
        <color rgb="FF006100"/>
      </font>
      <fill>
        <patternFill patternType="solid">
          <bgColor rgb="FFC6EFCE"/>
        </patternFill>
      </fill>
    </dxf>
    <dxf>
      <font>
        <b/>
        <i val="0"/>
        <color rgb="FF9C5700"/>
      </font>
      <fill>
        <patternFill>
          <bgColor rgb="FFFFEB9C"/>
        </patternFill>
      </fill>
    </dxf>
    <dxf>
      <font>
        <b/>
        <i val="0"/>
        <color rgb="FF9C0006"/>
      </font>
      <fill>
        <patternFill patternType="solid">
          <bgColor rgb="FFFFC7CE"/>
        </patternFill>
      </fill>
    </dxf>
    <dxf>
      <font>
        <b/>
        <i val="0"/>
        <color rgb="FFC26E00"/>
      </font>
      <fill>
        <patternFill patternType="solid">
          <bgColor rgb="FFFFDFC7"/>
        </patternFill>
      </fill>
    </dxf>
    <dxf>
      <font>
        <b/>
        <i val="0"/>
        <color rgb="FFC26E00"/>
      </font>
      <fill>
        <patternFill patternType="solid">
          <bgColor rgb="FFFFDFC7"/>
        </patternFill>
      </fill>
    </dxf>
    <dxf>
      <font>
        <b/>
        <i val="0"/>
        <color rgb="FFC26E00"/>
      </font>
      <fill>
        <patternFill patternType="solid">
          <bgColor rgb="FFFFDFC7"/>
        </patternFill>
      </fill>
    </dxf>
    <dxf>
      <font>
        <b/>
        <i val="0"/>
        <color rgb="FFC26E00"/>
      </font>
      <fill>
        <patternFill patternType="solid">
          <bgColor rgb="FFFFDFC7"/>
        </patternFill>
      </fill>
    </dxf>
    <dxf>
      <font>
        <b/>
        <i val="0"/>
        <color rgb="FFC26E00"/>
      </font>
      <fill>
        <patternFill patternType="solid">
          <bgColor rgb="FFFFDFC7"/>
        </patternFill>
      </fill>
    </dxf>
    <dxf>
      <font>
        <b/>
        <i val="0"/>
        <color rgb="FFC26E00"/>
      </font>
      <fill>
        <patternFill patternType="solid">
          <bgColor rgb="FFFFDFC7"/>
        </patternFill>
      </fill>
    </dxf>
    <dxf>
      <font>
        <b/>
        <i val="0"/>
        <color rgb="FFC26E00"/>
      </font>
      <fill>
        <patternFill patternType="solid">
          <bgColor rgb="FFFFDFC7"/>
        </patternFill>
      </fill>
    </dxf>
    <dxf>
      <font>
        <b/>
        <i val="0"/>
        <color rgb="FFC26E00"/>
      </font>
      <fill>
        <patternFill patternType="solid">
          <bgColor rgb="FFFFDFC7"/>
        </patternFill>
      </fill>
    </dxf>
    <dxf>
      <font>
        <b/>
        <i val="0"/>
        <color rgb="FFC26E00"/>
      </font>
      <fill>
        <patternFill patternType="solid">
          <bgColor rgb="FFFFDFC7"/>
        </patternFill>
      </fill>
    </dxf>
    <dxf>
      <font>
        <b/>
        <i val="0"/>
        <color rgb="FFC26E00"/>
      </font>
      <fill>
        <patternFill patternType="solid">
          <bgColor rgb="FFFFDFC7"/>
        </patternFill>
      </fill>
    </dxf>
    <dxf>
      <font>
        <b/>
        <i val="0"/>
        <color rgb="FFC26E00"/>
      </font>
      <fill>
        <patternFill patternType="solid">
          <bgColor rgb="FFFFDFC7"/>
        </patternFill>
      </fill>
    </dxf>
    <dxf>
      <font>
        <b/>
        <i val="0"/>
        <color rgb="FFC26E00"/>
      </font>
      <fill>
        <patternFill patternType="solid">
          <bgColor rgb="FFFFDFC7"/>
        </patternFill>
      </fill>
    </dxf>
    <dxf>
      <font>
        <b/>
        <i val="0"/>
        <color rgb="FFC26E00"/>
      </font>
      <fill>
        <patternFill patternType="solid">
          <bgColor rgb="FFFFDFC7"/>
        </patternFill>
      </fill>
    </dxf>
    <dxf>
      <font>
        <b/>
        <i val="0"/>
        <color rgb="FFC26E00"/>
      </font>
      <fill>
        <patternFill patternType="solid">
          <bgColor rgb="FFFFDFC7"/>
        </patternFill>
      </fill>
    </dxf>
    <dxf>
      <font>
        <b/>
        <i val="0"/>
        <color rgb="FFC26E00"/>
      </font>
      <fill>
        <patternFill patternType="solid">
          <bgColor rgb="FFFFDFC7"/>
        </patternFill>
      </fill>
    </dxf>
    <dxf>
      <font>
        <b/>
        <i val="0"/>
        <color rgb="FFC26E00"/>
      </font>
      <fill>
        <patternFill patternType="solid">
          <bgColor rgb="FFFFDFC7"/>
        </patternFill>
      </fill>
    </dxf>
    <dxf>
      <font>
        <b/>
        <i val="0"/>
        <color rgb="FFC26E00"/>
      </font>
      <fill>
        <patternFill patternType="solid">
          <bgColor rgb="FFFFDFC7"/>
        </patternFill>
      </fill>
    </dxf>
    <dxf>
      <font>
        <b/>
        <i val="0"/>
        <color rgb="FFC26E00"/>
      </font>
      <fill>
        <patternFill patternType="solid">
          <bgColor rgb="FFFFDFC7"/>
        </patternFill>
      </fill>
    </dxf>
    <dxf>
      <font>
        <b/>
        <i val="0"/>
        <color rgb="FFC26E00"/>
      </font>
      <fill>
        <patternFill patternType="solid">
          <bgColor rgb="FFFFDFC7"/>
        </patternFill>
      </fill>
    </dxf>
    <dxf>
      <font>
        <b/>
        <i val="0"/>
        <color rgb="FFC26E00"/>
      </font>
      <fill>
        <patternFill patternType="solid">
          <bgColor rgb="FFFFDFC7"/>
        </patternFill>
      </fill>
    </dxf>
    <dxf>
      <font>
        <b/>
        <i val="0"/>
        <color rgb="FFC26E00"/>
      </font>
      <fill>
        <patternFill patternType="solid">
          <bgColor rgb="FFFFDFC7"/>
        </patternFill>
      </fill>
    </dxf>
    <dxf>
      <font>
        <b/>
        <i val="0"/>
        <color rgb="FFC26E00"/>
      </font>
      <fill>
        <patternFill patternType="solid">
          <bgColor rgb="FFFFDFC7"/>
        </patternFill>
      </fill>
    </dxf>
    <dxf>
      <font>
        <b/>
        <i val="0"/>
        <color rgb="FFC26E00"/>
      </font>
      <fill>
        <patternFill patternType="solid">
          <bgColor rgb="FFFFDFC7"/>
        </patternFill>
      </fill>
    </dxf>
    <dxf>
      <font>
        <b/>
        <i val="0"/>
        <color rgb="FFC26E00"/>
      </font>
      <fill>
        <patternFill patternType="solid">
          <bgColor rgb="FFFFDFC7"/>
        </patternFill>
      </fill>
    </dxf>
    <dxf>
      <font>
        <b/>
        <i val="0"/>
        <color rgb="FFC26E00"/>
      </font>
      <fill>
        <patternFill patternType="solid">
          <bgColor rgb="FFFFDFC7"/>
        </patternFill>
      </fill>
    </dxf>
    <dxf>
      <font>
        <b/>
        <i val="0"/>
        <color rgb="FF9C5700"/>
      </font>
      <fill>
        <patternFill>
          <bgColor rgb="FFFFEB9C"/>
        </patternFill>
      </fill>
    </dxf>
    <dxf>
      <font>
        <b/>
        <i val="0"/>
        <color rgb="FF006100"/>
      </font>
      <fill>
        <patternFill patternType="solid">
          <bgColor rgb="FFC6EFCE"/>
        </patternFill>
      </fill>
    </dxf>
    <dxf>
      <font>
        <b/>
        <i val="0"/>
        <color rgb="FF9C5700"/>
      </font>
      <fill>
        <patternFill>
          <bgColor rgb="FFFFEB9C"/>
        </patternFill>
      </fill>
    </dxf>
    <dxf>
      <font>
        <b/>
        <i val="0"/>
        <color rgb="FF9C0006"/>
      </font>
      <fill>
        <patternFill patternType="solid">
          <bgColor rgb="FFFFC7CE"/>
        </patternFill>
      </fill>
    </dxf>
    <dxf>
      <font>
        <b/>
        <i val="0"/>
        <color rgb="FF006100"/>
      </font>
      <fill>
        <patternFill patternType="solid">
          <bgColor rgb="FFC6EFCE"/>
        </patternFill>
      </fill>
    </dxf>
    <dxf>
      <font>
        <b/>
        <i val="0"/>
        <color rgb="FF006100"/>
      </font>
      <fill>
        <patternFill patternType="solid">
          <bgColor rgb="FFC6EFCE"/>
        </patternFill>
      </fill>
    </dxf>
    <dxf>
      <font>
        <b/>
        <i val="0"/>
        <color rgb="FF818C00"/>
      </font>
      <fill>
        <patternFill patternType="solid">
          <bgColor rgb="FFF6FFC7"/>
        </patternFill>
      </fill>
    </dxf>
    <dxf>
      <font>
        <b/>
        <i val="0"/>
        <color rgb="FF006100"/>
      </font>
      <fill>
        <patternFill patternType="solid">
          <bgColor rgb="FFC6EFCE"/>
        </patternFill>
      </fill>
    </dxf>
    <dxf>
      <font>
        <b/>
        <i val="0"/>
        <color rgb="FF818C00"/>
      </font>
      <fill>
        <patternFill patternType="solid">
          <bgColor rgb="FFF6FFC7"/>
        </patternFill>
      </fill>
    </dxf>
    <dxf>
      <font>
        <b/>
        <i val="0"/>
        <color rgb="FF818C00"/>
      </font>
      <fill>
        <patternFill patternType="solid">
          <bgColor rgb="FFF6FFC7"/>
        </patternFill>
      </fill>
    </dxf>
    <dxf>
      <font>
        <b/>
        <i val="0"/>
        <color rgb="FF006100"/>
      </font>
      <fill>
        <patternFill patternType="solid">
          <bgColor rgb="FFC6EFCE"/>
        </patternFill>
      </fill>
    </dxf>
    <dxf>
      <font>
        <b/>
        <i val="0"/>
        <color rgb="FF818C00"/>
      </font>
      <fill>
        <patternFill patternType="solid">
          <bgColor rgb="FFF6FFC7"/>
        </patternFill>
      </fill>
    </dxf>
    <dxf>
      <font>
        <b/>
        <i val="0"/>
        <color rgb="FF006100"/>
      </font>
      <fill>
        <patternFill patternType="solid">
          <bgColor rgb="FFC6EFCE"/>
        </patternFill>
      </fill>
    </dxf>
    <dxf>
      <font>
        <b/>
        <i val="0"/>
        <color rgb="FF006100"/>
      </font>
      <fill>
        <patternFill patternType="solid">
          <bgColor rgb="FFC6EFCE"/>
        </patternFill>
      </fill>
    </dxf>
    <dxf>
      <font>
        <b/>
        <i val="0"/>
        <color rgb="FF818C00"/>
      </font>
      <fill>
        <patternFill patternType="solid">
          <bgColor rgb="FFF6FFC7"/>
        </patternFill>
      </fill>
    </dxf>
    <dxf>
      <font>
        <b/>
        <i val="0"/>
        <color rgb="FF818C00"/>
      </font>
      <fill>
        <patternFill patternType="solid">
          <bgColor rgb="FFF6FFC7"/>
        </patternFill>
      </fill>
    </dxf>
    <dxf>
      <font>
        <b/>
        <i val="0"/>
        <color rgb="FF006100"/>
      </font>
      <fill>
        <patternFill patternType="solid">
          <bgColor rgb="FFC6EFCE"/>
        </patternFill>
      </fill>
    </dxf>
    <dxf>
      <font>
        <b/>
        <i val="0"/>
        <color rgb="FF006100"/>
      </font>
      <fill>
        <patternFill patternType="solid">
          <bgColor rgb="FFC6EFCE"/>
        </patternFill>
      </fill>
    </dxf>
    <dxf>
      <font>
        <b/>
        <i val="0"/>
        <color rgb="FF818C00"/>
      </font>
      <fill>
        <patternFill patternType="solid">
          <bgColor rgb="FFF6FFC7"/>
        </patternFill>
      </fill>
    </dxf>
    <dxf>
      <font>
        <b/>
        <i val="0"/>
        <color rgb="FF006100"/>
      </font>
      <fill>
        <patternFill patternType="solid">
          <bgColor rgb="FFC6EFCE"/>
        </patternFill>
      </fill>
    </dxf>
    <dxf>
      <font>
        <b/>
        <i val="0"/>
        <color rgb="FF818C00"/>
      </font>
      <fill>
        <patternFill patternType="solid">
          <bgColor rgb="FFF6FFC7"/>
        </patternFill>
      </fill>
    </dxf>
    <dxf>
      <font>
        <b/>
        <i val="0"/>
        <color rgb="FF006100"/>
      </font>
      <fill>
        <patternFill patternType="solid">
          <bgColor rgb="FFC6EFCE"/>
        </patternFill>
      </fill>
    </dxf>
    <dxf>
      <font>
        <b/>
        <i val="0"/>
        <color rgb="FF818C00"/>
      </font>
      <fill>
        <patternFill patternType="solid">
          <bgColor rgb="FFF6FFC7"/>
        </patternFill>
      </fill>
    </dxf>
    <dxf>
      <font>
        <b/>
        <i val="0"/>
        <color rgb="FF006100"/>
      </font>
      <fill>
        <patternFill patternType="solid">
          <bgColor rgb="FFC6EFCE"/>
        </patternFill>
      </fill>
    </dxf>
    <dxf>
      <font>
        <b/>
        <i val="0"/>
        <color rgb="FF818C00"/>
      </font>
      <fill>
        <patternFill patternType="solid">
          <bgColor rgb="FFF6FFC7"/>
        </patternFill>
      </fill>
    </dxf>
    <dxf>
      <font>
        <b/>
        <i val="0"/>
        <color rgb="FF006100"/>
      </font>
      <fill>
        <patternFill patternType="solid">
          <bgColor rgb="FFC6EFCE"/>
        </patternFill>
      </fill>
    </dxf>
    <dxf>
      <font>
        <b/>
        <i val="0"/>
        <color rgb="FF818C00"/>
      </font>
      <fill>
        <patternFill patternType="solid">
          <bgColor rgb="FFF6FFC7"/>
        </patternFill>
      </fill>
    </dxf>
    <dxf>
      <font>
        <b/>
        <i val="0"/>
        <color rgb="FF006100"/>
      </font>
      <fill>
        <patternFill patternType="solid">
          <bgColor rgb="FFC6EFCE"/>
        </patternFill>
      </fill>
    </dxf>
    <dxf>
      <font>
        <b/>
        <i val="0"/>
        <color rgb="FF818C00"/>
      </font>
      <fill>
        <patternFill patternType="solid">
          <bgColor rgb="FFF6FFC7"/>
        </patternFill>
      </fill>
    </dxf>
    <dxf>
      <font>
        <b/>
        <i val="0"/>
        <color rgb="FF818C00"/>
      </font>
      <fill>
        <patternFill patternType="solid">
          <bgColor rgb="FFF6FFC7"/>
        </patternFill>
      </fill>
    </dxf>
    <dxf>
      <font>
        <b/>
        <i val="0"/>
        <color rgb="FF006100"/>
      </font>
      <fill>
        <patternFill patternType="solid">
          <bgColor rgb="FFC6EFCE"/>
        </patternFill>
      </fill>
    </dxf>
    <dxf>
      <font>
        <b/>
        <i val="0"/>
        <color rgb="FF9C0006"/>
      </font>
      <fill>
        <patternFill patternType="solid">
          <bgColor rgb="FFFFC7CE"/>
        </patternFill>
      </fill>
    </dxf>
    <dxf>
      <font>
        <b/>
        <i val="0"/>
        <color rgb="FFC26E00"/>
      </font>
      <fill>
        <patternFill patternType="solid">
          <bgColor rgb="FFFFDFC7"/>
        </patternFill>
      </fill>
    </dxf>
    <dxf>
      <font>
        <b/>
        <i val="0"/>
        <color rgb="FF9C5700"/>
      </font>
      <fill>
        <patternFill>
          <bgColor rgb="FFFFEB9C"/>
        </patternFill>
      </fill>
    </dxf>
    <dxf>
      <font>
        <b/>
        <i val="0"/>
        <color rgb="FF006100"/>
      </font>
      <fill>
        <patternFill patternType="solid">
          <bgColor rgb="FFC6EFCE"/>
        </patternFill>
      </fill>
    </dxf>
    <dxf>
      <font>
        <b/>
        <i val="0"/>
        <color rgb="FF006100"/>
      </font>
      <fill>
        <patternFill patternType="solid">
          <bgColor rgb="FFC6EFCE"/>
        </patternFill>
      </fill>
    </dxf>
    <dxf>
      <font>
        <b/>
        <i val="0"/>
        <color rgb="FF818C00"/>
      </font>
      <fill>
        <patternFill patternType="solid">
          <bgColor rgb="FFF6FFC7"/>
        </patternFill>
      </fill>
    </dxf>
    <dxf>
      <font>
        <b/>
        <i val="0"/>
        <color rgb="FF006100"/>
      </font>
      <fill>
        <patternFill patternType="solid">
          <bgColor rgb="FFC6EFCE"/>
        </patternFill>
      </fill>
    </dxf>
    <dxf>
      <font>
        <b/>
        <i val="0"/>
        <color rgb="FF818C00"/>
      </font>
      <fill>
        <patternFill patternType="solid">
          <bgColor rgb="FFF6FFC7"/>
        </patternFill>
      </fill>
    </dxf>
    <dxf>
      <font>
        <b/>
        <i val="0"/>
        <color rgb="FF006100"/>
      </font>
      <fill>
        <patternFill patternType="solid">
          <bgColor rgb="FFC6EFCE"/>
        </patternFill>
      </fill>
    </dxf>
    <dxf>
      <font>
        <b/>
        <i val="0"/>
        <color rgb="FF818C00"/>
      </font>
      <fill>
        <patternFill patternType="solid">
          <bgColor rgb="FFF6FFC7"/>
        </patternFill>
      </fill>
    </dxf>
    <dxf>
      <font>
        <b/>
        <i val="0"/>
        <color rgb="FF006100"/>
      </font>
      <fill>
        <patternFill patternType="solid">
          <bgColor rgb="FFC6EFCE"/>
        </patternFill>
      </fill>
    </dxf>
    <dxf>
      <font>
        <b/>
        <i val="0"/>
        <color rgb="FF818C00"/>
      </font>
      <fill>
        <patternFill patternType="solid">
          <bgColor rgb="FFF6FFC7"/>
        </patternFill>
      </fill>
    </dxf>
    <dxf>
      <font>
        <color rgb="FF006100"/>
      </font>
      <fill>
        <patternFill>
          <bgColor rgb="FFC6EFCE"/>
        </patternFill>
      </fill>
    </dxf>
    <dxf>
      <font>
        <color rgb="FF9C0006"/>
      </font>
      <fill>
        <patternFill>
          <bgColor rgb="FFFFC7CE"/>
        </patternFill>
      </fill>
    </dxf>
    <dxf>
      <font>
        <b/>
        <i val="0"/>
        <color rgb="FF9C5700"/>
      </font>
      <fill>
        <patternFill patternType="solid">
          <bgColor rgb="FFFFEB9C"/>
        </patternFill>
      </fill>
    </dxf>
    <dxf>
      <font>
        <b/>
        <i val="0"/>
        <color rgb="FF818C00"/>
      </font>
      <fill>
        <patternFill patternType="solid">
          <bgColor rgb="FFF6FFC7"/>
        </patternFill>
      </fill>
    </dxf>
    <dxf>
      <font>
        <b/>
        <i val="0"/>
        <color rgb="FF006100"/>
      </font>
      <fill>
        <patternFill patternType="solid">
          <bgColor rgb="FFC6EFCE"/>
        </patternFill>
      </fill>
    </dxf>
    <dxf>
      <font>
        <b/>
        <i val="0"/>
        <color rgb="FF006100"/>
      </font>
      <fill>
        <patternFill patternType="solid">
          <bgColor rgb="FFC6EFCE"/>
        </patternFill>
      </fill>
    </dxf>
    <dxf>
      <font>
        <b/>
        <i val="0"/>
        <color rgb="FF818C00"/>
      </font>
      <fill>
        <patternFill patternType="solid">
          <bgColor rgb="FFF6FFC7"/>
        </patternFill>
      </fill>
    </dxf>
    <dxf>
      <font>
        <b/>
        <i val="0"/>
        <color rgb="FF006100"/>
      </font>
      <fill>
        <patternFill patternType="solid">
          <bgColor rgb="FFC6EFCE"/>
        </patternFill>
      </fill>
    </dxf>
    <dxf>
      <font>
        <b/>
        <i val="0"/>
        <color rgb="FF818C00"/>
      </font>
      <fill>
        <patternFill patternType="solid">
          <bgColor rgb="FFF6FFC7"/>
        </patternFill>
      </fill>
    </dxf>
    <dxf>
      <font>
        <b/>
        <i val="0"/>
        <color rgb="FF006100"/>
      </font>
      <fill>
        <patternFill patternType="solid">
          <bgColor rgb="FFC6EFCE"/>
        </patternFill>
      </fill>
    </dxf>
    <dxf>
      <font>
        <b/>
        <i val="0"/>
        <color rgb="FF818C00"/>
      </font>
      <fill>
        <patternFill patternType="solid">
          <bgColor rgb="FFF6FFC7"/>
        </patternFill>
      </fill>
    </dxf>
    <dxf>
      <font>
        <b/>
        <i val="0"/>
        <color rgb="FF006100"/>
      </font>
      <fill>
        <patternFill patternType="solid">
          <bgColor rgb="FFC6EFCE"/>
        </patternFill>
      </fill>
    </dxf>
    <dxf>
      <font>
        <b/>
        <i val="0"/>
        <color rgb="FF818C00"/>
      </font>
      <fill>
        <patternFill patternType="solid">
          <bgColor rgb="FFF6FFC7"/>
        </patternFill>
      </fill>
    </dxf>
    <dxf>
      <font>
        <b/>
        <i val="0"/>
        <color rgb="FF006100"/>
      </font>
      <fill>
        <patternFill patternType="solid">
          <bgColor rgb="FFC6EFCE"/>
        </patternFill>
      </fill>
    </dxf>
    <dxf>
      <font>
        <b/>
        <i val="0"/>
        <color rgb="FF818C00"/>
      </font>
      <fill>
        <patternFill patternType="solid">
          <bgColor rgb="FFF6FFC7"/>
        </patternFill>
      </fill>
    </dxf>
    <dxf>
      <font>
        <b/>
        <i val="0"/>
        <color rgb="FF006100"/>
      </font>
      <fill>
        <patternFill patternType="solid">
          <bgColor rgb="FFC6EFCE"/>
        </patternFill>
      </fill>
    </dxf>
    <dxf>
      <font>
        <b/>
        <i val="0"/>
        <color rgb="FF818C00"/>
      </font>
      <fill>
        <patternFill patternType="solid">
          <bgColor rgb="FFF6FFC7"/>
        </patternFill>
      </fill>
    </dxf>
    <dxf>
      <font>
        <b/>
        <i val="0"/>
        <color rgb="FF9C5700"/>
      </font>
      <fill>
        <patternFill>
          <bgColor rgb="FFFFEB9C"/>
        </patternFill>
      </fill>
    </dxf>
    <dxf>
      <font>
        <b/>
        <i val="0"/>
        <color rgb="FF006100"/>
      </font>
      <fill>
        <patternFill patternType="solid">
          <bgColor rgb="FFC6EFCE"/>
        </patternFill>
      </fill>
    </dxf>
    <dxf>
      <font>
        <b/>
        <i val="0"/>
        <color rgb="FF9C0006"/>
      </font>
      <fill>
        <patternFill patternType="solid">
          <bgColor rgb="FFFFC7CE"/>
        </patternFill>
      </fill>
    </dxf>
    <dxf>
      <font>
        <b/>
        <i val="0"/>
        <color rgb="FFC26E00"/>
      </font>
      <fill>
        <patternFill patternType="solid">
          <bgColor rgb="FFFFDFC7"/>
        </patternFill>
      </fill>
    </dxf>
    <dxf>
      <font>
        <color rgb="FF9C0006"/>
      </font>
      <fill>
        <patternFill>
          <bgColor rgb="FFFFC7CE"/>
        </patternFill>
      </fill>
    </dxf>
    <dxf>
      <font>
        <b/>
        <i val="0"/>
        <color rgb="FF9C5700"/>
      </font>
      <fill>
        <patternFill patternType="solid">
          <bgColor rgb="FFFFEB9C"/>
        </patternFill>
      </fill>
    </dxf>
    <dxf>
      <font>
        <color rgb="FF006100"/>
      </font>
      <fill>
        <patternFill>
          <bgColor rgb="FFC6EFCE"/>
        </patternFill>
      </fill>
    </dxf>
    <dxf>
      <font>
        <b/>
        <i val="0"/>
        <color rgb="FF9C5700"/>
      </font>
      <fill>
        <patternFill patternType="solid">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9C5700"/>
      </font>
      <fill>
        <patternFill patternType="solid">
          <bgColor rgb="FFFFEB9C"/>
        </patternFill>
      </fill>
    </dxf>
    <dxf>
      <font>
        <color rgb="FF9C0006"/>
      </font>
      <fill>
        <patternFill>
          <bgColor rgb="FFFFC7CE"/>
        </patternFill>
      </fill>
    </dxf>
    <dxf>
      <font>
        <b/>
        <i val="0"/>
        <color rgb="FFC26E00"/>
      </font>
      <fill>
        <patternFill patternType="solid">
          <bgColor rgb="FFFFDFC7"/>
        </patternFill>
      </fill>
    </dxf>
    <dxf>
      <font>
        <b/>
        <i val="0"/>
        <color rgb="FF9C0006"/>
      </font>
      <fill>
        <patternFill patternType="solid">
          <bgColor rgb="FFFFC7CE"/>
        </patternFill>
      </fill>
    </dxf>
    <dxf>
      <font>
        <b/>
        <i val="0"/>
        <color rgb="FF006100"/>
      </font>
      <fill>
        <patternFill patternType="solid">
          <bgColor rgb="FFC6EFCE"/>
        </patternFill>
      </fill>
    </dxf>
    <dxf>
      <font>
        <b/>
        <i val="0"/>
        <color rgb="FF9C5700"/>
      </font>
      <fill>
        <patternFill>
          <bgColor rgb="FFFFEB9C"/>
        </patternFill>
      </fill>
    </dxf>
    <dxf>
      <font>
        <color rgb="FF9C0006"/>
      </font>
      <fill>
        <patternFill>
          <bgColor rgb="FFFFC7CE"/>
        </patternFill>
      </fill>
    </dxf>
    <dxf>
      <font>
        <b/>
        <i val="0"/>
        <color rgb="FF9C5700"/>
      </font>
      <fill>
        <patternFill patternType="solid">
          <bgColor rgb="FFFFEB9C"/>
        </patternFill>
      </fill>
    </dxf>
    <dxf>
      <font>
        <color rgb="FF006100"/>
      </font>
      <fill>
        <patternFill>
          <bgColor rgb="FFC6EFCE"/>
        </patternFill>
      </fill>
    </dxf>
    <dxf>
      <font>
        <b/>
        <i val="0"/>
        <color rgb="FF006100"/>
      </font>
      <fill>
        <patternFill patternType="solid">
          <bgColor rgb="FFC6EFCE"/>
        </patternFill>
      </fill>
    </dxf>
    <dxf>
      <font>
        <b/>
        <i val="0"/>
        <color rgb="FF818C00"/>
      </font>
      <fill>
        <patternFill patternType="solid">
          <bgColor rgb="FFF6FFC7"/>
        </patternFill>
      </fill>
    </dxf>
    <dxf>
      <font>
        <b/>
        <i val="0"/>
        <color rgb="FF818C00"/>
      </font>
      <fill>
        <patternFill patternType="solid">
          <bgColor rgb="FFF6FFC7"/>
        </patternFill>
      </fill>
    </dxf>
    <dxf>
      <font>
        <b/>
        <i val="0"/>
        <color rgb="FF006100"/>
      </font>
      <fill>
        <patternFill patternType="solid">
          <bgColor rgb="FFC6EFCE"/>
        </patternFill>
      </fill>
    </dxf>
    <dxf>
      <font>
        <b/>
        <i val="0"/>
        <color rgb="FF818C00"/>
      </font>
      <fill>
        <patternFill patternType="solid">
          <bgColor rgb="FFF6FFC7"/>
        </patternFill>
      </fill>
    </dxf>
    <dxf>
      <font>
        <b/>
        <i val="0"/>
        <color rgb="FF006100"/>
      </font>
      <fill>
        <patternFill patternType="solid">
          <bgColor rgb="FFC6EFCE"/>
        </patternFill>
      </fill>
    </dxf>
    <dxf>
      <font>
        <color rgb="FF9C0006"/>
      </font>
      <fill>
        <patternFill>
          <bgColor rgb="FFFFC7CE"/>
        </patternFill>
      </fill>
    </dxf>
    <dxf>
      <font>
        <b/>
        <i val="0"/>
        <color rgb="FF9C5700"/>
      </font>
      <fill>
        <patternFill patternType="solid">
          <bgColor rgb="FFFFEB9C"/>
        </patternFill>
      </fill>
    </dxf>
    <dxf>
      <font>
        <color rgb="FF006100"/>
      </font>
      <fill>
        <patternFill>
          <bgColor rgb="FFC6EFCE"/>
        </patternFill>
      </fill>
    </dxf>
    <dxf>
      <font>
        <b/>
        <i val="0"/>
        <color rgb="FF006100"/>
      </font>
      <fill>
        <patternFill patternType="solid">
          <bgColor rgb="FFC6EFCE"/>
        </patternFill>
      </fill>
    </dxf>
    <dxf>
      <font>
        <b/>
        <i val="0"/>
        <color rgb="FF818C00"/>
      </font>
      <fill>
        <patternFill patternType="solid">
          <bgColor rgb="FFF6FFC7"/>
        </patternFill>
      </fill>
    </dxf>
    <dxf>
      <font>
        <b/>
        <i val="0"/>
        <color rgb="FF006100"/>
      </font>
      <fill>
        <patternFill patternType="solid">
          <bgColor rgb="FFC6EFCE"/>
        </patternFill>
      </fill>
    </dxf>
    <dxf>
      <font>
        <b/>
        <i val="0"/>
        <color rgb="FF818C00"/>
      </font>
      <fill>
        <patternFill patternType="solid">
          <bgColor rgb="FFF6FFC7"/>
        </patternFill>
      </fill>
    </dxf>
    <dxf>
      <font>
        <b/>
        <i val="0"/>
        <color rgb="FF818C00"/>
      </font>
      <fill>
        <patternFill patternType="solid">
          <bgColor rgb="FFF6FFC7"/>
        </patternFill>
      </fill>
    </dxf>
    <dxf>
      <font>
        <b/>
        <i val="0"/>
        <color rgb="FF006100"/>
      </font>
      <fill>
        <patternFill patternType="solid">
          <bgColor rgb="FFC6EFCE"/>
        </patternFill>
      </fill>
    </dxf>
    <dxf>
      <font>
        <b/>
        <i val="0"/>
        <color rgb="FF818C00"/>
      </font>
      <fill>
        <patternFill patternType="solid">
          <bgColor rgb="FFF6FFC7"/>
        </patternFill>
      </fill>
    </dxf>
    <dxf>
      <font>
        <b/>
        <i val="0"/>
        <color rgb="FF006100"/>
      </font>
      <fill>
        <patternFill patternType="solid">
          <bgColor rgb="FFC6EFCE"/>
        </patternFill>
      </fill>
    </dxf>
    <dxf>
      <font>
        <b/>
        <i val="0"/>
        <color rgb="FF006100"/>
      </font>
      <fill>
        <patternFill patternType="solid">
          <bgColor rgb="FFC6EFCE"/>
        </patternFill>
      </fill>
    </dxf>
    <dxf>
      <font>
        <b/>
        <i val="0"/>
        <color rgb="FF818C00"/>
      </font>
      <fill>
        <patternFill patternType="solid">
          <bgColor rgb="FFF6FFC7"/>
        </patternFill>
      </fill>
    </dxf>
    <dxf>
      <font>
        <b/>
        <i val="0"/>
        <color rgb="FF9C5700"/>
      </font>
      <fill>
        <patternFill>
          <bgColor rgb="FFFFEB9C"/>
        </patternFill>
      </fill>
    </dxf>
    <dxf>
      <font>
        <b/>
        <i val="0"/>
        <color rgb="FF006100"/>
      </font>
      <fill>
        <patternFill patternType="solid">
          <bgColor rgb="FFC6EFCE"/>
        </patternFill>
      </fill>
    </dxf>
    <dxf>
      <font>
        <b/>
        <i val="0"/>
        <color rgb="FFC26E00"/>
      </font>
      <fill>
        <patternFill patternType="solid">
          <bgColor rgb="FFFFDFC7"/>
        </patternFill>
      </fill>
    </dxf>
    <dxf>
      <font>
        <b/>
        <i val="0"/>
        <color rgb="FF9C0006"/>
      </font>
      <fill>
        <patternFill patternType="solid">
          <bgColor rgb="FFFFC7CE"/>
        </patternFill>
      </fill>
    </dxf>
    <dxf>
      <font>
        <b/>
        <i val="0"/>
        <color rgb="FF9C5700"/>
      </font>
      <fill>
        <patternFill>
          <bgColor rgb="FFFFEB9C"/>
        </patternFill>
      </fill>
    </dxf>
    <dxf>
      <font>
        <b/>
        <i val="0"/>
        <color rgb="FF006100"/>
      </font>
      <fill>
        <patternFill patternType="solid">
          <bgColor rgb="FFC6EFCE"/>
        </patternFill>
      </fill>
    </dxf>
    <dxf>
      <font>
        <b/>
        <i val="0"/>
        <color rgb="FF9C0006"/>
      </font>
      <fill>
        <patternFill patternType="solid">
          <bgColor rgb="FFFFC7CE"/>
        </patternFill>
      </fill>
    </dxf>
    <dxf>
      <font>
        <b/>
        <i val="0"/>
        <color rgb="FFC26E00"/>
      </font>
      <fill>
        <patternFill patternType="solid">
          <bgColor rgb="FFFFDFC7"/>
        </patternFill>
      </fill>
    </dxf>
    <dxf>
      <font>
        <b/>
        <i val="0"/>
        <color rgb="FF9C0006"/>
      </font>
      <fill>
        <patternFill patternType="solid">
          <bgColor rgb="FFFFC7CE"/>
        </patternFill>
      </fill>
    </dxf>
    <dxf>
      <font>
        <b/>
        <i val="0"/>
        <color rgb="FF006100"/>
      </font>
      <fill>
        <patternFill patternType="solid">
          <bgColor rgb="FFC6EFCE"/>
        </patternFill>
      </fill>
    </dxf>
    <dxf>
      <font>
        <b/>
        <i val="0"/>
        <color rgb="FF9C5700"/>
      </font>
      <fill>
        <patternFill>
          <bgColor rgb="FFFFEB9C"/>
        </patternFill>
      </fill>
    </dxf>
    <dxf>
      <font>
        <b/>
        <i val="0"/>
        <color rgb="FFC26E00"/>
      </font>
      <fill>
        <patternFill patternType="solid">
          <bgColor rgb="FFFFDFC7"/>
        </patternFill>
      </fill>
    </dxf>
    <dxf>
      <font>
        <b/>
        <i val="0"/>
        <color rgb="FF9C5700"/>
      </font>
      <fill>
        <patternFill>
          <bgColor rgb="FFFFEB9C"/>
        </patternFill>
      </fill>
    </dxf>
    <dxf>
      <font>
        <b/>
        <i val="0"/>
        <color rgb="FF006100"/>
      </font>
      <fill>
        <patternFill patternType="solid">
          <bgColor rgb="FFC6EFCE"/>
        </patternFill>
      </fill>
    </dxf>
    <dxf>
      <font>
        <b/>
        <i val="0"/>
        <color rgb="FF9C0006"/>
      </font>
      <fill>
        <patternFill patternType="solid">
          <bgColor rgb="FFFFC7CE"/>
        </patternFill>
      </fill>
    </dxf>
    <dxf>
      <font>
        <b/>
        <i val="0"/>
        <color rgb="FFC26E00"/>
      </font>
      <fill>
        <patternFill patternType="solid">
          <bgColor rgb="FFFFDFC7"/>
        </patternFill>
      </fill>
    </dxf>
    <dxf>
      <font>
        <b/>
        <i val="0"/>
        <color rgb="FFC26E00"/>
      </font>
      <fill>
        <patternFill patternType="solid">
          <bgColor rgb="FFFFDFC7"/>
        </patternFill>
      </fill>
    </dxf>
    <dxf>
      <font>
        <b/>
        <i val="0"/>
        <color rgb="FF006100"/>
      </font>
      <fill>
        <patternFill patternType="solid">
          <bgColor rgb="FFC6EFCE"/>
        </patternFill>
      </fill>
    </dxf>
    <dxf>
      <font>
        <b/>
        <i val="0"/>
        <color rgb="FF9C5700"/>
      </font>
      <fill>
        <patternFill>
          <bgColor rgb="FFFFEB9C"/>
        </patternFill>
      </fill>
    </dxf>
    <dxf>
      <font>
        <b/>
        <i val="0"/>
        <color rgb="FF9C0006"/>
      </font>
      <fill>
        <patternFill patternType="solid">
          <bgColor rgb="FFFFC7CE"/>
        </patternFill>
      </fill>
    </dxf>
    <dxf>
      <font>
        <color rgb="FF006100"/>
      </font>
      <fill>
        <patternFill>
          <bgColor rgb="FFC6EFCE"/>
        </patternFill>
      </fill>
    </dxf>
    <dxf>
      <font>
        <color rgb="FF9C0006"/>
      </font>
      <fill>
        <patternFill>
          <bgColor rgb="FFFFC7CE"/>
        </patternFill>
      </fill>
    </dxf>
    <dxf>
      <font>
        <b/>
        <i val="0"/>
        <color rgb="FF9C5700"/>
      </font>
      <fill>
        <patternFill patternType="solid">
          <bgColor rgb="FFFFEB9C"/>
        </patternFill>
      </fill>
    </dxf>
    <dxf>
      <font>
        <b/>
        <i val="0"/>
        <color rgb="FF006100"/>
      </font>
      <fill>
        <patternFill patternType="solid">
          <bgColor rgb="FFC6EFCE"/>
        </patternFill>
      </fill>
    </dxf>
    <dxf>
      <font>
        <b/>
        <i val="0"/>
        <color rgb="FF818C00"/>
      </font>
      <fill>
        <patternFill patternType="solid">
          <bgColor rgb="FFF6FFC7"/>
        </patternFill>
      </fill>
    </dxf>
    <dxf>
      <font>
        <color rgb="FF9C0006"/>
      </font>
      <fill>
        <patternFill>
          <bgColor rgb="FFFFC7CE"/>
        </patternFill>
      </fill>
    </dxf>
    <dxf>
      <font>
        <b/>
        <i val="0"/>
        <color rgb="FF9C5700"/>
      </font>
      <fill>
        <patternFill patternType="solid">
          <bgColor rgb="FFFFEB9C"/>
        </patternFill>
      </fill>
    </dxf>
    <dxf>
      <font>
        <color rgb="FF006100"/>
      </font>
      <fill>
        <patternFill>
          <bgColor rgb="FFC6EFCE"/>
        </patternFill>
      </fill>
    </dxf>
    <dxf>
      <font>
        <b/>
        <i val="0"/>
        <color rgb="FF818C00"/>
      </font>
      <fill>
        <patternFill patternType="solid">
          <bgColor rgb="FFF6FFC7"/>
        </patternFill>
      </fill>
    </dxf>
    <dxf>
      <font>
        <b/>
        <i val="0"/>
        <color rgb="FF006100"/>
      </font>
      <fill>
        <patternFill patternType="solid">
          <bgColor rgb="FFC6EFCE"/>
        </patternFill>
      </fill>
    </dxf>
    <dxf>
      <font>
        <b/>
        <i val="0"/>
        <color rgb="FFC26E00"/>
      </font>
      <fill>
        <patternFill patternType="solid">
          <bgColor rgb="FFFFDFC7"/>
        </patternFill>
      </fill>
    </dxf>
    <dxf>
      <font>
        <b/>
        <i val="0"/>
        <color rgb="FF9C0006"/>
      </font>
      <fill>
        <patternFill patternType="solid">
          <bgColor rgb="FFFFC7CE"/>
        </patternFill>
      </fill>
    </dxf>
    <dxf>
      <font>
        <b/>
        <i val="0"/>
        <color rgb="FF006100"/>
      </font>
      <fill>
        <patternFill patternType="solid">
          <bgColor rgb="FFC6EFCE"/>
        </patternFill>
      </fill>
    </dxf>
    <dxf>
      <font>
        <b/>
        <i val="0"/>
        <color rgb="FF9C5700"/>
      </font>
      <fill>
        <patternFill>
          <bgColor rgb="FFFFEB9C"/>
        </patternFill>
      </fill>
    </dxf>
    <dxf>
      <font>
        <b/>
        <i val="0"/>
        <color rgb="FF818C00"/>
      </font>
      <fill>
        <patternFill patternType="solid">
          <bgColor rgb="FFF6FFC7"/>
        </patternFill>
      </fill>
    </dxf>
    <dxf>
      <font>
        <b/>
        <i val="0"/>
        <color rgb="FF006100"/>
      </font>
      <fill>
        <patternFill patternType="solid">
          <bgColor rgb="FFC6EFCE"/>
        </patternFill>
      </fill>
    </dxf>
    <dxf>
      <font>
        <b/>
        <i val="0"/>
        <color rgb="FF818C00"/>
      </font>
      <fill>
        <patternFill patternType="solid">
          <bgColor rgb="FFF6FFC7"/>
        </patternFill>
      </fill>
    </dxf>
    <dxf>
      <font>
        <b/>
        <i val="0"/>
        <color rgb="FF006100"/>
      </font>
      <fill>
        <patternFill patternType="solid">
          <bgColor rgb="FFC6EFCE"/>
        </patternFill>
      </fill>
    </dxf>
    <dxf>
      <font>
        <b/>
        <i val="0"/>
        <color rgb="FF9C5700"/>
      </font>
      <fill>
        <patternFill>
          <bgColor rgb="FFFFEB9C"/>
        </patternFill>
      </fill>
    </dxf>
    <dxf>
      <font>
        <b/>
        <i val="0"/>
        <color rgb="FFC26E00"/>
      </font>
      <fill>
        <patternFill patternType="solid">
          <bgColor rgb="FFFFDFC7"/>
        </patternFill>
      </fill>
    </dxf>
    <dxf>
      <font>
        <b/>
        <i val="0"/>
        <color rgb="FF9C0006"/>
      </font>
      <fill>
        <patternFill patternType="solid">
          <bgColor rgb="FFFFC7CE"/>
        </patternFill>
      </fill>
    </dxf>
    <dxf>
      <font>
        <b/>
        <i val="0"/>
        <color rgb="FF006100"/>
      </font>
      <fill>
        <patternFill patternType="solid">
          <bgColor rgb="FFC6EFCE"/>
        </patternFill>
      </fill>
    </dxf>
    <dxf>
      <font>
        <b/>
        <i val="0"/>
        <color rgb="FF006100"/>
      </font>
      <fill>
        <patternFill patternType="solid">
          <bgColor rgb="FFC6EFCE"/>
        </patternFill>
      </fill>
    </dxf>
    <dxf>
      <font>
        <b/>
        <i val="0"/>
        <color rgb="FF9C0006"/>
      </font>
      <fill>
        <patternFill patternType="solid">
          <bgColor rgb="FFFFC7CE"/>
        </patternFill>
      </fill>
    </dxf>
    <dxf>
      <font>
        <b/>
        <i val="0"/>
        <color rgb="FF9C5700"/>
      </font>
      <fill>
        <patternFill>
          <bgColor rgb="FFFFEB9C"/>
        </patternFill>
      </fill>
    </dxf>
    <dxf>
      <font>
        <b/>
        <i val="0"/>
        <color rgb="FFC26E00"/>
      </font>
      <fill>
        <patternFill patternType="solid">
          <bgColor rgb="FFFFDFC7"/>
        </patternFill>
      </fill>
    </dxf>
    <dxf>
      <font>
        <b/>
        <i val="0"/>
        <color rgb="FFC26E00"/>
      </font>
      <fill>
        <patternFill patternType="solid">
          <bgColor rgb="FFFFDFC7"/>
        </patternFill>
      </fill>
    </dxf>
    <dxf>
      <font>
        <b/>
        <i val="0"/>
        <color rgb="FF9C0006"/>
      </font>
      <fill>
        <patternFill patternType="solid">
          <bgColor rgb="FFFFC7CE"/>
        </patternFill>
      </fill>
    </dxf>
    <dxf>
      <font>
        <b/>
        <i val="0"/>
        <color rgb="FF006100"/>
      </font>
      <fill>
        <patternFill patternType="solid">
          <bgColor rgb="FFC6EFCE"/>
        </patternFill>
      </fill>
    </dxf>
    <dxf>
      <font>
        <b/>
        <i val="0"/>
        <color rgb="FF9C5700"/>
      </font>
      <fill>
        <patternFill>
          <bgColor rgb="FFFFEB9C"/>
        </patternFill>
      </fill>
    </dxf>
    <dxf>
      <font>
        <b/>
        <i val="0"/>
        <color rgb="FF9C5700"/>
      </font>
      <fill>
        <patternFill>
          <bgColor rgb="FFFFEB9C"/>
        </patternFill>
      </fill>
    </dxf>
    <dxf>
      <font>
        <b/>
        <i val="0"/>
        <color rgb="FF006100"/>
      </font>
      <fill>
        <patternFill patternType="solid">
          <bgColor rgb="FFC6EFCE"/>
        </patternFill>
      </fill>
    </dxf>
    <dxf>
      <font>
        <b/>
        <i val="0"/>
        <color rgb="FF9C0006"/>
      </font>
      <fill>
        <patternFill patternType="solid">
          <bgColor rgb="FFFFC7CE"/>
        </patternFill>
      </fill>
    </dxf>
    <dxf>
      <font>
        <b/>
        <i val="0"/>
        <color rgb="FFC26E00"/>
      </font>
      <fill>
        <patternFill patternType="solid">
          <bgColor rgb="FFFFDFC7"/>
        </patternFill>
      </fill>
    </dxf>
    <dxf>
      <font>
        <color rgb="FF006100"/>
      </font>
      <fill>
        <patternFill>
          <bgColor rgb="FFC6EFCE"/>
        </patternFill>
      </fill>
    </dxf>
    <dxf>
      <font>
        <b/>
        <i val="0"/>
        <color rgb="FF818C00"/>
      </font>
      <fill>
        <patternFill patternType="solid">
          <bgColor rgb="FFF6FFC7"/>
        </patternFill>
      </fill>
    </dxf>
    <dxf>
      <font>
        <b/>
        <i val="0"/>
        <color rgb="FF006100"/>
      </font>
      <fill>
        <patternFill patternType="solid">
          <bgColor rgb="FFC6EFCE"/>
        </patternFill>
      </fill>
    </dxf>
    <dxf>
      <font>
        <b/>
        <i val="0"/>
        <color rgb="FF9C5700"/>
      </font>
      <fill>
        <patternFill patternType="solid">
          <bgColor rgb="FFFFEB9C"/>
        </patternFill>
      </fill>
    </dxf>
    <dxf>
      <font>
        <color rgb="FF9C0006"/>
      </font>
      <fill>
        <patternFill>
          <bgColor rgb="FFFFC7CE"/>
        </patternFill>
      </fill>
    </dxf>
    <dxf>
      <font>
        <b/>
        <i val="0"/>
        <color rgb="FF006100"/>
      </font>
      <fill>
        <patternFill patternType="solid">
          <bgColor rgb="FFC6EFCE"/>
        </patternFill>
      </fill>
    </dxf>
    <dxf>
      <font>
        <b/>
        <i val="0"/>
        <color rgb="FF9C0006"/>
      </font>
      <fill>
        <patternFill patternType="solid">
          <bgColor rgb="FFFFC7CE"/>
        </patternFill>
      </fill>
    </dxf>
    <dxf>
      <font>
        <b/>
        <i val="0"/>
        <color rgb="FFC26E00"/>
      </font>
      <fill>
        <patternFill patternType="solid">
          <bgColor rgb="FFFFDFC7"/>
        </patternFill>
      </fill>
    </dxf>
    <dxf>
      <font>
        <b/>
        <i val="0"/>
        <color rgb="FF9C5700"/>
      </font>
      <fill>
        <patternFill>
          <bgColor rgb="FFFFEB9C"/>
        </patternFill>
      </fill>
    </dxf>
    <dxf>
      <font>
        <b/>
        <i val="0"/>
        <color rgb="FF9C5700"/>
      </font>
      <fill>
        <patternFill>
          <bgColor rgb="FFFFEB9C"/>
        </patternFill>
      </fill>
    </dxf>
    <dxf>
      <font>
        <b/>
        <i val="0"/>
        <color rgb="FF006100"/>
      </font>
      <fill>
        <patternFill patternType="solid">
          <bgColor rgb="FFC6EFCE"/>
        </patternFill>
      </fill>
    </dxf>
    <dxf>
      <font>
        <b/>
        <i val="0"/>
        <color rgb="FF9C0006"/>
      </font>
      <fill>
        <patternFill patternType="solid">
          <bgColor rgb="FFFFC7CE"/>
        </patternFill>
      </fill>
    </dxf>
    <dxf>
      <font>
        <b/>
        <i val="0"/>
        <color rgb="FFC26E00"/>
      </font>
      <fill>
        <patternFill patternType="solid">
          <bgColor rgb="FFFFDFC7"/>
        </patternFill>
      </fill>
    </dxf>
    <dxf>
      <font>
        <b/>
        <i val="0"/>
        <color rgb="FF9C0006"/>
      </font>
      <fill>
        <patternFill patternType="solid">
          <bgColor rgb="FFFFC7CE"/>
        </patternFill>
      </fill>
    </dxf>
    <dxf>
      <font>
        <b/>
        <i val="0"/>
        <color rgb="FF006100"/>
      </font>
      <fill>
        <patternFill patternType="solid">
          <bgColor rgb="FFC6EFCE"/>
        </patternFill>
      </fill>
    </dxf>
    <dxf>
      <font>
        <b/>
        <i val="0"/>
        <color rgb="FF9C5700"/>
      </font>
      <fill>
        <patternFill>
          <bgColor rgb="FFFFEB9C"/>
        </patternFill>
      </fill>
    </dxf>
    <dxf>
      <font>
        <b/>
        <i val="0"/>
        <color rgb="FFC26E00"/>
      </font>
      <fill>
        <patternFill patternType="solid">
          <bgColor rgb="FFFFDFC7"/>
        </patternFill>
      </fill>
    </dxf>
    <dxf>
      <font>
        <b/>
        <i val="0"/>
        <color rgb="FF006100"/>
      </font>
      <fill>
        <patternFill patternType="solid">
          <bgColor rgb="FFC6EFCE"/>
        </patternFill>
      </fill>
    </dxf>
    <dxf>
      <font>
        <b/>
        <i val="0"/>
        <color rgb="FFC26E00"/>
      </font>
      <fill>
        <patternFill patternType="solid">
          <bgColor rgb="FFFFDFC7"/>
        </patternFill>
      </fill>
    </dxf>
    <dxf>
      <font>
        <b/>
        <i val="0"/>
        <color rgb="FF9C0006"/>
      </font>
      <fill>
        <patternFill patternType="solid">
          <bgColor rgb="FFFFC7CE"/>
        </patternFill>
      </fill>
    </dxf>
    <dxf>
      <font>
        <b/>
        <i val="0"/>
        <color rgb="FF9C5700"/>
      </font>
      <fill>
        <patternFill>
          <bgColor rgb="FFFFEB9C"/>
        </patternFill>
      </fill>
    </dxf>
    <dxf>
      <font>
        <b/>
        <i val="0"/>
        <color rgb="FF9C5700"/>
      </font>
      <fill>
        <patternFill>
          <bgColor rgb="FFFFEB9C"/>
        </patternFill>
      </fill>
    </dxf>
    <dxf>
      <font>
        <b/>
        <i val="0"/>
        <color rgb="FF006100"/>
      </font>
      <fill>
        <patternFill patternType="solid">
          <bgColor rgb="FFC6EFCE"/>
        </patternFill>
      </fill>
    </dxf>
    <dxf>
      <font>
        <b/>
        <i val="0"/>
        <color rgb="FF9C0006"/>
      </font>
      <fill>
        <patternFill patternType="solid">
          <bgColor rgb="FFFFC7CE"/>
        </patternFill>
      </fill>
    </dxf>
    <dxf>
      <font>
        <b/>
        <i val="0"/>
        <color rgb="FFC26E00"/>
      </font>
      <fill>
        <patternFill patternType="solid">
          <bgColor rgb="FFFFDFC7"/>
        </patternFill>
      </fill>
    </dxf>
    <dxf>
      <font>
        <b/>
        <i val="0"/>
        <color rgb="FF006100"/>
      </font>
      <fill>
        <patternFill patternType="solid">
          <bgColor rgb="FFC6EFCE"/>
        </patternFill>
      </fill>
    </dxf>
    <dxf>
      <font>
        <b/>
        <i val="0"/>
        <color rgb="FF9C0006"/>
      </font>
      <fill>
        <patternFill patternType="solid">
          <bgColor rgb="FFFFC7CE"/>
        </patternFill>
      </fill>
    </dxf>
    <dxf>
      <font>
        <b/>
        <i val="0"/>
        <color rgb="FFC26E00"/>
      </font>
      <fill>
        <patternFill patternType="solid">
          <bgColor rgb="FFFFDFC7"/>
        </patternFill>
      </fill>
    </dxf>
    <dxf>
      <font>
        <b/>
        <i val="0"/>
        <color rgb="FF9C5700"/>
      </font>
      <fill>
        <patternFill>
          <bgColor rgb="FFFFEB9C"/>
        </patternFill>
      </fill>
    </dxf>
    <dxf>
      <font>
        <b/>
        <i val="0"/>
        <color rgb="FFC26E00"/>
      </font>
      <fill>
        <patternFill patternType="solid">
          <bgColor rgb="FFFFDFC7"/>
        </patternFill>
      </fill>
    </dxf>
    <dxf>
      <font>
        <b/>
        <i val="0"/>
        <color rgb="FF9C5700"/>
      </font>
      <fill>
        <patternFill>
          <bgColor rgb="FFFFEB9C"/>
        </patternFill>
      </fill>
    </dxf>
    <dxf>
      <font>
        <b/>
        <i val="0"/>
        <color rgb="FF9C0006"/>
      </font>
      <fill>
        <patternFill patternType="solid">
          <bgColor rgb="FFFFC7CE"/>
        </patternFill>
      </fill>
    </dxf>
    <dxf>
      <font>
        <b/>
        <i val="0"/>
        <color rgb="FF006100"/>
      </font>
      <fill>
        <patternFill patternType="solid">
          <bgColor rgb="FFC6EFCE"/>
        </patternFill>
      </fill>
    </dxf>
    <dxf>
      <font>
        <b/>
        <i val="0"/>
        <color rgb="FFC26E00"/>
      </font>
      <fill>
        <patternFill patternType="solid">
          <bgColor rgb="FFFFDFC7"/>
        </patternFill>
      </fill>
    </dxf>
    <dxf>
      <font>
        <b/>
        <i val="0"/>
        <color rgb="FF9C0006"/>
      </font>
      <fill>
        <patternFill patternType="solid">
          <bgColor rgb="FFFFC7CE"/>
        </patternFill>
      </fill>
    </dxf>
    <dxf>
      <font>
        <b/>
        <i val="0"/>
        <color rgb="FF006100"/>
      </font>
      <fill>
        <patternFill patternType="solid">
          <bgColor rgb="FFC6EFCE"/>
        </patternFill>
      </fill>
    </dxf>
    <dxf>
      <font>
        <b/>
        <i val="0"/>
        <color rgb="FF9C5700"/>
      </font>
      <fill>
        <patternFill>
          <bgColor rgb="FFFFEB9C"/>
        </patternFill>
      </fill>
    </dxf>
    <dxf>
      <font>
        <b/>
        <i val="0"/>
        <color rgb="FF818C00"/>
      </font>
      <fill>
        <patternFill patternType="solid">
          <bgColor rgb="FFF6FFC7"/>
        </patternFill>
      </fill>
    </dxf>
    <dxf>
      <font>
        <b/>
        <i val="0"/>
        <color rgb="FF006100"/>
      </font>
      <fill>
        <patternFill patternType="solid">
          <bgColor rgb="FFC6EFCE"/>
        </patternFill>
      </fill>
    </dxf>
    <dxf>
      <font>
        <b/>
        <i val="0"/>
        <color rgb="FF006100"/>
      </font>
      <fill>
        <patternFill patternType="solid">
          <bgColor rgb="FFC6EFCE"/>
        </patternFill>
      </fill>
    </dxf>
    <dxf>
      <font>
        <b/>
        <i val="0"/>
        <color rgb="FF9C0006"/>
      </font>
      <fill>
        <patternFill patternType="solid">
          <bgColor rgb="FFFFC7CE"/>
        </patternFill>
      </fill>
    </dxf>
    <dxf>
      <font>
        <b/>
        <i val="0"/>
        <color rgb="FFC26E00"/>
      </font>
      <fill>
        <patternFill patternType="solid">
          <bgColor rgb="FFFFDFC7"/>
        </patternFill>
      </fill>
    </dxf>
    <dxf>
      <font>
        <b/>
        <i val="0"/>
        <color rgb="FF9C5700"/>
      </font>
      <fill>
        <patternFill>
          <bgColor rgb="FFFFEB9C"/>
        </patternFill>
      </fill>
    </dxf>
    <dxf>
      <font>
        <b/>
        <i val="0"/>
        <color rgb="FFC26E00"/>
      </font>
      <fill>
        <patternFill patternType="solid">
          <bgColor rgb="FFFFDFC7"/>
        </patternFill>
      </fill>
    </dxf>
    <dxf>
      <font>
        <b/>
        <i val="0"/>
        <color rgb="FF9C0006"/>
      </font>
      <fill>
        <patternFill patternType="solid">
          <bgColor rgb="FFFFC7CE"/>
        </patternFill>
      </fill>
    </dxf>
    <dxf>
      <font>
        <b/>
        <i val="0"/>
        <color rgb="FF006100"/>
      </font>
      <fill>
        <patternFill patternType="solid">
          <bgColor rgb="FFC6EFCE"/>
        </patternFill>
      </fill>
    </dxf>
    <dxf>
      <font>
        <b/>
        <i val="0"/>
        <color rgb="FF9C5700"/>
      </font>
      <fill>
        <patternFill>
          <bgColor rgb="FFFFEB9C"/>
        </patternFill>
      </fill>
    </dxf>
    <dxf>
      <font>
        <b/>
        <i val="0"/>
        <color rgb="FF006100"/>
      </font>
      <fill>
        <patternFill patternType="solid">
          <bgColor rgb="FFC6EFCE"/>
        </patternFill>
      </fill>
    </dxf>
    <dxf>
      <font>
        <b/>
        <i val="0"/>
        <color rgb="FF818C00"/>
      </font>
      <fill>
        <patternFill patternType="solid">
          <bgColor rgb="FFF6FFC7"/>
        </patternFill>
      </fill>
    </dxf>
    <dxf>
      <font>
        <b/>
        <i val="0"/>
        <color rgb="FF006100"/>
      </font>
      <fill>
        <patternFill patternType="solid">
          <bgColor rgb="FFC6EFCE"/>
        </patternFill>
      </fill>
    </dxf>
    <dxf>
      <font>
        <b/>
        <i val="0"/>
        <color rgb="FF818C00"/>
      </font>
      <fill>
        <patternFill patternType="solid">
          <bgColor rgb="FFF6FFC7"/>
        </patternFill>
      </fill>
    </dxf>
    <dxf>
      <font>
        <b/>
        <i val="0"/>
        <color rgb="FF818C00"/>
      </font>
      <fill>
        <patternFill patternType="solid">
          <bgColor rgb="FFF6FFC7"/>
        </patternFill>
      </fill>
    </dxf>
    <dxf>
      <font>
        <b/>
        <i val="0"/>
        <color rgb="FF006100"/>
      </font>
      <fill>
        <patternFill patternType="solid">
          <bgColor rgb="FFC6EFCE"/>
        </patternFill>
      </fill>
    </dxf>
    <dxf>
      <font>
        <b/>
        <i val="0"/>
        <color rgb="FF818C00"/>
      </font>
      <fill>
        <patternFill patternType="solid">
          <bgColor rgb="FFF6FFC7"/>
        </patternFill>
      </fill>
    </dxf>
    <dxf>
      <font>
        <b/>
        <i val="0"/>
        <color rgb="FF006100"/>
      </font>
      <fill>
        <patternFill patternType="solid">
          <bgColor rgb="FFC6EFCE"/>
        </patternFill>
      </fill>
    </dxf>
    <dxf>
      <font>
        <b/>
        <i val="0"/>
        <color rgb="FF818C00"/>
      </font>
      <fill>
        <patternFill patternType="solid">
          <bgColor rgb="FFF6FFC7"/>
        </patternFill>
      </fill>
    </dxf>
    <dxf>
      <font>
        <b/>
        <i val="0"/>
        <color rgb="FF006100"/>
      </font>
      <fill>
        <patternFill patternType="solid">
          <bgColor rgb="FFC6EFCE"/>
        </patternFill>
      </fill>
    </dxf>
    <dxf>
      <font>
        <b/>
        <i val="0"/>
        <color rgb="FF818C00"/>
      </font>
      <fill>
        <patternFill patternType="solid">
          <bgColor rgb="FFF6FFC7"/>
        </patternFill>
      </fill>
    </dxf>
    <dxf>
      <font>
        <b/>
        <i val="0"/>
        <color rgb="FF006100"/>
      </font>
      <fill>
        <patternFill patternType="solid">
          <bgColor rgb="FFC6EFCE"/>
        </patternFill>
      </fill>
    </dxf>
    <dxf>
      <font>
        <b/>
        <i val="0"/>
        <color rgb="FF006100"/>
      </font>
      <fill>
        <patternFill patternType="solid">
          <bgColor rgb="FFC6EFCE"/>
        </patternFill>
      </fill>
    </dxf>
    <dxf>
      <font>
        <b/>
        <i val="0"/>
        <color rgb="FF818C00"/>
      </font>
      <fill>
        <patternFill patternType="solid">
          <bgColor rgb="FFF6FFC7"/>
        </patternFill>
      </fill>
    </dxf>
    <dxf>
      <font>
        <b/>
        <i val="0"/>
        <color rgb="FF006100"/>
      </font>
      <fill>
        <patternFill patternType="solid">
          <bgColor rgb="FFC6EFCE"/>
        </patternFill>
      </fill>
    </dxf>
    <dxf>
      <font>
        <b/>
        <i val="0"/>
        <color rgb="FF818C00"/>
      </font>
      <fill>
        <patternFill patternType="solid">
          <bgColor rgb="FFF6FFC7"/>
        </patternFill>
      </fill>
    </dxf>
    <dxf>
      <font>
        <b/>
        <i val="0"/>
        <color rgb="FF006100"/>
      </font>
      <fill>
        <patternFill patternType="solid">
          <bgColor rgb="FFC6EFCE"/>
        </patternFill>
      </fill>
    </dxf>
    <dxf>
      <font>
        <b/>
        <i val="0"/>
        <color rgb="FF818C00"/>
      </font>
      <fill>
        <patternFill patternType="solid">
          <bgColor rgb="FFF6FFC7"/>
        </patternFill>
      </fill>
    </dxf>
    <dxf>
      <font>
        <b/>
        <i val="0"/>
        <color rgb="FF818C00"/>
      </font>
      <fill>
        <patternFill patternType="solid">
          <bgColor rgb="FFF6FFC7"/>
        </patternFill>
      </fill>
    </dxf>
    <dxf>
      <font>
        <b/>
        <i val="0"/>
        <color rgb="FF818C00"/>
      </font>
      <fill>
        <patternFill patternType="solid">
          <bgColor rgb="FFF6FFC7"/>
        </patternFill>
      </fill>
    </dxf>
    <dxf>
      <font>
        <b/>
        <i val="0"/>
        <color rgb="FF818C00"/>
      </font>
      <fill>
        <patternFill patternType="solid">
          <bgColor rgb="FFF6FFC7"/>
        </patternFill>
      </fill>
    </dxf>
    <dxf>
      <font>
        <b/>
        <i val="0"/>
        <color rgb="FF818C00"/>
      </font>
      <fill>
        <patternFill patternType="solid">
          <bgColor rgb="FFF6FFC7"/>
        </patternFill>
      </fill>
    </dxf>
    <dxf>
      <font>
        <b/>
        <i val="0"/>
        <color rgb="FF818C00"/>
      </font>
      <fill>
        <patternFill patternType="solid">
          <bgColor rgb="FFF6FFC7"/>
        </patternFill>
      </fill>
    </dxf>
    <dxf>
      <font>
        <b/>
        <i val="0"/>
        <color rgb="FF818C00"/>
      </font>
      <fill>
        <patternFill patternType="solid">
          <bgColor rgb="FFF6FFC7"/>
        </patternFill>
      </fill>
    </dxf>
    <dxf>
      <font>
        <b/>
        <i val="0"/>
        <color rgb="FF818C00"/>
      </font>
      <fill>
        <patternFill patternType="solid">
          <bgColor rgb="FFF6FFC7"/>
        </patternFill>
      </fill>
    </dxf>
    <dxf>
      <font>
        <b/>
        <i val="0"/>
        <color rgb="FF818C00"/>
      </font>
      <fill>
        <patternFill patternType="solid">
          <bgColor rgb="FFF6FFC7"/>
        </patternFill>
      </fill>
    </dxf>
    <dxf>
      <font>
        <b/>
        <i val="0"/>
        <color rgb="FF818C00"/>
      </font>
      <fill>
        <patternFill patternType="solid">
          <bgColor rgb="FFF6FFC7"/>
        </patternFill>
      </fill>
    </dxf>
    <dxf>
      <font>
        <b/>
        <i val="0"/>
        <color rgb="FF818C00"/>
      </font>
      <fill>
        <patternFill patternType="solid">
          <bgColor rgb="FFF6FFC7"/>
        </patternFill>
      </fill>
    </dxf>
    <dxf>
      <font>
        <b/>
        <i val="0"/>
        <color rgb="FF818C00"/>
      </font>
      <fill>
        <patternFill patternType="solid">
          <bgColor rgb="FFF6FFC7"/>
        </patternFill>
      </fill>
    </dxf>
    <dxf>
      <font>
        <b/>
        <i val="0"/>
        <color rgb="FF818C00"/>
      </font>
      <fill>
        <patternFill patternType="solid">
          <bgColor rgb="FFF6FFC7"/>
        </patternFill>
      </fill>
    </dxf>
    <dxf>
      <font>
        <b/>
        <i val="0"/>
        <color rgb="FF818C00"/>
      </font>
      <fill>
        <patternFill patternType="solid">
          <bgColor rgb="FFF6FFC7"/>
        </patternFill>
      </fill>
    </dxf>
    <dxf>
      <font>
        <b/>
        <i val="0"/>
        <color rgb="FF818C00"/>
      </font>
      <fill>
        <patternFill patternType="solid">
          <bgColor rgb="FFF6FFC7"/>
        </patternFill>
      </fill>
    </dxf>
    <dxf>
      <font>
        <b/>
        <i val="0"/>
        <color rgb="FF818C00"/>
      </font>
      <fill>
        <patternFill patternType="solid">
          <bgColor rgb="FFF6FFC7"/>
        </patternFill>
      </fill>
    </dxf>
    <dxf>
      <font>
        <b/>
        <i val="0"/>
        <color rgb="FF818C00"/>
      </font>
      <fill>
        <patternFill patternType="solid">
          <bgColor rgb="FFF6FFC7"/>
        </patternFill>
      </fill>
    </dxf>
    <dxf>
      <font>
        <b/>
        <i val="0"/>
        <color rgb="FF818C00"/>
      </font>
      <fill>
        <patternFill patternType="solid">
          <bgColor rgb="FFF6FFC7"/>
        </patternFill>
      </fill>
    </dxf>
    <dxf>
      <font>
        <color rgb="FF006100"/>
      </font>
      <fill>
        <patternFill>
          <bgColor rgb="FFC6EFCE"/>
        </patternFill>
      </fill>
    </dxf>
    <dxf>
      <font>
        <b/>
        <i val="0"/>
        <color rgb="FF9C5700"/>
      </font>
      <fill>
        <patternFill patternType="solid">
          <bgColor rgb="FFFFEB9C"/>
        </patternFill>
      </fill>
    </dxf>
    <dxf>
      <font>
        <color rgb="FF9C0006"/>
      </font>
      <fill>
        <patternFill>
          <bgColor rgb="FFFFC7CE"/>
        </patternFill>
      </fill>
    </dxf>
    <dxf>
      <font>
        <color rgb="FF006100"/>
      </font>
      <fill>
        <patternFill>
          <bgColor rgb="FFC6EFCE"/>
        </patternFill>
      </fill>
    </dxf>
    <dxf>
      <font>
        <b/>
        <i val="0"/>
        <color rgb="FF9C5700"/>
      </font>
      <fill>
        <patternFill patternType="solid">
          <bgColor rgb="FFFFEB9C"/>
        </patternFill>
      </fill>
    </dxf>
    <dxf>
      <font>
        <color rgb="FF9C0006"/>
      </font>
      <fill>
        <patternFill>
          <bgColor rgb="FFFFC7CE"/>
        </patternFill>
      </fill>
    </dxf>
    <dxf>
      <font>
        <b/>
        <i val="0"/>
        <color rgb="FF9C5700"/>
      </font>
      <fill>
        <patternFill patternType="solid">
          <bgColor rgb="FFFFEB9C"/>
        </patternFill>
      </fill>
    </dxf>
    <dxf>
      <font>
        <color rgb="FF006100"/>
      </font>
      <fill>
        <patternFill>
          <bgColor rgb="FFC6EFCE"/>
        </patternFill>
      </fill>
    </dxf>
    <dxf>
      <font>
        <color rgb="FF9C0006"/>
      </font>
      <fill>
        <patternFill>
          <bgColor rgb="FFFFC7CE"/>
        </patternFill>
      </fill>
    </dxf>
    <dxf>
      <font>
        <b/>
        <i val="0"/>
        <color rgb="FF006100"/>
      </font>
      <fill>
        <patternFill patternType="solid">
          <bgColor rgb="FFC6EFCE"/>
        </patternFill>
      </fill>
    </dxf>
    <dxf>
      <font>
        <b/>
        <i val="0"/>
        <color rgb="FF818C00"/>
      </font>
      <fill>
        <patternFill patternType="solid">
          <bgColor rgb="FFF6FFC7"/>
        </patternFill>
      </fill>
    </dxf>
    <dxf>
      <font>
        <color rgb="FF9C0006"/>
      </font>
      <fill>
        <patternFill>
          <bgColor rgb="FFFFC7CE"/>
        </patternFill>
      </fill>
    </dxf>
    <dxf>
      <font>
        <b/>
        <i val="0"/>
        <color rgb="FF9C5700"/>
      </font>
      <fill>
        <patternFill patternType="solid">
          <bgColor rgb="FFFFEB9C"/>
        </patternFill>
      </fill>
    </dxf>
    <dxf>
      <font>
        <color rgb="FF006100"/>
      </font>
      <fill>
        <patternFill>
          <bgColor rgb="FFC6EFCE"/>
        </patternFill>
      </fill>
    </dxf>
    <dxf>
      <font>
        <b/>
        <i val="0"/>
        <color rgb="FF006100"/>
      </font>
      <fill>
        <patternFill patternType="solid">
          <bgColor rgb="FFC6EFCE"/>
        </patternFill>
      </fill>
    </dxf>
    <dxf>
      <font>
        <b/>
        <i val="0"/>
        <color rgb="FF818C00"/>
      </font>
      <fill>
        <patternFill patternType="solid">
          <bgColor rgb="FFF6FFC7"/>
        </patternFill>
      </fill>
    </dxf>
    <dxf>
      <font>
        <b/>
        <i val="0"/>
        <color rgb="FF9C5700"/>
      </font>
      <fill>
        <patternFill>
          <bgColor rgb="FFFFEB9C"/>
        </patternFill>
      </fill>
    </dxf>
    <dxf>
      <font>
        <b/>
        <i val="0"/>
        <color rgb="FF9C0006"/>
      </font>
      <fill>
        <patternFill patternType="solid">
          <bgColor rgb="FFFFC7CE"/>
        </patternFill>
      </fill>
    </dxf>
    <dxf>
      <font>
        <b/>
        <i val="0"/>
        <color rgb="FFC26E00"/>
      </font>
      <fill>
        <patternFill patternType="solid">
          <bgColor rgb="FFFFDFC7"/>
        </patternFill>
      </fill>
    </dxf>
    <dxf>
      <font>
        <b/>
        <i val="0"/>
        <color rgb="FF006100"/>
      </font>
      <fill>
        <patternFill patternType="solid">
          <bgColor rgb="FFC6EFCE"/>
        </patternFill>
      </fill>
    </dxf>
    <dxf>
      <font>
        <color rgb="FF9C0006"/>
      </font>
      <fill>
        <patternFill>
          <bgColor rgb="FFFFC7CE"/>
        </patternFill>
      </fill>
    </dxf>
    <dxf>
      <font>
        <color rgb="FF006100"/>
      </font>
      <fill>
        <patternFill>
          <bgColor rgb="FFC6EFCE"/>
        </patternFill>
      </fill>
    </dxf>
    <dxf>
      <font>
        <b/>
        <i val="0"/>
        <color rgb="FF9C5700"/>
      </font>
      <fill>
        <patternFill patternType="solid">
          <bgColor rgb="FFFFEB9C"/>
        </patternFill>
      </fill>
    </dxf>
    <dxf>
      <font>
        <b/>
        <i val="0"/>
        <color rgb="FF818C00"/>
      </font>
      <fill>
        <patternFill patternType="solid">
          <bgColor rgb="FFF6FFC7"/>
        </patternFill>
      </fill>
    </dxf>
    <dxf>
      <font>
        <b/>
        <i val="0"/>
        <color rgb="FF006100"/>
      </font>
      <fill>
        <patternFill patternType="solid">
          <bgColor rgb="FFC6EFCE"/>
        </patternFill>
      </fill>
    </dxf>
    <dxf>
      <font>
        <color rgb="FF006100"/>
      </font>
      <fill>
        <patternFill>
          <bgColor rgb="FFC6EFCE"/>
        </patternFill>
      </fill>
    </dxf>
    <dxf>
      <font>
        <b/>
        <i val="0"/>
        <color rgb="FF9C5700"/>
      </font>
      <fill>
        <patternFill patternType="solid">
          <bgColor rgb="FFFFEB9C"/>
        </patternFill>
      </fill>
    </dxf>
    <dxf>
      <font>
        <color rgb="FF9C0006"/>
      </font>
      <fill>
        <patternFill>
          <bgColor rgb="FFFFC7CE"/>
        </patternFill>
      </fill>
    </dxf>
    <dxf>
      <font>
        <b/>
        <i val="0"/>
        <color rgb="FF818C00"/>
      </font>
      <fill>
        <patternFill patternType="solid">
          <bgColor rgb="FFF6FFC7"/>
        </patternFill>
      </fill>
    </dxf>
    <dxf>
      <font>
        <b/>
        <i val="0"/>
        <color rgb="FF006100"/>
      </font>
      <fill>
        <patternFill patternType="solid">
          <bgColor rgb="FFC6EFCE"/>
        </patternFill>
      </fill>
    </dxf>
    <dxf>
      <font>
        <color rgb="FF006100"/>
      </font>
      <fill>
        <patternFill>
          <bgColor rgb="FFC6EFCE"/>
        </patternFill>
      </fill>
    </dxf>
    <dxf>
      <font>
        <b/>
        <i val="0"/>
        <color rgb="FF9C5700"/>
      </font>
      <fill>
        <patternFill patternType="solid">
          <bgColor rgb="FFFFEB9C"/>
        </patternFill>
      </fill>
    </dxf>
    <dxf>
      <font>
        <color rgb="FF9C0006"/>
      </font>
      <fill>
        <patternFill>
          <bgColor rgb="FFFFC7CE"/>
        </patternFill>
      </fill>
    </dxf>
    <dxf>
      <font>
        <b/>
        <i val="0"/>
        <color rgb="FF818C00"/>
      </font>
      <fill>
        <patternFill patternType="solid">
          <bgColor rgb="FFF6FFC7"/>
        </patternFill>
      </fill>
    </dxf>
    <dxf>
      <font>
        <b/>
        <i val="0"/>
        <color rgb="FF006100"/>
      </font>
      <fill>
        <patternFill patternType="solid">
          <bgColor rgb="FFC6EFCE"/>
        </patternFill>
      </fill>
    </dxf>
    <dxf>
      <font>
        <b/>
        <i val="0"/>
        <color rgb="FFC26E00"/>
      </font>
      <fill>
        <patternFill patternType="solid">
          <bgColor rgb="FFFFDFC7"/>
        </patternFill>
      </fill>
    </dxf>
    <dxf>
      <font>
        <b/>
        <i val="0"/>
        <color rgb="FF006100"/>
      </font>
      <fill>
        <patternFill patternType="solid">
          <bgColor rgb="FFC6EFCE"/>
        </patternFill>
      </fill>
    </dxf>
    <dxf>
      <font>
        <b/>
        <i val="0"/>
        <color rgb="FF9C5700"/>
      </font>
      <fill>
        <patternFill>
          <bgColor rgb="FFFFEB9C"/>
        </patternFill>
      </fill>
    </dxf>
    <dxf>
      <font>
        <b/>
        <i val="0"/>
        <color rgb="FF9C0006"/>
      </font>
      <fill>
        <patternFill patternType="solid">
          <bgColor rgb="FFFFC7CE"/>
        </patternFill>
      </fill>
    </dxf>
    <dxf>
      <font>
        <b/>
        <i val="0"/>
        <color rgb="FF818C00"/>
      </font>
      <fill>
        <patternFill patternType="solid">
          <bgColor rgb="FFF6FFC7"/>
        </patternFill>
      </fill>
    </dxf>
    <dxf>
      <font>
        <b/>
        <i val="0"/>
        <color rgb="FF006100"/>
      </font>
      <fill>
        <patternFill patternType="solid">
          <bgColor rgb="FFC6EFCE"/>
        </patternFill>
      </fill>
    </dxf>
    <dxf>
      <font>
        <b/>
        <i val="0"/>
        <color rgb="FF818C00"/>
      </font>
      <fill>
        <patternFill patternType="solid">
          <bgColor rgb="FFF6FFC7"/>
        </patternFill>
      </fill>
    </dxf>
    <dxf>
      <font>
        <b/>
        <i val="0"/>
        <color rgb="FF006100"/>
      </font>
      <fill>
        <patternFill patternType="solid">
          <bgColor rgb="FFC6EFCE"/>
        </patternFill>
      </fill>
    </dxf>
    <dxf>
      <font>
        <b/>
        <i val="0"/>
        <color rgb="FF006100"/>
      </font>
      <fill>
        <patternFill patternType="solid">
          <bgColor rgb="FFC6EFCE"/>
        </patternFill>
      </fill>
    </dxf>
    <dxf>
      <font>
        <b/>
        <i val="0"/>
        <color rgb="FF818C00"/>
      </font>
      <fill>
        <patternFill patternType="solid">
          <bgColor rgb="FFF6FFC7"/>
        </patternFill>
      </fill>
    </dxf>
    <dxf>
      <font>
        <b/>
        <i val="0"/>
        <color rgb="FF818C00"/>
      </font>
      <fill>
        <patternFill patternType="solid">
          <bgColor rgb="FFF6FFC7"/>
        </patternFill>
      </fill>
    </dxf>
    <dxf>
      <font>
        <b/>
        <i val="0"/>
        <color rgb="FF006100"/>
      </font>
      <fill>
        <patternFill patternType="solid">
          <bgColor rgb="FFC6EFCE"/>
        </patternFill>
      </fill>
    </dxf>
    <dxf>
      <font>
        <b/>
        <i val="0"/>
        <color rgb="FF9C5700"/>
      </font>
      <fill>
        <patternFill>
          <bgColor rgb="FFFFEB9C"/>
        </patternFill>
      </fill>
    </dxf>
    <dxf>
      <font>
        <b/>
        <i val="0"/>
        <color rgb="FF006100"/>
      </font>
      <fill>
        <patternFill patternType="solid">
          <bgColor rgb="FFC6EFCE"/>
        </patternFill>
      </fill>
    </dxf>
    <dxf>
      <font>
        <b/>
        <i val="0"/>
        <color rgb="FFC26E00"/>
      </font>
      <fill>
        <patternFill patternType="solid">
          <bgColor rgb="FFFFDFC7"/>
        </patternFill>
      </fill>
    </dxf>
    <dxf>
      <font>
        <b/>
        <i val="0"/>
        <color rgb="FFC26E00"/>
      </font>
      <fill>
        <patternFill patternType="solid">
          <bgColor rgb="FFFFDFC7"/>
        </patternFill>
      </fill>
    </dxf>
    <dxf>
      <font>
        <b/>
        <i val="0"/>
        <color rgb="FF9C5700"/>
      </font>
      <fill>
        <patternFill>
          <bgColor rgb="FFFFEB9C"/>
        </patternFill>
      </fill>
    </dxf>
    <dxf>
      <font>
        <b/>
        <i val="0"/>
        <color rgb="FF9C5700"/>
      </font>
      <fill>
        <patternFill>
          <bgColor rgb="FFFFEB9C"/>
        </patternFill>
      </fill>
    </dxf>
    <dxf>
      <font>
        <b/>
        <i val="0"/>
        <color rgb="FFC26E00"/>
      </font>
      <fill>
        <patternFill patternType="solid">
          <bgColor rgb="FFFFDFC7"/>
        </patternFill>
      </fill>
    </dxf>
    <dxf>
      <font>
        <b/>
        <i val="0"/>
        <color rgb="FF006100"/>
      </font>
      <fill>
        <patternFill patternType="solid">
          <bgColor rgb="FFC6EFCE"/>
        </patternFill>
      </fill>
    </dxf>
    <dxf>
      <font>
        <b/>
        <i val="0"/>
        <color rgb="FF9C5700"/>
      </font>
      <fill>
        <patternFill>
          <bgColor rgb="FFFFEB9C"/>
        </patternFill>
      </fill>
    </dxf>
    <dxf>
      <font>
        <b/>
        <i val="0"/>
        <color rgb="FF9C0006"/>
      </font>
      <fill>
        <patternFill patternType="solid">
          <bgColor rgb="FFFFC7CE"/>
        </patternFill>
      </fill>
    </dxf>
    <dxf>
      <font>
        <b/>
        <i val="0"/>
        <color rgb="FFC26E00"/>
      </font>
      <fill>
        <patternFill patternType="solid">
          <bgColor rgb="FFFFDFC7"/>
        </patternFill>
      </fill>
    </dxf>
    <dxf>
      <font>
        <b/>
        <i val="0"/>
        <color rgb="FF006100"/>
      </font>
      <fill>
        <patternFill patternType="solid">
          <bgColor rgb="FFC6EFCE"/>
        </patternFill>
      </fill>
    </dxf>
    <dxf>
      <font>
        <b/>
        <i val="0"/>
        <color rgb="FF9C0006"/>
      </font>
      <fill>
        <patternFill patternType="solid">
          <bgColor rgb="FFFFC7CE"/>
        </patternFill>
      </fill>
    </dxf>
    <dxf>
      <font>
        <b/>
        <i val="0"/>
        <color rgb="FFC26E00"/>
      </font>
      <fill>
        <patternFill patternType="solid">
          <bgColor rgb="FFFFDFC7"/>
        </patternFill>
      </fill>
    </dxf>
    <dxf>
      <font>
        <b/>
        <i val="0"/>
        <color rgb="FF9C5700"/>
      </font>
      <fill>
        <patternFill>
          <bgColor rgb="FFFFEB9C"/>
        </patternFill>
      </fill>
    </dxf>
    <dxf>
      <font>
        <b/>
        <i val="0"/>
        <color rgb="FF9C5700"/>
      </font>
      <fill>
        <patternFill>
          <bgColor rgb="FFFFEB9C"/>
        </patternFill>
      </fill>
    </dxf>
    <dxf>
      <font>
        <b/>
        <i val="0"/>
        <color rgb="FF006100"/>
      </font>
      <fill>
        <patternFill patternType="solid">
          <bgColor rgb="FFC6EFCE"/>
        </patternFill>
      </fill>
    </dxf>
    <dxf>
      <font>
        <b/>
        <i val="0"/>
        <color rgb="FFC26E00"/>
      </font>
      <fill>
        <patternFill patternType="solid">
          <bgColor rgb="FFFFDFC7"/>
        </patternFill>
      </fill>
    </dxf>
    <dxf>
      <font>
        <b/>
        <i val="0"/>
        <color rgb="FF9C0006"/>
      </font>
      <fill>
        <patternFill patternType="solid">
          <bgColor rgb="FFFFC7CE"/>
        </patternFill>
      </fill>
    </dxf>
    <dxf>
      <font>
        <b/>
        <i val="0"/>
        <color rgb="FF006100"/>
      </font>
      <fill>
        <patternFill patternType="solid">
          <bgColor rgb="FFC6EFCE"/>
        </patternFill>
      </fill>
    </dxf>
    <dxf>
      <font>
        <b/>
        <i val="0"/>
        <color rgb="FF9C0006"/>
      </font>
      <fill>
        <patternFill patternType="solid">
          <bgColor rgb="FFFFC7CE"/>
        </patternFill>
      </fill>
    </dxf>
    <dxf>
      <font>
        <b/>
        <i val="0"/>
        <color rgb="FFC26E00"/>
      </font>
      <fill>
        <patternFill patternType="solid">
          <bgColor rgb="FFFFDFC7"/>
        </patternFill>
      </fill>
    </dxf>
    <dxf>
      <font>
        <b/>
        <i val="0"/>
        <color rgb="FF9C5700"/>
      </font>
      <fill>
        <patternFill>
          <bgColor rgb="FFFFEB9C"/>
        </patternFill>
      </fill>
    </dxf>
    <dxf>
      <font>
        <b/>
        <i val="0"/>
        <color rgb="FF9C0006"/>
      </font>
      <fill>
        <patternFill patternType="solid">
          <bgColor rgb="FFFFC7CE"/>
        </patternFill>
      </fill>
    </dxf>
    <dxf>
      <font>
        <b/>
        <i val="0"/>
        <color rgb="FF9C5700"/>
      </font>
      <fill>
        <patternFill>
          <bgColor rgb="FFFFEB9C"/>
        </patternFill>
      </fill>
    </dxf>
    <dxf>
      <font>
        <b/>
        <i val="0"/>
        <color rgb="FFC26E00"/>
      </font>
      <fill>
        <patternFill patternType="solid">
          <bgColor rgb="FFFFDFC7"/>
        </patternFill>
      </fill>
    </dxf>
    <dxf>
      <font>
        <b/>
        <i val="0"/>
        <color rgb="FF006100"/>
      </font>
      <fill>
        <patternFill patternType="solid">
          <bgColor rgb="FFC6EFCE"/>
        </patternFill>
      </fill>
    </dxf>
    <dxf>
      <font>
        <b/>
        <i val="0"/>
        <color rgb="FF006100"/>
      </font>
      <fill>
        <patternFill patternType="solid">
          <bgColor rgb="FFC6EFCE"/>
        </patternFill>
      </fill>
    </dxf>
    <dxf>
      <font>
        <b/>
        <i val="0"/>
        <color rgb="FF818C00"/>
      </font>
      <fill>
        <patternFill patternType="solid">
          <bgColor rgb="FFF6FFC7"/>
        </patternFill>
      </fill>
    </dxf>
    <dxf>
      <font>
        <color rgb="FF9C0006"/>
      </font>
      <fill>
        <patternFill>
          <bgColor rgb="FFFFC7CE"/>
        </patternFill>
      </fill>
    </dxf>
    <dxf>
      <font>
        <b/>
        <i val="0"/>
        <color rgb="FF9C5700"/>
      </font>
      <fill>
        <patternFill patternType="solid">
          <bgColor rgb="FFFFEB9C"/>
        </patternFill>
      </fill>
    </dxf>
    <dxf>
      <font>
        <color rgb="FF006100"/>
      </font>
      <fill>
        <patternFill>
          <bgColor rgb="FFC6EFCE"/>
        </patternFill>
      </fill>
    </dxf>
    <dxf>
      <font>
        <b/>
        <i val="0"/>
        <color rgb="FF9C5700"/>
      </font>
      <fill>
        <patternFill>
          <bgColor rgb="FFFFEB9C"/>
        </patternFill>
      </fill>
    </dxf>
    <dxf>
      <font>
        <b/>
        <i val="0"/>
        <color rgb="FF006100"/>
      </font>
      <fill>
        <patternFill patternType="solid">
          <bgColor rgb="FFC6EFCE"/>
        </patternFill>
      </fill>
    </dxf>
    <dxf>
      <font>
        <b/>
        <i val="0"/>
        <color rgb="FF9C0006"/>
      </font>
      <fill>
        <patternFill patternType="solid">
          <bgColor rgb="FFFFC7CE"/>
        </patternFill>
      </fill>
    </dxf>
    <dxf>
      <font>
        <b/>
        <i val="0"/>
        <color rgb="FFC26E00"/>
      </font>
      <fill>
        <patternFill patternType="solid">
          <bgColor rgb="FFFFDFC7"/>
        </patternFill>
      </fill>
    </dxf>
    <dxf>
      <font>
        <b/>
        <i val="0"/>
        <color rgb="FF006100"/>
      </font>
      <fill>
        <patternFill patternType="solid">
          <bgColor rgb="FFC6EFCE"/>
        </patternFill>
      </fill>
    </dxf>
    <dxf>
      <font>
        <b/>
        <i val="0"/>
        <color rgb="FF818C00"/>
      </font>
      <fill>
        <patternFill patternType="solid">
          <bgColor rgb="FFF6FFC7"/>
        </patternFill>
      </fill>
    </dxf>
    <dxf>
      <font>
        <color rgb="FF9C0006"/>
      </font>
      <fill>
        <patternFill>
          <bgColor rgb="FFFFC7CE"/>
        </patternFill>
      </fill>
    </dxf>
    <dxf>
      <font>
        <b/>
        <i val="0"/>
        <color rgb="FF9C5700"/>
      </font>
      <fill>
        <patternFill patternType="solid">
          <bgColor rgb="FFFFEB9C"/>
        </patternFill>
      </fill>
    </dxf>
    <dxf>
      <font>
        <color rgb="FF006100"/>
      </font>
      <fill>
        <patternFill>
          <bgColor rgb="FFC6EFCE"/>
        </patternFill>
      </fill>
    </dxf>
    <dxf>
      <font>
        <b/>
        <i val="0"/>
        <color rgb="FF9C5700"/>
      </font>
      <fill>
        <patternFill patternType="solid">
          <bgColor rgb="FFFFEB9C"/>
        </patternFill>
      </fill>
    </dxf>
    <dxf>
      <font>
        <color rgb="FF006100"/>
      </font>
      <fill>
        <patternFill>
          <bgColor rgb="FFC6EFCE"/>
        </patternFill>
      </fill>
    </dxf>
    <dxf>
      <font>
        <b/>
        <i val="0"/>
        <color rgb="FF006100"/>
      </font>
      <fill>
        <patternFill patternType="solid">
          <bgColor rgb="FFC6EFCE"/>
        </patternFill>
      </fill>
    </dxf>
    <dxf>
      <font>
        <b/>
        <i val="0"/>
        <color rgb="FF818C00"/>
      </font>
      <fill>
        <patternFill patternType="solid">
          <bgColor rgb="FFF6FFC7"/>
        </patternFill>
      </fill>
    </dxf>
    <dxf>
      <font>
        <color rgb="FF9C0006"/>
      </font>
      <fill>
        <patternFill>
          <bgColor rgb="FFFFC7CE"/>
        </patternFill>
      </fill>
    </dxf>
    <dxf>
      <font>
        <b/>
        <i val="0"/>
        <color rgb="FFC26E00"/>
      </font>
      <fill>
        <patternFill patternType="solid">
          <bgColor rgb="FFFFDFC7"/>
        </patternFill>
      </fill>
    </dxf>
    <dxf>
      <font>
        <b/>
        <i val="0"/>
        <color rgb="FF9C0006"/>
      </font>
      <fill>
        <patternFill patternType="solid">
          <bgColor rgb="FFFFC7CE"/>
        </patternFill>
      </fill>
    </dxf>
    <dxf>
      <font>
        <b/>
        <i val="0"/>
        <color rgb="FF9C5700"/>
      </font>
      <fill>
        <patternFill>
          <bgColor rgb="FFFFEB9C"/>
        </patternFill>
      </fill>
    </dxf>
    <dxf>
      <font>
        <b/>
        <i val="0"/>
        <color rgb="FF006100"/>
      </font>
      <fill>
        <patternFill patternType="solid">
          <bgColor rgb="FFC6EFCE"/>
        </patternFill>
      </fill>
    </dxf>
    <dxf>
      <font>
        <b/>
        <i val="0"/>
        <color rgb="FFC26E00"/>
      </font>
      <fill>
        <patternFill patternType="solid">
          <bgColor rgb="FFFFDFC7"/>
        </patternFill>
      </fill>
    </dxf>
    <dxf>
      <font>
        <b/>
        <i val="0"/>
        <color rgb="FF9C0006"/>
      </font>
      <fill>
        <patternFill patternType="solid">
          <bgColor rgb="FFFFC7CE"/>
        </patternFill>
      </fill>
    </dxf>
    <dxf>
      <font>
        <b/>
        <i val="0"/>
        <color rgb="FF006100"/>
      </font>
      <fill>
        <patternFill patternType="solid">
          <bgColor rgb="FFC6EFCE"/>
        </patternFill>
      </fill>
    </dxf>
    <dxf>
      <font>
        <b/>
        <i val="0"/>
        <color rgb="FF9C5700"/>
      </font>
      <fill>
        <patternFill>
          <bgColor rgb="FFFFEB9C"/>
        </patternFill>
      </fill>
    </dxf>
    <dxf>
      <font>
        <b/>
        <i val="0"/>
        <color rgb="FF818C00"/>
      </font>
      <fill>
        <patternFill patternType="solid">
          <bgColor rgb="FFF6FFC7"/>
        </patternFill>
      </fill>
    </dxf>
    <dxf>
      <font>
        <color rgb="FF006100"/>
      </font>
      <fill>
        <patternFill>
          <bgColor rgb="FFC6EFCE"/>
        </patternFill>
      </fill>
    </dxf>
    <dxf>
      <font>
        <b/>
        <i val="0"/>
        <color rgb="FF818C00"/>
      </font>
      <fill>
        <patternFill patternType="solid">
          <bgColor rgb="FFF6FFC7"/>
        </patternFill>
      </fill>
    </dxf>
    <dxf>
      <font>
        <b/>
        <i val="0"/>
        <color rgb="FF9C0006"/>
      </font>
      <fill>
        <patternFill patternType="solid">
          <bgColor rgb="FFFFC7CE"/>
        </patternFill>
      </fill>
    </dxf>
    <dxf>
      <font>
        <b/>
        <i val="0"/>
        <color rgb="FFC26E00"/>
      </font>
      <fill>
        <patternFill patternType="solid">
          <bgColor rgb="FFFFDFC7"/>
        </patternFill>
      </fill>
    </dxf>
    <dxf>
      <font>
        <b/>
        <i val="0"/>
        <color rgb="FFC26E00"/>
      </font>
      <fill>
        <patternFill patternType="solid">
          <bgColor rgb="FFFFDFC7"/>
        </patternFill>
      </fill>
    </dxf>
    <dxf>
      <font>
        <b/>
        <i val="0"/>
        <color rgb="FF9C0006"/>
      </font>
      <fill>
        <patternFill patternType="solid">
          <bgColor rgb="FFFFC7CE"/>
        </patternFill>
      </fill>
    </dxf>
    <dxf>
      <font>
        <b/>
        <i val="0"/>
        <color rgb="FF006100"/>
      </font>
      <fill>
        <patternFill patternType="solid">
          <bgColor rgb="FFC6EFCE"/>
        </patternFill>
      </fill>
    </dxf>
    <dxf>
      <font>
        <b/>
        <i val="0"/>
        <color rgb="FF9C5700"/>
      </font>
      <fill>
        <patternFill>
          <bgColor rgb="FFFFEB9C"/>
        </patternFill>
      </fill>
    </dxf>
    <dxf>
      <font>
        <b/>
        <i val="0"/>
        <color rgb="FF818C00"/>
      </font>
      <fill>
        <patternFill patternType="solid">
          <bgColor rgb="FFF6FFC7"/>
        </patternFill>
      </fill>
    </dxf>
    <dxf>
      <font>
        <b/>
        <i val="0"/>
        <color rgb="FF006100"/>
      </font>
      <fill>
        <patternFill patternType="solid">
          <bgColor rgb="FFC6EFCE"/>
        </patternFill>
      </fill>
    </dxf>
    <dxf>
      <font>
        <color rgb="FF006100"/>
      </font>
      <fill>
        <patternFill>
          <bgColor rgb="FFC6EFCE"/>
        </patternFill>
      </fill>
    </dxf>
    <dxf>
      <font>
        <b/>
        <i val="0"/>
        <color rgb="FF9C5700"/>
      </font>
      <fill>
        <patternFill patternType="solid">
          <bgColor rgb="FFFFEB9C"/>
        </patternFill>
      </fill>
    </dxf>
    <dxf>
      <font>
        <color rgb="FF9C0006"/>
      </font>
      <fill>
        <patternFill>
          <bgColor rgb="FFFFC7CE"/>
        </patternFill>
      </fill>
    </dxf>
    <dxf>
      <font>
        <b/>
        <i val="0"/>
        <color rgb="FF9C5700"/>
      </font>
      <fill>
        <patternFill>
          <bgColor rgb="FFFFEB9C"/>
        </patternFill>
      </fill>
    </dxf>
    <dxf>
      <font>
        <b/>
        <i val="0"/>
        <color rgb="FF006100"/>
      </font>
      <fill>
        <patternFill patternType="solid">
          <bgColor rgb="FFC6EFCE"/>
        </patternFill>
      </fill>
    </dxf>
    <dxf>
      <font>
        <b/>
        <i val="0"/>
        <color rgb="FFC26E00"/>
      </font>
      <fill>
        <patternFill patternType="solid">
          <bgColor rgb="FFFFDFC7"/>
        </patternFill>
      </fill>
    </dxf>
    <dxf>
      <font>
        <b/>
        <i val="0"/>
        <color rgb="FF9C0006"/>
      </font>
      <fill>
        <patternFill patternType="solid">
          <bgColor rgb="FFFFC7CE"/>
        </patternFill>
      </fill>
    </dxf>
    <dxf>
      <font>
        <b/>
        <i val="0"/>
        <color rgb="FF006100"/>
      </font>
      <fill>
        <patternFill patternType="solid">
          <bgColor rgb="FFC6EFCE"/>
        </patternFill>
      </fill>
    </dxf>
    <dxf>
      <font>
        <b/>
        <i val="0"/>
        <color rgb="FF818C00"/>
      </font>
      <fill>
        <patternFill patternType="solid">
          <bgColor rgb="FFF6FFC7"/>
        </patternFill>
      </fill>
    </dxf>
    <dxf>
      <font>
        <b/>
        <i val="0"/>
        <color rgb="FF818C00"/>
      </font>
      <fill>
        <patternFill patternType="solid">
          <bgColor rgb="FFF6FFC7"/>
        </patternFill>
      </fill>
    </dxf>
    <dxf>
      <font>
        <b/>
        <i val="0"/>
        <color rgb="FF006100"/>
      </font>
      <fill>
        <patternFill patternType="solid">
          <bgColor rgb="FFC6EFCE"/>
        </patternFill>
      </fill>
    </dxf>
    <dxf>
      <font>
        <b/>
        <i val="0"/>
        <color rgb="FF818C00"/>
      </font>
      <fill>
        <patternFill patternType="solid">
          <bgColor rgb="FFF6FFC7"/>
        </patternFill>
      </fill>
    </dxf>
    <dxf>
      <font>
        <b/>
        <i val="0"/>
        <color rgb="FF006100"/>
      </font>
      <fill>
        <patternFill patternType="solid">
          <bgColor rgb="FFC6EFCE"/>
        </patternFill>
      </fill>
    </dxf>
    <dxf>
      <font>
        <b/>
        <i val="0"/>
        <color rgb="FF9C5700"/>
      </font>
      <fill>
        <patternFill>
          <bgColor rgb="FFFFEB9C"/>
        </patternFill>
      </fill>
    </dxf>
    <dxf>
      <font>
        <b/>
        <i val="0"/>
        <color rgb="FF006100"/>
      </font>
      <fill>
        <patternFill patternType="solid">
          <bgColor rgb="FFC6EFCE"/>
        </patternFill>
      </fill>
    </dxf>
    <dxf>
      <font>
        <b/>
        <i val="0"/>
        <color rgb="FF9C0006"/>
      </font>
      <fill>
        <patternFill patternType="solid">
          <bgColor rgb="FFFFC7CE"/>
        </patternFill>
      </fill>
    </dxf>
    <dxf>
      <font>
        <b/>
        <i val="0"/>
        <color rgb="FF006100"/>
      </font>
      <fill>
        <patternFill patternType="solid">
          <bgColor rgb="FFC6EFCE"/>
        </patternFill>
      </fill>
    </dxf>
    <dxf>
      <font>
        <b/>
        <i val="0"/>
        <color rgb="FF818C00"/>
      </font>
      <fill>
        <patternFill patternType="solid">
          <bgColor rgb="FFF6FFC7"/>
        </patternFill>
      </fill>
    </dxf>
    <dxf>
      <font>
        <b/>
        <i val="0"/>
        <color rgb="FF006100"/>
      </font>
      <fill>
        <patternFill patternType="solid">
          <bgColor rgb="FFC6EFCE"/>
        </patternFill>
      </fill>
    </dxf>
    <dxf>
      <font>
        <b/>
        <i val="0"/>
        <color rgb="FF818C00"/>
      </font>
      <fill>
        <patternFill patternType="solid">
          <bgColor rgb="FFF6FFC7"/>
        </patternFill>
      </fill>
    </dxf>
    <dxf>
      <font>
        <b/>
        <i val="0"/>
        <color rgb="FFC26E00"/>
      </font>
      <fill>
        <patternFill patternType="solid">
          <bgColor rgb="FFFFDFC7"/>
        </patternFill>
      </fill>
    </dxf>
    <dxf>
      <font>
        <b/>
        <i val="0"/>
        <color rgb="FF006100"/>
      </font>
      <fill>
        <patternFill patternType="solid">
          <bgColor rgb="FFC6EFCE"/>
        </patternFill>
      </fill>
    </dxf>
    <dxf>
      <font>
        <b/>
        <i val="0"/>
        <color rgb="FF9C5700"/>
      </font>
      <fill>
        <patternFill>
          <bgColor rgb="FFFFEB9C"/>
        </patternFill>
      </fill>
    </dxf>
    <dxf>
      <font>
        <b/>
        <i val="0"/>
        <color rgb="FF9C0006"/>
      </font>
      <fill>
        <patternFill patternType="solid">
          <bgColor rgb="FFFFC7CE"/>
        </patternFill>
      </fill>
    </dxf>
    <dxf>
      <font>
        <b/>
        <i val="0"/>
        <color rgb="FF9C5700"/>
      </font>
      <fill>
        <patternFill>
          <bgColor rgb="FFFFEB9C"/>
        </patternFill>
      </fill>
    </dxf>
    <dxf>
      <font>
        <b/>
        <i val="0"/>
        <color rgb="FF006100"/>
      </font>
      <fill>
        <patternFill patternType="solid">
          <bgColor rgb="FFC6EFCE"/>
        </patternFill>
      </fill>
    </dxf>
    <dxf>
      <font>
        <b/>
        <i val="0"/>
        <color rgb="FF9C0006"/>
      </font>
      <fill>
        <patternFill patternType="solid">
          <bgColor rgb="FFFFC7CE"/>
        </patternFill>
      </fill>
    </dxf>
    <dxf>
      <font>
        <b/>
        <i val="0"/>
        <color rgb="FFC26E00"/>
      </font>
      <fill>
        <patternFill patternType="solid">
          <bgColor rgb="FFFFDFC7"/>
        </patternFill>
      </fill>
    </dxf>
    <dxf>
      <font>
        <b/>
        <i val="0"/>
        <color rgb="FF9C0006"/>
      </font>
      <fill>
        <patternFill patternType="solid">
          <bgColor rgb="FFFFC7CE"/>
        </patternFill>
      </fill>
    </dxf>
    <dxf>
      <font>
        <b/>
        <i val="0"/>
        <color rgb="FF9C5700"/>
      </font>
      <fill>
        <patternFill>
          <bgColor rgb="FFFFEB9C"/>
        </patternFill>
      </fill>
    </dxf>
    <dxf>
      <font>
        <b/>
        <i val="0"/>
        <color rgb="FF006100"/>
      </font>
      <fill>
        <patternFill patternType="solid">
          <bgColor rgb="FFC6EFCE"/>
        </patternFill>
      </fill>
    </dxf>
    <dxf>
      <font>
        <b/>
        <i val="0"/>
        <color rgb="FFC26E00"/>
      </font>
      <fill>
        <patternFill patternType="solid">
          <bgColor rgb="FFFFDFC7"/>
        </patternFill>
      </fill>
    </dxf>
    <dxf>
      <font>
        <b/>
        <i val="0"/>
        <color rgb="FFC26E00"/>
      </font>
      <fill>
        <patternFill patternType="solid">
          <bgColor rgb="FFFFDFC7"/>
        </patternFill>
      </fill>
    </dxf>
    <dxf>
      <font>
        <b/>
        <i val="0"/>
        <color rgb="FF9C5700"/>
      </font>
      <fill>
        <patternFill>
          <bgColor rgb="FFFFEB9C"/>
        </patternFill>
      </fill>
    </dxf>
    <dxf>
      <font>
        <b/>
        <i val="0"/>
        <color rgb="FF9C0006"/>
      </font>
      <fill>
        <patternFill patternType="solid">
          <bgColor rgb="FFFFC7CE"/>
        </patternFill>
      </fill>
    </dxf>
    <dxf>
      <font>
        <b/>
        <i val="0"/>
        <color rgb="FF006100"/>
      </font>
      <fill>
        <patternFill patternType="solid">
          <bgColor rgb="FFC6EFCE"/>
        </patternFill>
      </fill>
    </dxf>
    <dxf>
      <font>
        <b/>
        <i val="0"/>
        <color rgb="FF9C0006"/>
      </font>
      <fill>
        <patternFill patternType="solid">
          <bgColor rgb="FFFFC7CE"/>
        </patternFill>
      </fill>
    </dxf>
    <dxf>
      <font>
        <b/>
        <i val="0"/>
        <color rgb="FFC26E00"/>
      </font>
      <fill>
        <patternFill patternType="solid">
          <bgColor rgb="FFFFDFC7"/>
        </patternFill>
      </fill>
    </dxf>
    <dxf>
      <font>
        <b/>
        <i val="0"/>
        <color rgb="FF9C5700"/>
      </font>
      <fill>
        <patternFill>
          <bgColor rgb="FFFFEB9C"/>
        </patternFill>
      </fill>
    </dxf>
    <dxf>
      <font>
        <b/>
        <i val="0"/>
        <color rgb="FF006100"/>
      </font>
      <fill>
        <patternFill patternType="solid">
          <bgColor rgb="FFC6EFCE"/>
        </patternFill>
      </fill>
    </dxf>
    <dxf>
      <font>
        <b/>
        <i val="0"/>
        <color rgb="FF006100"/>
      </font>
      <fill>
        <patternFill patternType="solid">
          <bgColor rgb="FFC6EFCE"/>
        </patternFill>
      </fill>
    </dxf>
    <dxf>
      <font>
        <b/>
        <i val="0"/>
        <color rgb="FF9C5700"/>
      </font>
      <fill>
        <patternFill>
          <bgColor rgb="FFFFEB9C"/>
        </patternFill>
      </fill>
    </dxf>
    <dxf>
      <font>
        <b/>
        <i val="0"/>
        <color rgb="FFC26E00"/>
      </font>
      <fill>
        <patternFill patternType="solid">
          <bgColor rgb="FFFFDFC7"/>
        </patternFill>
      </fill>
    </dxf>
    <dxf>
      <font>
        <b/>
        <i val="0"/>
        <color rgb="FF9C0006"/>
      </font>
      <fill>
        <patternFill patternType="solid">
          <bgColor rgb="FFFFC7CE"/>
        </patternFill>
      </fill>
    </dxf>
    <dxf>
      <font>
        <b/>
        <i val="0"/>
        <color rgb="FF9C5700"/>
      </font>
      <fill>
        <patternFill>
          <bgColor rgb="FFFFEB9C"/>
        </patternFill>
      </fill>
    </dxf>
    <dxf>
      <font>
        <b/>
        <i val="0"/>
        <color rgb="FF006100"/>
      </font>
      <fill>
        <patternFill patternType="solid">
          <bgColor rgb="FFC6EFCE"/>
        </patternFill>
      </fill>
    </dxf>
    <dxf>
      <font>
        <b/>
        <i val="0"/>
        <color rgb="FF9C0006"/>
      </font>
      <fill>
        <patternFill patternType="solid">
          <bgColor rgb="FFFFC7CE"/>
        </patternFill>
      </fill>
    </dxf>
    <dxf>
      <font>
        <b/>
        <i val="0"/>
        <color rgb="FFC26E00"/>
      </font>
      <fill>
        <patternFill patternType="solid">
          <bgColor rgb="FFFFDFC7"/>
        </patternFill>
      </fill>
    </dxf>
    <dxf>
      <font>
        <b/>
        <i val="0"/>
        <color rgb="FF006100"/>
      </font>
      <fill>
        <patternFill patternType="solid">
          <bgColor rgb="FFC6EFCE"/>
        </patternFill>
      </fill>
    </dxf>
    <dxf>
      <font>
        <b/>
        <i val="0"/>
        <color rgb="FFC26E00"/>
      </font>
      <fill>
        <patternFill patternType="solid">
          <bgColor rgb="FFFFDFC7"/>
        </patternFill>
      </fill>
    </dxf>
    <dxf>
      <font>
        <b/>
        <i val="0"/>
        <color rgb="FF9C5700"/>
      </font>
      <fill>
        <patternFill>
          <bgColor rgb="FFFFEB9C"/>
        </patternFill>
      </fill>
    </dxf>
    <dxf>
      <font>
        <b/>
        <i val="0"/>
        <color rgb="FF9C0006"/>
      </font>
      <fill>
        <patternFill patternType="solid">
          <bgColor rgb="FFFFC7CE"/>
        </patternFill>
      </fill>
    </dxf>
    <dxf>
      <font>
        <b/>
        <i val="0"/>
        <color rgb="FF9C5700"/>
      </font>
      <fill>
        <patternFill>
          <bgColor rgb="FFFFEB9C"/>
        </patternFill>
      </fill>
    </dxf>
    <dxf>
      <font>
        <b/>
        <i val="0"/>
        <color rgb="FF006100"/>
      </font>
      <fill>
        <patternFill patternType="solid">
          <bgColor rgb="FFC6EFCE"/>
        </patternFill>
      </fill>
    </dxf>
    <dxf>
      <font>
        <b/>
        <i val="0"/>
        <color rgb="FF9C0006"/>
      </font>
      <fill>
        <patternFill patternType="solid">
          <bgColor rgb="FFFFC7CE"/>
        </patternFill>
      </fill>
    </dxf>
    <dxf>
      <font>
        <b/>
        <i val="0"/>
        <color rgb="FFC26E00"/>
      </font>
      <fill>
        <patternFill patternType="solid">
          <bgColor rgb="FFFFDFC7"/>
        </patternFill>
      </fill>
    </dxf>
    <dxf>
      <font>
        <b/>
        <i val="0"/>
        <color rgb="FF9C5700"/>
      </font>
      <fill>
        <patternFill>
          <bgColor rgb="FFFFEB9C"/>
        </patternFill>
      </fill>
    </dxf>
    <dxf>
      <font>
        <b/>
        <i val="0"/>
        <color rgb="FF006100"/>
      </font>
      <fill>
        <patternFill patternType="solid">
          <bgColor rgb="FFC6EFCE"/>
        </patternFill>
      </fill>
    </dxf>
    <dxf>
      <font>
        <b/>
        <i val="0"/>
        <color rgb="FFC26E00"/>
      </font>
      <fill>
        <patternFill patternType="solid">
          <bgColor rgb="FFFFDFC7"/>
        </patternFill>
      </fill>
    </dxf>
    <dxf>
      <font>
        <b/>
        <i val="0"/>
        <color rgb="FF9C0006"/>
      </font>
      <fill>
        <patternFill patternType="solid">
          <bgColor rgb="FFFFC7CE"/>
        </patternFill>
      </fill>
    </dxf>
    <dxf>
      <font>
        <b/>
        <i val="0"/>
        <color rgb="FF9C5700"/>
      </font>
      <fill>
        <patternFill>
          <bgColor rgb="FFFFEB9C"/>
        </patternFill>
      </fill>
    </dxf>
    <dxf>
      <font>
        <b/>
        <i val="0"/>
        <color rgb="FF006100"/>
      </font>
      <fill>
        <patternFill patternType="solid">
          <bgColor rgb="FFC6EFCE"/>
        </patternFill>
      </fill>
    </dxf>
    <dxf>
      <font>
        <b/>
        <i val="0"/>
        <color rgb="FF9C0006"/>
      </font>
      <fill>
        <patternFill patternType="solid">
          <bgColor rgb="FFFFC7CE"/>
        </patternFill>
      </fill>
    </dxf>
    <dxf>
      <font>
        <b/>
        <i val="0"/>
        <color rgb="FFC26E00"/>
      </font>
      <fill>
        <patternFill patternType="solid">
          <bgColor rgb="FFFFDFC7"/>
        </patternFill>
      </fill>
    </dxf>
    <dxf>
      <font>
        <b/>
        <i val="0"/>
        <color rgb="FFC26E00"/>
      </font>
      <fill>
        <patternFill patternType="solid">
          <bgColor rgb="FFFFDFC7"/>
        </patternFill>
      </fill>
    </dxf>
    <dxf>
      <font>
        <b/>
        <i val="0"/>
        <color rgb="FF9C0006"/>
      </font>
      <fill>
        <patternFill patternType="solid">
          <bgColor rgb="FFFFC7CE"/>
        </patternFill>
      </fill>
    </dxf>
    <dxf>
      <font>
        <b/>
        <i val="0"/>
        <color rgb="FF006100"/>
      </font>
      <fill>
        <patternFill patternType="solid">
          <bgColor rgb="FFC6EFCE"/>
        </patternFill>
      </fill>
    </dxf>
    <dxf>
      <font>
        <b/>
        <i val="0"/>
        <color rgb="FF9C5700"/>
      </font>
      <fill>
        <patternFill>
          <bgColor rgb="FFFFEB9C"/>
        </patternFill>
      </fill>
    </dxf>
    <dxf>
      <font>
        <b/>
        <i val="0"/>
        <color rgb="FF006100"/>
      </font>
      <fill>
        <patternFill patternType="solid">
          <bgColor rgb="FFC6EFCE"/>
        </patternFill>
      </fill>
    </dxf>
    <dxf>
      <font>
        <b/>
        <i val="0"/>
        <color rgb="FF9C0006"/>
      </font>
      <fill>
        <patternFill patternType="solid">
          <bgColor rgb="FFFFC7CE"/>
        </patternFill>
      </fill>
    </dxf>
    <dxf>
      <font>
        <b/>
        <i val="0"/>
        <color rgb="FFC26E00"/>
      </font>
      <fill>
        <patternFill patternType="solid">
          <bgColor rgb="FFFFDFC7"/>
        </patternFill>
      </fill>
    </dxf>
    <dxf>
      <font>
        <b/>
        <i val="0"/>
        <color rgb="FF9C5700"/>
      </font>
      <fill>
        <patternFill>
          <bgColor rgb="FFFFEB9C"/>
        </patternFill>
      </fill>
    </dxf>
    <dxf>
      <font>
        <b/>
        <i val="0"/>
        <color rgb="FF9C5700"/>
      </font>
      <fill>
        <patternFill>
          <bgColor rgb="FFFFEB9C"/>
        </patternFill>
      </fill>
    </dxf>
    <dxf>
      <font>
        <b/>
        <i val="0"/>
        <color rgb="FF006100"/>
      </font>
      <fill>
        <patternFill patternType="solid">
          <bgColor rgb="FFC6EFCE"/>
        </patternFill>
      </fill>
    </dxf>
    <dxf>
      <font>
        <b/>
        <i val="0"/>
        <color rgb="FF9C0006"/>
      </font>
      <fill>
        <patternFill patternType="solid">
          <bgColor rgb="FFFFC7CE"/>
        </patternFill>
      </fill>
    </dxf>
    <dxf>
      <font>
        <b/>
        <i val="0"/>
        <color rgb="FFC26E00"/>
      </font>
      <fill>
        <patternFill patternType="solid">
          <bgColor rgb="FFFFDFC7"/>
        </patternFill>
      </fill>
    </dxf>
    <dxf>
      <font>
        <b/>
        <i val="0"/>
        <color rgb="FF006100"/>
      </font>
      <fill>
        <patternFill patternType="solid">
          <bgColor rgb="FFC6EFCE"/>
        </patternFill>
      </fill>
    </dxf>
    <dxf>
      <font>
        <b/>
        <i val="0"/>
        <color rgb="FF9C0006"/>
      </font>
      <fill>
        <patternFill patternType="solid">
          <bgColor rgb="FFFFC7CE"/>
        </patternFill>
      </fill>
    </dxf>
    <dxf>
      <font>
        <b/>
        <i val="0"/>
        <color rgb="FFC26E00"/>
      </font>
      <fill>
        <patternFill patternType="solid">
          <bgColor rgb="FFFFDFC7"/>
        </patternFill>
      </fill>
    </dxf>
    <dxf>
      <font>
        <b/>
        <i val="0"/>
        <color rgb="FF9C5700"/>
      </font>
      <fill>
        <patternFill>
          <bgColor rgb="FFFFEB9C"/>
        </patternFill>
      </fill>
    </dxf>
    <dxf>
      <font>
        <b/>
        <i val="0"/>
        <color rgb="FF9C0006"/>
      </font>
      <fill>
        <patternFill patternType="solid">
          <bgColor rgb="FFFFC7CE"/>
        </patternFill>
      </fill>
    </dxf>
    <dxf>
      <font>
        <b/>
        <i val="0"/>
        <color rgb="FF006100"/>
      </font>
      <fill>
        <patternFill patternType="solid">
          <bgColor rgb="FFC6EFCE"/>
        </patternFill>
      </fill>
    </dxf>
    <dxf>
      <font>
        <b/>
        <i val="0"/>
        <color rgb="FF9C5700"/>
      </font>
      <fill>
        <patternFill>
          <bgColor rgb="FFFFEB9C"/>
        </patternFill>
      </fill>
    </dxf>
    <dxf>
      <font>
        <color rgb="FF9C0006"/>
      </font>
      <fill>
        <patternFill>
          <bgColor rgb="FFFFC7CE"/>
        </patternFill>
      </fill>
    </dxf>
    <dxf>
      <font>
        <b/>
        <i val="0"/>
        <color rgb="FF9C5700"/>
      </font>
      <fill>
        <patternFill patternType="solid">
          <bgColor rgb="FFFFEB9C"/>
        </patternFill>
      </fill>
    </dxf>
    <dxf>
      <font>
        <b/>
        <i val="0"/>
        <color rgb="FF006100"/>
      </font>
      <fill>
        <patternFill patternType="solid">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1" Type="http://schemas.openxmlformats.org/officeDocument/2006/relationships/hyperlink" Target="https://doi.org/10.1111/j.1365-2929.2006.02418.x" TargetMode="External"/><Relationship Id="rId170" Type="http://schemas.openxmlformats.org/officeDocument/2006/relationships/hyperlink" Target="https://doi.org/10.1016/j.biocon.2020.108545" TargetMode="External"/><Relationship Id="rId268" Type="http://schemas.openxmlformats.org/officeDocument/2006/relationships/hyperlink" Target="https://doi.org/10.1016/j.ecolind.2008.11.011" TargetMode="External"/><Relationship Id="rId475" Type="http://schemas.openxmlformats.org/officeDocument/2006/relationships/hyperlink" Target="https://doi.org/10.7717/peerj.3940" TargetMode="External"/><Relationship Id="rId682" Type="http://schemas.openxmlformats.org/officeDocument/2006/relationships/hyperlink" Target="https://www.gov.wales/review-best-practice-soil-organic-carbon-monitoring" TargetMode="External"/><Relationship Id="rId128" Type="http://schemas.openxmlformats.org/officeDocument/2006/relationships/hyperlink" Target="https://hub.jncc.gov.uk/assets/121b1d65-866a-47c9-ab71-7088c706770c" TargetMode="External"/><Relationship Id="rId335" Type="http://schemas.openxmlformats.org/officeDocument/2006/relationships/hyperlink" Target="https://doi.org/10.1111/icad.12328" TargetMode="External"/><Relationship Id="rId542" Type="http://schemas.openxmlformats.org/officeDocument/2006/relationships/hyperlink" Target="https://doi.org/10.1016/j.ijproman.2008.04.002" TargetMode="External"/><Relationship Id="rId987" Type="http://schemas.openxmlformats.org/officeDocument/2006/relationships/hyperlink" Target="https://www.mdpi.com/2073-4441/11/5/981" TargetMode="External"/><Relationship Id="rId1172" Type="http://schemas.openxmlformats.org/officeDocument/2006/relationships/hyperlink" Target="https://doi.org/10.1093/aob/mcr102" TargetMode="External"/><Relationship Id="rId402" Type="http://schemas.openxmlformats.org/officeDocument/2006/relationships/hyperlink" Target="https://doi.org/10.1007/s13280-015-0713-1" TargetMode="External"/><Relationship Id="rId847" Type="http://schemas.openxmlformats.org/officeDocument/2006/relationships/hyperlink" Target="https://doi.org/10.1016/j.actao.2020.103667" TargetMode="External"/><Relationship Id="rId1032" Type="http://schemas.openxmlformats.org/officeDocument/2006/relationships/hyperlink" Target="https://doi.org/10.1016/j.jhydrol.2012.06.021" TargetMode="External"/><Relationship Id="rId707" Type="http://schemas.openxmlformats.org/officeDocument/2006/relationships/hyperlink" Target="http://dx.doi.org/10.1658/1100-9233(2007)18%5b413:HRITMO%5d2.0.CO;2" TargetMode="External"/><Relationship Id="rId914" Type="http://schemas.openxmlformats.org/officeDocument/2006/relationships/hyperlink" Target="https://doi.org/10.1007/s10021-025-00972-x" TargetMode="External"/><Relationship Id="rId1337" Type="http://schemas.openxmlformats.org/officeDocument/2006/relationships/hyperlink" Target="https://doi.org/10.1029/2020WR028241" TargetMode="External"/><Relationship Id="rId43" Type="http://schemas.openxmlformats.org/officeDocument/2006/relationships/hyperlink" Target="https://doi.org/10.1111/j.1365-2929.2006.02418.x" TargetMode="External"/><Relationship Id="rId192" Type="http://schemas.openxmlformats.org/officeDocument/2006/relationships/hyperlink" Target="http://dx.doi.org/10.1071/WR15029" TargetMode="External"/><Relationship Id="rId497" Type="http://schemas.openxmlformats.org/officeDocument/2006/relationships/hyperlink" Target="https://doi.org/10.1111/j.1365-2929.2006.02418.x" TargetMode="External"/><Relationship Id="rId357" Type="http://schemas.openxmlformats.org/officeDocument/2006/relationships/hyperlink" Target="https://doi.org/10.7717/peerj.17091" TargetMode="External"/><Relationship Id="rId1194" Type="http://schemas.openxmlformats.org/officeDocument/2006/relationships/hyperlink" Target="https://doi.org/10.3390/f11020241" TargetMode="External"/><Relationship Id="rId217" Type="http://schemas.openxmlformats.org/officeDocument/2006/relationships/hyperlink" Target="https://www.slrconsulting.com/insights/the-pitfalls-of-nest-searches-a-call-for-smarter-bird-management/" TargetMode="External"/><Relationship Id="rId564" Type="http://schemas.openxmlformats.org/officeDocument/2006/relationships/hyperlink" Target="https://doi.org/10.1016/j.marpol.2024.106238" TargetMode="External"/><Relationship Id="rId771" Type="http://schemas.openxmlformats.org/officeDocument/2006/relationships/hyperlink" Target="http://dx.doi.org/10.1658/1100-9233(2007)18%5b413:HRITMO%5d2.0.CO;2" TargetMode="External"/><Relationship Id="rId869" Type="http://schemas.openxmlformats.org/officeDocument/2006/relationships/hyperlink" Target="https://doi.org/10.1371/journal.pone.0007324" TargetMode="External"/><Relationship Id="rId424" Type="http://schemas.openxmlformats.org/officeDocument/2006/relationships/hyperlink" Target="https://doi.org/10.1080/01584197.2020.1726186" TargetMode="External"/><Relationship Id="rId631" Type="http://schemas.openxmlformats.org/officeDocument/2006/relationships/hyperlink" Target="https://doi.org/10.1111/j.1365-2929.2006.02418.x" TargetMode="External"/><Relationship Id="rId729" Type="http://schemas.openxmlformats.org/officeDocument/2006/relationships/hyperlink" Target="https://doi.org/10.3390/f15111847" TargetMode="External"/><Relationship Id="rId1054" Type="http://schemas.openxmlformats.org/officeDocument/2006/relationships/hyperlink" Target="http://dx.doi.org/10.5539/jsd.v16n4p57" TargetMode="External"/><Relationship Id="rId1261" Type="http://schemas.openxmlformats.org/officeDocument/2006/relationships/hyperlink" Target="https://doi.org/10.1111/1365-2656.13945" TargetMode="External"/><Relationship Id="rId1359" Type="http://schemas.openxmlformats.org/officeDocument/2006/relationships/hyperlink" Target="https://doi.org/10.1002/jpln.202200199" TargetMode="External"/><Relationship Id="rId936" Type="http://schemas.openxmlformats.org/officeDocument/2006/relationships/hyperlink" Target="https://doi.org/10.1111/2041-210X.12598" TargetMode="External"/><Relationship Id="rId1121" Type="http://schemas.openxmlformats.org/officeDocument/2006/relationships/hyperlink" Target="http://dx.doi.org/10.1658/1100-9233(2007)18%5b413:HRITMO%5d2.0.CO;2" TargetMode="External"/><Relationship Id="rId1219" Type="http://schemas.openxmlformats.org/officeDocument/2006/relationships/hyperlink" Target="https://apps.worldagroforestry.org/soc/3.2.%20Cost-error%20analysis.html" TargetMode="External"/><Relationship Id="rId65" Type="http://schemas.openxmlformats.org/officeDocument/2006/relationships/hyperlink" Target="https://doi.org/10.1111/j.1365-2929.2006.02418.x" TargetMode="External"/><Relationship Id="rId281" Type="http://schemas.openxmlformats.org/officeDocument/2006/relationships/hyperlink" Target="https://doi.org/10.1111/2041-210X.13101" TargetMode="External"/><Relationship Id="rId141" Type="http://schemas.openxmlformats.org/officeDocument/2006/relationships/hyperlink" Target="https://doi.org/10.3996/082013-JFWM-057" TargetMode="External"/><Relationship Id="rId379" Type="http://schemas.openxmlformats.org/officeDocument/2006/relationships/hyperlink" Target="https://doi.org/10.1093/condor/104.1.59" TargetMode="External"/><Relationship Id="rId586" Type="http://schemas.openxmlformats.org/officeDocument/2006/relationships/hyperlink" Target="https://doi.org/10.1007/s11077-020-09382-3" TargetMode="External"/><Relationship Id="rId793" Type="http://schemas.openxmlformats.org/officeDocument/2006/relationships/hyperlink" Target="http://dx.doi.org/10.1658/1100-9233(2007)18%5b413:HRITMO%5d2.0.CO;2" TargetMode="External"/><Relationship Id="rId7" Type="http://schemas.openxmlformats.org/officeDocument/2006/relationships/hyperlink" Target="https://doi.org/10.1111/j.1365-2929.2006.02418.x" TargetMode="External"/><Relationship Id="rId239" Type="http://schemas.openxmlformats.org/officeDocument/2006/relationships/hyperlink" Target="https://doi.org/10.1111/2041-210X.13113" TargetMode="External"/><Relationship Id="rId446" Type="http://schemas.openxmlformats.org/officeDocument/2006/relationships/hyperlink" Target="https://doi.org/10.1002/2688-8319.12378" TargetMode="External"/><Relationship Id="rId653" Type="http://schemas.openxmlformats.org/officeDocument/2006/relationships/hyperlink" Target="https://doi.org/10.1111/j.1365-2929.2006.02418.x" TargetMode="External"/><Relationship Id="rId1076" Type="http://schemas.openxmlformats.org/officeDocument/2006/relationships/hyperlink" Target="https://doi.org/10.1111/2041-210X.13113" TargetMode="External"/><Relationship Id="rId1283" Type="http://schemas.openxmlformats.org/officeDocument/2006/relationships/hyperlink" Target="https://doi.org/10.1063/5.0178507" TargetMode="External"/><Relationship Id="rId306" Type="http://schemas.openxmlformats.org/officeDocument/2006/relationships/hyperlink" Target="https://doi.org/10.1016/j.ecolind.2021.108305" TargetMode="External"/><Relationship Id="rId860" Type="http://schemas.openxmlformats.org/officeDocument/2006/relationships/hyperlink" Target="https://doi.org/10.7717/peerj.5320" TargetMode="External"/><Relationship Id="rId958" Type="http://schemas.openxmlformats.org/officeDocument/2006/relationships/hyperlink" Target="https://doi.org/10.1016/0167-7012(94)90026-4" TargetMode="External"/><Relationship Id="rId1143" Type="http://schemas.openxmlformats.org/officeDocument/2006/relationships/hyperlink" Target="https://doi.org/10.1016/j.actao.2020.103667" TargetMode="External"/><Relationship Id="rId87" Type="http://schemas.openxmlformats.org/officeDocument/2006/relationships/hyperlink" Target="https://doi.org/10.1111/j.1365-2929.2006.02418.x" TargetMode="External"/><Relationship Id="rId513" Type="http://schemas.openxmlformats.org/officeDocument/2006/relationships/hyperlink" Target="https://doi.org/10.1016/j.socnet.2020.12.010" TargetMode="External"/><Relationship Id="rId720" Type="http://schemas.openxmlformats.org/officeDocument/2006/relationships/hyperlink" Target="https://doi.org/10.1111/2041-210X.13113" TargetMode="External"/><Relationship Id="rId818" Type="http://schemas.openxmlformats.org/officeDocument/2006/relationships/hyperlink" Target="https://doi.org/10.1016/j.agrformet.2019.01.024" TargetMode="External"/><Relationship Id="rId1350" Type="http://schemas.openxmlformats.org/officeDocument/2006/relationships/hyperlink" Target="https://doi.org/10.1111/1365-2664.13913" TargetMode="External"/><Relationship Id="rId1003" Type="http://schemas.openxmlformats.org/officeDocument/2006/relationships/hyperlink" Target="https://doi.org/10.1890/090153" TargetMode="External"/><Relationship Id="rId1210" Type="http://schemas.openxmlformats.org/officeDocument/2006/relationships/hyperlink" Target="https://www.gov.wales/review-best-practice-soil-organic-carbon-monitoring" TargetMode="External"/><Relationship Id="rId1308" Type="http://schemas.openxmlformats.org/officeDocument/2006/relationships/hyperlink" Target="https://doi.org/10.3390/f14091852" TargetMode="External"/><Relationship Id="rId14" Type="http://schemas.openxmlformats.org/officeDocument/2006/relationships/hyperlink" Target="https://doi.org/10.1111/j.1365-2929.2006.02418.x" TargetMode="External"/><Relationship Id="rId163" Type="http://schemas.openxmlformats.org/officeDocument/2006/relationships/hyperlink" Target="https://doi.org/10.1016/j.actao.2020.103667" TargetMode="External"/><Relationship Id="rId370" Type="http://schemas.openxmlformats.org/officeDocument/2006/relationships/hyperlink" Target="https://doi.org/10.1016/j.actao.2020.103667" TargetMode="External"/><Relationship Id="rId230" Type="http://schemas.openxmlformats.org/officeDocument/2006/relationships/hyperlink" Target="https://books.google.co.uk/books?hl=en&amp;lr=&amp;id=Ux_4CwAAQBAJ&amp;oi=fnd&amp;pg=PA227&amp;ots=XeKFWfJBKe&amp;sig=6Z_BCdMrKim9zHuv5-vb4gbG5-0&amp;redir_esc=y" TargetMode="External"/><Relationship Id="rId468" Type="http://schemas.openxmlformats.org/officeDocument/2006/relationships/hyperlink" Target="https://doi.org/10.1002/rse2.209" TargetMode="External"/><Relationship Id="rId675" Type="http://schemas.openxmlformats.org/officeDocument/2006/relationships/hyperlink" Target="https://apps.worldagroforestry.org/soc/3.2.%20Cost-error%20analysis.html" TargetMode="External"/><Relationship Id="rId882" Type="http://schemas.openxmlformats.org/officeDocument/2006/relationships/hyperlink" Target="https://doi.org/10.2326/osj.24.69" TargetMode="External"/><Relationship Id="rId1098" Type="http://schemas.openxmlformats.org/officeDocument/2006/relationships/hyperlink" Target="https://doi.org/10.1016/j.jhydrol.2024.131887" TargetMode="External"/><Relationship Id="rId328" Type="http://schemas.openxmlformats.org/officeDocument/2006/relationships/hyperlink" Target="http://dx.doi.org/10.1658/1100-9233(2007)18%5b413:HRITMO%5d2.0.CO;2" TargetMode="External"/><Relationship Id="rId535" Type="http://schemas.openxmlformats.org/officeDocument/2006/relationships/hyperlink" Target="https://doi.org/10.1016/j.jenvman.2020.111773" TargetMode="External"/><Relationship Id="rId742" Type="http://schemas.openxmlformats.org/officeDocument/2006/relationships/hyperlink" Target="https://doi.org/10.1016/j.actao.2020.103667" TargetMode="External"/><Relationship Id="rId1165" Type="http://schemas.openxmlformats.org/officeDocument/2006/relationships/hyperlink" Target="https://doi.org/10.1016/j.crope.2023.11.001" TargetMode="External"/><Relationship Id="rId1372" Type="http://schemas.openxmlformats.org/officeDocument/2006/relationships/hyperlink" Target="https://doi.org/10.1016/j.agrformet.2003.12.001" TargetMode="External"/><Relationship Id="rId602" Type="http://schemas.openxmlformats.org/officeDocument/2006/relationships/hyperlink" Target="https://www.businesswaste.co.uk/waste-management-audit/" TargetMode="External"/><Relationship Id="rId1025" Type="http://schemas.openxmlformats.org/officeDocument/2006/relationships/hyperlink" Target="https://www.forestresearch.gov.uk/services/plant-tree-soil-and-water-testing/chemical-analysis-laboratory/" TargetMode="External"/><Relationship Id="rId1232" Type="http://schemas.openxmlformats.org/officeDocument/2006/relationships/hyperlink" Target="https://doi.org/10.1002/jpln.202300129" TargetMode="External"/><Relationship Id="rId907" Type="http://schemas.openxmlformats.org/officeDocument/2006/relationships/hyperlink" Target="https://doi.org/10.1016/j.cub.2022.05.032" TargetMode="External"/><Relationship Id="rId36" Type="http://schemas.openxmlformats.org/officeDocument/2006/relationships/hyperlink" Target="https://doi.org/10.1111/j.1365-2929.2006.02418.x" TargetMode="External"/><Relationship Id="rId185" Type="http://schemas.openxmlformats.org/officeDocument/2006/relationships/hyperlink" Target="https://doi.org/10.1371/journal.pone.0121333" TargetMode="External"/><Relationship Id="rId392" Type="http://schemas.openxmlformats.org/officeDocument/2006/relationships/hyperlink" Target="https://doi.org/10.1371/journal.pone.0121333" TargetMode="External"/><Relationship Id="rId697" Type="http://schemas.openxmlformats.org/officeDocument/2006/relationships/hyperlink" Target="https://doi.org/10.1007/s13280-015-0713-1" TargetMode="External"/><Relationship Id="rId252" Type="http://schemas.openxmlformats.org/officeDocument/2006/relationships/hyperlink" Target="https://doi.org/10.1016/j.biocon.2020.108545" TargetMode="External"/><Relationship Id="rId1187" Type="http://schemas.openxmlformats.org/officeDocument/2006/relationships/hyperlink" Target="https://doi.org/10.1111/1365-2656.13945" TargetMode="External"/><Relationship Id="rId112" Type="http://schemas.openxmlformats.org/officeDocument/2006/relationships/hyperlink" Target="https://doi.org/10.1111/jzo.12945" TargetMode="External"/><Relationship Id="rId557" Type="http://schemas.openxmlformats.org/officeDocument/2006/relationships/hyperlink" Target="https://doi.org/10.1016/j.apgeog.2023.102900" TargetMode="External"/><Relationship Id="rId764" Type="http://schemas.openxmlformats.org/officeDocument/2006/relationships/hyperlink" Target="https://doi.org/10.1111/2041-210X.13113" TargetMode="External"/><Relationship Id="rId971" Type="http://schemas.openxmlformats.org/officeDocument/2006/relationships/hyperlink" Target="https://www.mdpi.com/2073-4441/11/5/981" TargetMode="External"/><Relationship Id="rId1394" Type="http://schemas.openxmlformats.org/officeDocument/2006/relationships/hyperlink" Target="https://doi.org/10.1002/lom3.10105" TargetMode="External"/><Relationship Id="rId417" Type="http://schemas.openxmlformats.org/officeDocument/2006/relationships/hyperlink" Target="https://hub.jncc.gov.uk/assets/121b1d65-866a-47c9-ab71-7088c706770c" TargetMode="External"/><Relationship Id="rId624" Type="http://schemas.openxmlformats.org/officeDocument/2006/relationships/hyperlink" Target="https://doi.org/10.1111/j.1365-2929.2006.02418.x" TargetMode="External"/><Relationship Id="rId831" Type="http://schemas.openxmlformats.org/officeDocument/2006/relationships/hyperlink" Target="https://e38surveysolutions.com/pages/drone-lidar-price-guide?srsltid=AfmBOoqP2BBX_uqOpQjfvvK-CF9WcYQ3LEum4a9H5RNpMJq5t444DshY" TargetMode="External"/><Relationship Id="rId1047" Type="http://schemas.openxmlformats.org/officeDocument/2006/relationships/hyperlink" Target="https://doi.org/10.1016/j.rsase.2017.10.005" TargetMode="External"/><Relationship Id="rId1254" Type="http://schemas.openxmlformats.org/officeDocument/2006/relationships/hyperlink" Target="https://doi.org/10.1109/JSTARS.2017.2711482" TargetMode="External"/><Relationship Id="rId929" Type="http://schemas.openxmlformats.org/officeDocument/2006/relationships/hyperlink" Target="https://doi.org/10.1111/1755-0998.13543" TargetMode="External"/><Relationship Id="rId1114" Type="http://schemas.openxmlformats.org/officeDocument/2006/relationships/hyperlink" Target="https://doi.org/10.1111/2041-210X.13113" TargetMode="External"/><Relationship Id="rId1321" Type="http://schemas.openxmlformats.org/officeDocument/2006/relationships/hyperlink" Target="http://dx.doi.org/10.30880/jst.2022.14.02.004" TargetMode="External"/><Relationship Id="rId58" Type="http://schemas.openxmlformats.org/officeDocument/2006/relationships/hyperlink" Target="https://doi.org/10.1111/j.1365-2929.2006.02418.x" TargetMode="External"/><Relationship Id="rId274" Type="http://schemas.openxmlformats.org/officeDocument/2006/relationships/hyperlink" Target="http://dx.doi.org/10.1071/WR15029" TargetMode="External"/><Relationship Id="rId481" Type="http://schemas.openxmlformats.org/officeDocument/2006/relationships/hyperlink" Target="https://www.researchgate.net/publication/236593622_Field_comparison_of_transect_stationary_point_count_and_visual_fast_count_methods_for_visual_assessment_of_fish_assemblages_of_rocky_habitats_in_Madeira" TargetMode="External"/><Relationship Id="rId134" Type="http://schemas.openxmlformats.org/officeDocument/2006/relationships/hyperlink" Target="https://doi.org/10.1080/00063657.2011.586415" TargetMode="External"/><Relationship Id="rId579" Type="http://schemas.openxmlformats.org/officeDocument/2006/relationships/hyperlink" Target="https://doi.org/10.1016/j.marpol.2024.106238" TargetMode="External"/><Relationship Id="rId786" Type="http://schemas.openxmlformats.org/officeDocument/2006/relationships/hyperlink" Target="https://doi.org/10.1111/2041-210X.13113" TargetMode="External"/><Relationship Id="rId993" Type="http://schemas.openxmlformats.org/officeDocument/2006/relationships/hyperlink" Target="https://doi.org/10.3390/s24123926" TargetMode="External"/><Relationship Id="rId341" Type="http://schemas.openxmlformats.org/officeDocument/2006/relationships/hyperlink" Target="https://doi.org/10.1080/00063657.2015.1013523" TargetMode="External"/><Relationship Id="rId439" Type="http://schemas.openxmlformats.org/officeDocument/2006/relationships/hyperlink" Target="https://doi.org/10.1016/j.fishres.2007.01.012" TargetMode="External"/><Relationship Id="rId646" Type="http://schemas.openxmlformats.org/officeDocument/2006/relationships/hyperlink" Target="https://doi.org/10.1111/j.1365-2929.2006.02418.x" TargetMode="External"/><Relationship Id="rId1069" Type="http://schemas.openxmlformats.org/officeDocument/2006/relationships/hyperlink" Target="https://www.hannainstruments.co.uk/agriculture/1791-direct-soil-conductivity-temperature-tester" TargetMode="External"/><Relationship Id="rId1276" Type="http://schemas.openxmlformats.org/officeDocument/2006/relationships/hyperlink" Target="https://www.forestresearch.gov.uk/services/plant-tree-soil-and-water-testing/chemical-analysis-laboratory/" TargetMode="External"/><Relationship Id="rId201" Type="http://schemas.openxmlformats.org/officeDocument/2006/relationships/hyperlink" Target="https://doi.org/10.3390/f15111847" TargetMode="External"/><Relationship Id="rId506" Type="http://schemas.openxmlformats.org/officeDocument/2006/relationships/hyperlink" Target="https://doi.org/10.1111/j.1365-2929.2006.02418.x" TargetMode="External"/><Relationship Id="rId853" Type="http://schemas.openxmlformats.org/officeDocument/2006/relationships/hyperlink" Target="https://doi.org/10.1080/10106049.2024.2390512" TargetMode="External"/><Relationship Id="rId1136" Type="http://schemas.openxmlformats.org/officeDocument/2006/relationships/hyperlink" Target="https://doi.org/10.1111/1365-2656.13945" TargetMode="External"/><Relationship Id="rId713" Type="http://schemas.openxmlformats.org/officeDocument/2006/relationships/hyperlink" Target="https://doi.org/10.3390/f15111847" TargetMode="External"/><Relationship Id="rId920" Type="http://schemas.openxmlformats.org/officeDocument/2006/relationships/hyperlink" Target="https://doi.org/10.1111/1755-0998.13543" TargetMode="External"/><Relationship Id="rId1343" Type="http://schemas.openxmlformats.org/officeDocument/2006/relationships/hyperlink" Target="https://doi.org/10.1111/1365-2664.13913" TargetMode="External"/><Relationship Id="rId1203" Type="http://schemas.openxmlformats.org/officeDocument/2006/relationships/hyperlink" Target="https://apps.worldagroforestry.org/soc/3.2.%20Cost-error%20analysis.html" TargetMode="External"/><Relationship Id="rId296" Type="http://schemas.openxmlformats.org/officeDocument/2006/relationships/hyperlink" Target="https://doi.org/10.1111/icad.12328" TargetMode="External"/><Relationship Id="rId156" Type="http://schemas.openxmlformats.org/officeDocument/2006/relationships/hyperlink" Target="https://doi.org/10.1111/2041-210X.13101" TargetMode="External"/><Relationship Id="rId363" Type="http://schemas.openxmlformats.org/officeDocument/2006/relationships/hyperlink" Target="https://doi.org/10.1111/2041-210X.13101" TargetMode="External"/><Relationship Id="rId570" Type="http://schemas.openxmlformats.org/officeDocument/2006/relationships/hyperlink" Target="https://doi.org/10.1007/s11077-020-09382-3" TargetMode="External"/><Relationship Id="rId223" Type="http://schemas.openxmlformats.org/officeDocument/2006/relationships/hyperlink" Target="https://doi.org/10.1016/j.jembe.2007.06.028" TargetMode="External"/><Relationship Id="rId430" Type="http://schemas.openxmlformats.org/officeDocument/2006/relationships/hyperlink" Target="https://doi.org/10.3996/082013-JFWM-057" TargetMode="External"/><Relationship Id="rId668" Type="http://schemas.openxmlformats.org/officeDocument/2006/relationships/hyperlink" Target="https://www.ons.gov.uk/explore-local-statistics/" TargetMode="External"/><Relationship Id="rId875" Type="http://schemas.openxmlformats.org/officeDocument/2006/relationships/hyperlink" Target="https://doi.org/10.1002/2688-8319.12378" TargetMode="External"/><Relationship Id="rId1060" Type="http://schemas.openxmlformats.org/officeDocument/2006/relationships/hyperlink" Target="https://doi.org/10.3390/su141811538" TargetMode="External"/><Relationship Id="rId1298" Type="http://schemas.openxmlformats.org/officeDocument/2006/relationships/hyperlink" Target="https://doi.org/10.1016/j.apgeog.2023.102900" TargetMode="External"/><Relationship Id="rId528" Type="http://schemas.openxmlformats.org/officeDocument/2006/relationships/hyperlink" Target="https://doi.org/10.3390/f15111847" TargetMode="External"/><Relationship Id="rId735" Type="http://schemas.openxmlformats.org/officeDocument/2006/relationships/hyperlink" Target="http://dx.doi.org/10.1658/1100-9233(2007)18%5b413:HRITMO%5d2.0.CO;2" TargetMode="External"/><Relationship Id="rId942" Type="http://schemas.openxmlformats.org/officeDocument/2006/relationships/hyperlink" Target="https://www.bellflowsystems.co.uk/w/water-quality-sensors/?sortBy=p.price&amp;sortOrder=asc" TargetMode="External"/><Relationship Id="rId1158" Type="http://schemas.openxmlformats.org/officeDocument/2006/relationships/hyperlink" Target="https://doi.org/10.5194/essd-14-823-2022" TargetMode="External"/><Relationship Id="rId1365" Type="http://schemas.openxmlformats.org/officeDocument/2006/relationships/hyperlink" Target="https://doi.org/10.1016/j.atech.2025.100907" TargetMode="External"/><Relationship Id="rId1018" Type="http://schemas.openxmlformats.org/officeDocument/2006/relationships/hyperlink" Target="https://apps.worldagroforestry.org/soc/3.2.%20Cost-error%20analysis.html" TargetMode="External"/><Relationship Id="rId1225" Type="http://schemas.openxmlformats.org/officeDocument/2006/relationships/hyperlink" Target="https://doi.org/10.1016/j.mex.2020.101192" TargetMode="External"/><Relationship Id="rId71" Type="http://schemas.openxmlformats.org/officeDocument/2006/relationships/hyperlink" Target="https://doi.org/10.1111/j.1365-2929.2006.02418.x" TargetMode="External"/><Relationship Id="rId802" Type="http://schemas.openxmlformats.org/officeDocument/2006/relationships/hyperlink" Target="https://doi.org/10.1038/s41597-024-03750-x" TargetMode="External"/><Relationship Id="rId29" Type="http://schemas.openxmlformats.org/officeDocument/2006/relationships/hyperlink" Target="https://doi.org/10.1111/j.1365-2929.2006.02418.x" TargetMode="External"/><Relationship Id="rId178" Type="http://schemas.openxmlformats.org/officeDocument/2006/relationships/hyperlink" Target="https://www.slrconsulting.com/insights/the-pitfalls-of-nest-searches-a-call-for-smarter-bird-management/" TargetMode="External"/><Relationship Id="rId385" Type="http://schemas.openxmlformats.org/officeDocument/2006/relationships/hyperlink" Target="https://www.slrconsulting.com/insights/the-pitfalls-of-nest-searches-a-call-for-smarter-bird-management/" TargetMode="External"/><Relationship Id="rId592" Type="http://schemas.openxmlformats.org/officeDocument/2006/relationships/hyperlink" Target="https://businessofrecycling.wrap.ngo/recycling-guide/food-manufacturing/setting-up-recycling-for-your-food-or-drinks-manufacturing-business/how-to-conduct-a-waste-audit-for-the-food-and-drinks-manufacturing-sector" TargetMode="External"/><Relationship Id="rId245" Type="http://schemas.openxmlformats.org/officeDocument/2006/relationships/hyperlink" Target="https://doi.org/10.1016/j.actao.2020.103667" TargetMode="External"/><Relationship Id="rId452" Type="http://schemas.openxmlformats.org/officeDocument/2006/relationships/hyperlink" Target="https://doi.org/10.1016/j.actao.2020.103667" TargetMode="External"/><Relationship Id="rId897" Type="http://schemas.openxmlformats.org/officeDocument/2006/relationships/hyperlink" Target="https://doi.org/10.1098/rstb.2010.0087" TargetMode="External"/><Relationship Id="rId1082" Type="http://schemas.openxmlformats.org/officeDocument/2006/relationships/hyperlink" Target="https://doi.org/10.3390/rs13112139" TargetMode="External"/><Relationship Id="rId105" Type="http://schemas.openxmlformats.org/officeDocument/2006/relationships/hyperlink" Target="https://doi.org/10.1111/j.1365-2929.2006.02418.x" TargetMode="External"/><Relationship Id="rId312" Type="http://schemas.openxmlformats.org/officeDocument/2006/relationships/hyperlink" Target="https://doi.org/10.3389/fmars.2020.00272" TargetMode="External"/><Relationship Id="rId757" Type="http://schemas.openxmlformats.org/officeDocument/2006/relationships/hyperlink" Target="https://doi.org/10.3390/f15111847" TargetMode="External"/><Relationship Id="rId964" Type="http://schemas.openxmlformats.org/officeDocument/2006/relationships/hyperlink" Target="https://in-situ.com/uk/parameters/chlorophyll-a?srsltid=AfmBOorcgqERU7k5Lvb64X3GkeDs1QGVa-vR0Tq_v8JboQiBVT9muRho" TargetMode="External"/><Relationship Id="rId1387" Type="http://schemas.openxmlformats.org/officeDocument/2006/relationships/hyperlink" Target="https://doi.org/10.1002/jpln.202200199" TargetMode="External"/><Relationship Id="rId93" Type="http://schemas.openxmlformats.org/officeDocument/2006/relationships/hyperlink" Target="https://doi.org/10.1111/j.1365-2929.2006.02418.x" TargetMode="External"/><Relationship Id="rId617" Type="http://schemas.openxmlformats.org/officeDocument/2006/relationships/hyperlink" Target="https://doi.org/10.1111/j.1365-2929.2006.02418.x" TargetMode="External"/><Relationship Id="rId824" Type="http://schemas.openxmlformats.org/officeDocument/2006/relationships/hyperlink" Target="https://doi.org/10.1016/j.crope.2023.11.001" TargetMode="External"/><Relationship Id="rId1247" Type="http://schemas.openxmlformats.org/officeDocument/2006/relationships/hyperlink" Target="https://doi.org/10.3390/rs11232757" TargetMode="External"/><Relationship Id="rId1107" Type="http://schemas.openxmlformats.org/officeDocument/2006/relationships/hyperlink" Target="https://doi.org/10.1016/j.jhydrol.2012.06.021" TargetMode="External"/><Relationship Id="rId1314" Type="http://schemas.openxmlformats.org/officeDocument/2006/relationships/hyperlink" Target="https://doi.org/10.3390/s16081310" TargetMode="External"/><Relationship Id="rId20" Type="http://schemas.openxmlformats.org/officeDocument/2006/relationships/hyperlink" Target="https://doi.org/10.1111/j.1365-2929.2006.02418.x" TargetMode="External"/><Relationship Id="rId267" Type="http://schemas.openxmlformats.org/officeDocument/2006/relationships/hyperlink" Target="https://doi.org/10.1371/journal.pone.0121333" TargetMode="External"/><Relationship Id="rId474" Type="http://schemas.openxmlformats.org/officeDocument/2006/relationships/hyperlink" Target="https://doi.org/10.1016/j.ecolind.2021.108305" TargetMode="External"/><Relationship Id="rId127" Type="http://schemas.openxmlformats.org/officeDocument/2006/relationships/hyperlink" Target="https://doi.org/10.1016/j.ecolind.2021.107551" TargetMode="External"/><Relationship Id="rId681" Type="http://schemas.openxmlformats.org/officeDocument/2006/relationships/hyperlink" Target="https://www.gov.wales/review-best-practice-soil-organic-carbon-monitoring" TargetMode="External"/><Relationship Id="rId779" Type="http://schemas.openxmlformats.org/officeDocument/2006/relationships/hyperlink" Target="https://e38surveysolutions.com/pages/drone-lidar-price-guide?srsltid=AfmBOoqP2BBX_uqOpQjfvvK-CF9WcYQ3LEum4a9H5RNpMJq5t444DshY" TargetMode="External"/><Relationship Id="rId986" Type="http://schemas.openxmlformats.org/officeDocument/2006/relationships/hyperlink" Target="https://www.bellflowsystems.co.uk/en/environmental-monitoring/water-quality-monitoring/multi-parameter-water-quality-sondes/?sortBy=p.price&amp;sortOrder=asc" TargetMode="External"/><Relationship Id="rId334" Type="http://schemas.openxmlformats.org/officeDocument/2006/relationships/hyperlink" Target="https://doi.org/10.1016/j.biocon.2020.108545" TargetMode="External"/><Relationship Id="rId541" Type="http://schemas.openxmlformats.org/officeDocument/2006/relationships/hyperlink" Target="https://doi.org/10.1016/j.jenvman.2020.111773" TargetMode="External"/><Relationship Id="rId639" Type="http://schemas.openxmlformats.org/officeDocument/2006/relationships/hyperlink" Target="https://doi.org/10.1111/j.1365-2929.2006.02418.x" TargetMode="External"/><Relationship Id="rId1171" Type="http://schemas.openxmlformats.org/officeDocument/2006/relationships/hyperlink" Target="https://doi.org/10.1016/j.mex.2020.101192" TargetMode="External"/><Relationship Id="rId1269" Type="http://schemas.openxmlformats.org/officeDocument/2006/relationships/hyperlink" Target="http://dx.doi.org/10.9734/AJEE/2017/36987" TargetMode="External"/><Relationship Id="rId401" Type="http://schemas.openxmlformats.org/officeDocument/2006/relationships/hyperlink" Target="https://doi.org/10.1111/jzo.12945" TargetMode="External"/><Relationship Id="rId846" Type="http://schemas.openxmlformats.org/officeDocument/2006/relationships/hyperlink" Target="https://doi.org/10.3390/f15111847" TargetMode="External"/><Relationship Id="rId1031" Type="http://schemas.openxmlformats.org/officeDocument/2006/relationships/hyperlink" Target="https://doi.org/10.1016/j.jhydrol.2012.06.021" TargetMode="External"/><Relationship Id="rId1129" Type="http://schemas.openxmlformats.org/officeDocument/2006/relationships/hyperlink" Target="https://e38surveysolutions.com/pages/drone-lidar-price-guide?srsltid=AfmBOoqP2BBX_uqOpQjfvvK-CF9WcYQ3LEum4a9H5RNpMJq5t444DshY" TargetMode="External"/><Relationship Id="rId706" Type="http://schemas.openxmlformats.org/officeDocument/2006/relationships/hyperlink" Target="https://doi.org/10.1016/j.actao.2020.103667" TargetMode="External"/><Relationship Id="rId913" Type="http://schemas.openxmlformats.org/officeDocument/2006/relationships/hyperlink" Target="https://doi.org/10.2307/2996454" TargetMode="External"/><Relationship Id="rId1336" Type="http://schemas.openxmlformats.org/officeDocument/2006/relationships/hyperlink" Target="https://doi.org/10.2166/hydro.2020.005" TargetMode="External"/><Relationship Id="rId42" Type="http://schemas.openxmlformats.org/officeDocument/2006/relationships/hyperlink" Target="https://doi.org/10.1111/j.1365-2929.2006.02418.x" TargetMode="External"/><Relationship Id="rId191" Type="http://schemas.openxmlformats.org/officeDocument/2006/relationships/hyperlink" Target="https://books.google.co.uk/books?hl=en&amp;lr=&amp;id=Ux_4CwAAQBAJ&amp;oi=fnd&amp;pg=PA227&amp;ots=XeKFWfJBKe&amp;sig=6Z_BCdMrKim9zHuv5-vb4gbG5-0&amp;redir_esc=y" TargetMode="External"/><Relationship Id="rId289" Type="http://schemas.openxmlformats.org/officeDocument/2006/relationships/hyperlink" Target="http://dx.doi.org/10.1658/1100-9233(2007)18%5b413:HRITMO%5d2.0.CO;2" TargetMode="External"/><Relationship Id="rId496" Type="http://schemas.openxmlformats.org/officeDocument/2006/relationships/hyperlink" Target="https://doi.org/10.1111/j.1365-2929.2006.02418.x" TargetMode="External"/><Relationship Id="rId149" Type="http://schemas.openxmlformats.org/officeDocument/2006/relationships/hyperlink" Target="https://www.researchgate.net/publication/236593622_Field_comparison_of_transect_stationary_point_count_and_visual_fast_count_methods_for_visual_assessment_of_fish_assemblages_of_rocky_habitats_in_Madeira" TargetMode="External"/><Relationship Id="rId356" Type="http://schemas.openxmlformats.org/officeDocument/2006/relationships/hyperlink" Target="http://dx.doi.org/10.1071/WR15029" TargetMode="External"/><Relationship Id="rId563" Type="http://schemas.openxmlformats.org/officeDocument/2006/relationships/hyperlink" Target="https://doi.org/10.1007/s11077-020-09382-3" TargetMode="External"/><Relationship Id="rId770" Type="http://schemas.openxmlformats.org/officeDocument/2006/relationships/hyperlink" Target="https://doi.org/10.1016/j.actao.2020.103667" TargetMode="External"/><Relationship Id="rId1193" Type="http://schemas.openxmlformats.org/officeDocument/2006/relationships/hyperlink" Target="https://doi.org/10.3390/rs13112139" TargetMode="External"/><Relationship Id="rId216" Type="http://schemas.openxmlformats.org/officeDocument/2006/relationships/hyperlink" Target="https://doi.org/10.1080/00063657.2015.1013523" TargetMode="External"/><Relationship Id="rId423" Type="http://schemas.openxmlformats.org/officeDocument/2006/relationships/hyperlink" Target="https://doi.org/10.1080/00063657.2011.586415" TargetMode="External"/><Relationship Id="rId868" Type="http://schemas.openxmlformats.org/officeDocument/2006/relationships/hyperlink" Target="https://doi.org/10.1007/978-3-319-93284-2_7" TargetMode="External"/><Relationship Id="rId1053" Type="http://schemas.openxmlformats.org/officeDocument/2006/relationships/hyperlink" Target="https://doi.org/10.3390/drones9040305" TargetMode="External"/><Relationship Id="rId1260" Type="http://schemas.openxmlformats.org/officeDocument/2006/relationships/hyperlink" Target="https://doi.org/10.5194/essd-14-823-2022" TargetMode="External"/><Relationship Id="rId630" Type="http://schemas.openxmlformats.org/officeDocument/2006/relationships/hyperlink" Target="https://doi.org/10.1111/j.1365-2929.2006.02418.x" TargetMode="External"/><Relationship Id="rId728" Type="http://schemas.openxmlformats.org/officeDocument/2006/relationships/hyperlink" Target="https://doi.org/10.1111/2041-210X.13113" TargetMode="External"/><Relationship Id="rId935" Type="http://schemas.openxmlformats.org/officeDocument/2006/relationships/hyperlink" Target="https://doi.org/10.1111/1755-0998.13543" TargetMode="External"/><Relationship Id="rId1358" Type="http://schemas.openxmlformats.org/officeDocument/2006/relationships/hyperlink" Target="https://doi.org/10.1016/j.agrformet.2012.11.008" TargetMode="External"/><Relationship Id="rId64" Type="http://schemas.openxmlformats.org/officeDocument/2006/relationships/hyperlink" Target="https://doi.org/10.1111/j.1365-2929.2006.02418.x" TargetMode="External"/><Relationship Id="rId1120" Type="http://schemas.openxmlformats.org/officeDocument/2006/relationships/hyperlink" Target="https://doi.org/10.1016/j.actao.2020.103667" TargetMode="External"/><Relationship Id="rId1218" Type="http://schemas.openxmlformats.org/officeDocument/2006/relationships/hyperlink" Target="https://www.gov.wales/review-best-practice-soil-organic-carbon-monitoring" TargetMode="External"/><Relationship Id="rId280" Type="http://schemas.openxmlformats.org/officeDocument/2006/relationships/hyperlink" Target="https://doi.org/10.1080/09524622.2023.2290715" TargetMode="External"/><Relationship Id="rId140" Type="http://schemas.openxmlformats.org/officeDocument/2006/relationships/hyperlink" Target="https://doi.org/10.3996/082013-JFWM-057" TargetMode="External"/><Relationship Id="rId378" Type="http://schemas.openxmlformats.org/officeDocument/2006/relationships/hyperlink" Target="https://doi.org/10.1111/icad.12328" TargetMode="External"/><Relationship Id="rId585" Type="http://schemas.openxmlformats.org/officeDocument/2006/relationships/hyperlink" Target="https://doi.org/10.1016/j.marpol.2024.106238" TargetMode="External"/><Relationship Id="rId792" Type="http://schemas.openxmlformats.org/officeDocument/2006/relationships/hyperlink" Target="https://doi.org/10.1016/j.actao.2020.103667" TargetMode="External"/><Relationship Id="rId6" Type="http://schemas.openxmlformats.org/officeDocument/2006/relationships/hyperlink" Target="https://doi.org/10.1111/j.1365-2929.2006.02418.x" TargetMode="External"/><Relationship Id="rId238" Type="http://schemas.openxmlformats.org/officeDocument/2006/relationships/hyperlink" Target="https://doi.org/10.1111/2041-210X.13101" TargetMode="External"/><Relationship Id="rId445" Type="http://schemas.openxmlformats.org/officeDocument/2006/relationships/hyperlink" Target="https://doi.org/10.1007/s13280-015-0713-1" TargetMode="External"/><Relationship Id="rId652" Type="http://schemas.openxmlformats.org/officeDocument/2006/relationships/hyperlink" Target="https://doi.org/10.1111/j.1365-2929.2006.02418.x" TargetMode="External"/><Relationship Id="rId1075" Type="http://schemas.openxmlformats.org/officeDocument/2006/relationships/hyperlink" Target="http://dx.doi.org/10.1658/1100-9233(2007)18%5b413:HRITMO%5d2.0.CO;2" TargetMode="External"/><Relationship Id="rId1282" Type="http://schemas.openxmlformats.org/officeDocument/2006/relationships/hyperlink" Target="https://www.otthydromet.com/en/p-ott-svr-100-surface-velocity-radar/6315100490" TargetMode="External"/><Relationship Id="rId305" Type="http://schemas.openxmlformats.org/officeDocument/2006/relationships/hyperlink" Target="https://doi.org/10.3996/082013-JFWM-057" TargetMode="External"/><Relationship Id="rId512" Type="http://schemas.openxmlformats.org/officeDocument/2006/relationships/hyperlink" Target="https://doi.org/10.1002/widm.1256" TargetMode="External"/><Relationship Id="rId957" Type="http://schemas.openxmlformats.org/officeDocument/2006/relationships/hyperlink" Target="https://doi.org/10.1016/j.isprsjprs.2020.02.017" TargetMode="External"/><Relationship Id="rId1142" Type="http://schemas.openxmlformats.org/officeDocument/2006/relationships/hyperlink" Target="https://doi.org/10.3390/f15111847" TargetMode="External"/><Relationship Id="rId86" Type="http://schemas.openxmlformats.org/officeDocument/2006/relationships/hyperlink" Target="https://doi.org/10.1111/j.1365-2929.2006.02418.x" TargetMode="External"/><Relationship Id="rId817" Type="http://schemas.openxmlformats.org/officeDocument/2006/relationships/hyperlink" Target="https://doi.org/10.1038/s41597-024-03750-x" TargetMode="External"/><Relationship Id="rId1002" Type="http://schemas.openxmlformats.org/officeDocument/2006/relationships/hyperlink" Target="https://doi.org/10.1111/2041-210X.14062" TargetMode="External"/><Relationship Id="rId1307" Type="http://schemas.openxmlformats.org/officeDocument/2006/relationships/hyperlink" Target="https://doi.org/10.3390/rs17152593" TargetMode="External"/><Relationship Id="rId13" Type="http://schemas.openxmlformats.org/officeDocument/2006/relationships/hyperlink" Target="https://doi.org/10.1111/j.1365-2929.2006.02418.x" TargetMode="External"/><Relationship Id="rId162" Type="http://schemas.openxmlformats.org/officeDocument/2006/relationships/hyperlink" Target="https://doi.org/10.3390/f15111847" TargetMode="External"/><Relationship Id="rId467" Type="http://schemas.openxmlformats.org/officeDocument/2006/relationships/hyperlink" Target="https://doi.org/10.1080/01584197.2020.1726186" TargetMode="External"/><Relationship Id="rId1097" Type="http://schemas.openxmlformats.org/officeDocument/2006/relationships/hyperlink" Target="https://doi.org/10.1111/1752-1688.13053" TargetMode="External"/><Relationship Id="rId674" Type="http://schemas.openxmlformats.org/officeDocument/2006/relationships/hyperlink" Target="https://www.gov.wales/review-best-practice-soil-organic-carbon-monitoring" TargetMode="External"/><Relationship Id="rId881" Type="http://schemas.openxmlformats.org/officeDocument/2006/relationships/hyperlink" Target="https://doi.org/10.1007/978-3-319-93284-2_7" TargetMode="External"/><Relationship Id="rId979" Type="http://schemas.openxmlformats.org/officeDocument/2006/relationships/hyperlink" Target="https://doi.org/10.1007/s11269-023-03484-2" TargetMode="External"/><Relationship Id="rId327" Type="http://schemas.openxmlformats.org/officeDocument/2006/relationships/hyperlink" Target="https://doi.org/10.1016/j.actao.2020.103667" TargetMode="External"/><Relationship Id="rId534" Type="http://schemas.openxmlformats.org/officeDocument/2006/relationships/hyperlink" Target="https://doi.org/10.1016/j.ijproman.2008.04.002" TargetMode="External"/><Relationship Id="rId741" Type="http://schemas.openxmlformats.org/officeDocument/2006/relationships/hyperlink" Target="https://doi.org/10.3390/f15111847" TargetMode="External"/><Relationship Id="rId839" Type="http://schemas.openxmlformats.org/officeDocument/2006/relationships/hyperlink" Target="https://doi.org/10.5194/essd-14-823-2022" TargetMode="External"/><Relationship Id="rId1164" Type="http://schemas.openxmlformats.org/officeDocument/2006/relationships/hyperlink" Target="https://doi.org/10.3390/f11020241" TargetMode="External"/><Relationship Id="rId1371" Type="http://schemas.openxmlformats.org/officeDocument/2006/relationships/hyperlink" Target="https://doi.org/10.1002/jpln.202200199" TargetMode="External"/><Relationship Id="rId601" Type="http://schemas.openxmlformats.org/officeDocument/2006/relationships/hyperlink" Target="https://www.businesswaste.co.uk/waste-management-audit/" TargetMode="External"/><Relationship Id="rId1024" Type="http://schemas.openxmlformats.org/officeDocument/2006/relationships/hyperlink" Target="https://www.forestresearch.gov.uk/services/plant-tree-soil-and-water-testing/chemical-analysis-laboratory/" TargetMode="External"/><Relationship Id="rId1231" Type="http://schemas.openxmlformats.org/officeDocument/2006/relationships/hyperlink" Target="https://doi.org/10.1080/01904167.2021.1884702" TargetMode="External"/><Relationship Id="rId906" Type="http://schemas.openxmlformats.org/officeDocument/2006/relationships/hyperlink" Target="https://doi.org/10.1186/s40317-016-0105-8" TargetMode="External"/><Relationship Id="rId1329" Type="http://schemas.openxmlformats.org/officeDocument/2006/relationships/hyperlink" Target="https://www.fishersci.co.uk/shop/products/mettler-toledo-perfection-ion-selective-epoxy-combination-electrodes-14/p-2894677" TargetMode="External"/><Relationship Id="rId35" Type="http://schemas.openxmlformats.org/officeDocument/2006/relationships/hyperlink" Target="https://doi.org/10.1111/j.1365-2929.2006.02418.x" TargetMode="External"/><Relationship Id="rId184" Type="http://schemas.openxmlformats.org/officeDocument/2006/relationships/hyperlink" Target="https://doi.org/10.1016/j.jembe.2007.06.028" TargetMode="External"/><Relationship Id="rId391" Type="http://schemas.openxmlformats.org/officeDocument/2006/relationships/hyperlink" Target="https://doi.org/10.1016/j.jembe.2007.06.028" TargetMode="External"/><Relationship Id="rId251" Type="http://schemas.openxmlformats.org/officeDocument/2006/relationships/hyperlink" Target="https://hub.jncc.gov.uk/assets/121b1d65-866a-47c9-ab71-7088c706770c" TargetMode="External"/><Relationship Id="rId489" Type="http://schemas.openxmlformats.org/officeDocument/2006/relationships/hyperlink" Target="https://doi.org/10.3996/082013-JFWM-057" TargetMode="External"/><Relationship Id="rId696" Type="http://schemas.openxmlformats.org/officeDocument/2006/relationships/hyperlink" Target="https://doi.org/10.1111/jzo.12945" TargetMode="External"/><Relationship Id="rId349" Type="http://schemas.openxmlformats.org/officeDocument/2006/relationships/hyperlink" Target="https://doi.org/10.1371/journal.pone.0121333" TargetMode="External"/><Relationship Id="rId556" Type="http://schemas.openxmlformats.org/officeDocument/2006/relationships/hyperlink" Target="https://doi.org/10.1016/j.ijproman.2008.04.002" TargetMode="External"/><Relationship Id="rId763" Type="http://schemas.openxmlformats.org/officeDocument/2006/relationships/hyperlink" Target="http://dx.doi.org/10.1658/1100-9233(2007)18%5b413:HRITMO%5d2.0.CO;2" TargetMode="External"/><Relationship Id="rId1186" Type="http://schemas.openxmlformats.org/officeDocument/2006/relationships/hyperlink" Target="https://doi.org/10.1109/JSTARS.2017.2711482" TargetMode="External"/><Relationship Id="rId1393" Type="http://schemas.openxmlformats.org/officeDocument/2006/relationships/hyperlink" Target="https://doi.org/10.1002/lom3.10105" TargetMode="External"/><Relationship Id="rId111" Type="http://schemas.openxmlformats.org/officeDocument/2006/relationships/hyperlink" Target="https://doi.org/10.7717/peerj.17091" TargetMode="External"/><Relationship Id="rId209" Type="http://schemas.openxmlformats.org/officeDocument/2006/relationships/hyperlink" Target="https://doi.org/10.1016/j.biocon.2020.108545" TargetMode="External"/><Relationship Id="rId416" Type="http://schemas.openxmlformats.org/officeDocument/2006/relationships/hyperlink" Target="https://doi.org/10.1016/j.ecolind.2021.107551" TargetMode="External"/><Relationship Id="rId970" Type="http://schemas.openxmlformats.org/officeDocument/2006/relationships/hyperlink" Target="https://www.mdpi.com/2073-4441/11/5/981" TargetMode="External"/><Relationship Id="rId1046" Type="http://schemas.openxmlformats.org/officeDocument/2006/relationships/hyperlink" Target="https://doi.org/10.1016/j.atmosres.2013.02.013" TargetMode="External"/><Relationship Id="rId1253" Type="http://schemas.openxmlformats.org/officeDocument/2006/relationships/hyperlink" Target="https://doi.org/10.1109/JSTARS.2017.2711482" TargetMode="External"/><Relationship Id="rId623" Type="http://schemas.openxmlformats.org/officeDocument/2006/relationships/hyperlink" Target="https://doi.org/10.1111/j.1365-2929.2006.02418.x" TargetMode="External"/><Relationship Id="rId830" Type="http://schemas.openxmlformats.org/officeDocument/2006/relationships/hyperlink" Target="https://doi.org/10.1016/j.crope.2023.11.001" TargetMode="External"/><Relationship Id="rId928" Type="http://schemas.openxmlformats.org/officeDocument/2006/relationships/hyperlink" Target="https://doi.org/10.1111/1755-0998.12934" TargetMode="External"/><Relationship Id="rId57" Type="http://schemas.openxmlformats.org/officeDocument/2006/relationships/hyperlink" Target="https://doi.org/10.1111/j.1365-2929.2006.02418.x" TargetMode="External"/><Relationship Id="rId1113" Type="http://schemas.openxmlformats.org/officeDocument/2006/relationships/hyperlink" Target="https://abtoolsonline.com/products/30m-hand-lead-line-portable-depth-sounder-with-1m-markers-boat-yacht-tender?srsltid=AfmBOorjGYWMzoWI5JRHxbHD0_N8fg2q9bM5g1wtvirVaRkMgellKGce" TargetMode="External"/><Relationship Id="rId1320" Type="http://schemas.openxmlformats.org/officeDocument/2006/relationships/hyperlink" Target="https://doi.org/10.1111/1365-2664.13913" TargetMode="External"/><Relationship Id="rId122" Type="http://schemas.openxmlformats.org/officeDocument/2006/relationships/hyperlink" Target="https://doi.org/10.1111/2041-210X.13113" TargetMode="External"/><Relationship Id="rId774" Type="http://schemas.openxmlformats.org/officeDocument/2006/relationships/hyperlink" Target="https://doi.org/10.3390/rs13112139" TargetMode="External"/><Relationship Id="rId981" Type="http://schemas.openxmlformats.org/officeDocument/2006/relationships/hyperlink" Target="https://doi.org/10.1371/journal.pone.0175042" TargetMode="External"/><Relationship Id="rId1057" Type="http://schemas.openxmlformats.org/officeDocument/2006/relationships/hyperlink" Target="https://doi.org/10.1016/j.atmosres.2013.02.013" TargetMode="External"/><Relationship Id="rId427" Type="http://schemas.openxmlformats.org/officeDocument/2006/relationships/hyperlink" Target="https://doi.org/10.1080/00063657.2015.1013523" TargetMode="External"/><Relationship Id="rId634" Type="http://schemas.openxmlformats.org/officeDocument/2006/relationships/hyperlink" Target="https://doi.org/10.1111/j.1365-2929.2006.02418.x" TargetMode="External"/><Relationship Id="rId841" Type="http://schemas.openxmlformats.org/officeDocument/2006/relationships/hyperlink" Target="https://doi.org/10.1111/2041-210X.13113" TargetMode="External"/><Relationship Id="rId1264" Type="http://schemas.openxmlformats.org/officeDocument/2006/relationships/hyperlink" Target="https://doi.org/10.3390/land10020162" TargetMode="External"/><Relationship Id="rId273" Type="http://schemas.openxmlformats.org/officeDocument/2006/relationships/hyperlink" Target="https://books.google.co.uk/books?hl=en&amp;lr=&amp;id=Ux_4CwAAQBAJ&amp;oi=fnd&amp;pg=PA227&amp;ots=XeKFWfJBKe&amp;sig=6Z_BCdMrKim9zHuv5-vb4gbG5-0&amp;redir_esc=y" TargetMode="External"/><Relationship Id="rId480" Type="http://schemas.openxmlformats.org/officeDocument/2006/relationships/hyperlink" Target="https://doi.org/10.3389/fmars.2020.00272" TargetMode="External"/><Relationship Id="rId701" Type="http://schemas.openxmlformats.org/officeDocument/2006/relationships/hyperlink" Target="https://doi.org/10.3390/f15111847" TargetMode="External"/><Relationship Id="rId939" Type="http://schemas.openxmlformats.org/officeDocument/2006/relationships/hyperlink" Target="https://doi.org/10.1111/2041-210X.12598" TargetMode="External"/><Relationship Id="rId1124" Type="http://schemas.openxmlformats.org/officeDocument/2006/relationships/hyperlink" Target="https://doi.org/10.3390/rs13112139" TargetMode="External"/><Relationship Id="rId1331" Type="http://schemas.openxmlformats.org/officeDocument/2006/relationships/hyperlink" Target="https://doi.org/10.1111/2041-210X.14062" TargetMode="External"/><Relationship Id="rId68" Type="http://schemas.openxmlformats.org/officeDocument/2006/relationships/hyperlink" Target="https://doi.org/10.1111/j.1365-2929.2006.02418.x" TargetMode="External"/><Relationship Id="rId133" Type="http://schemas.openxmlformats.org/officeDocument/2006/relationships/hyperlink" Target="https://doi.org/10.1093/condor/104.1.59" TargetMode="External"/><Relationship Id="rId340" Type="http://schemas.openxmlformats.org/officeDocument/2006/relationships/hyperlink" Target="https://doi.org/10.1111/j.1557-9263.2006.00043.x" TargetMode="External"/><Relationship Id="rId578" Type="http://schemas.openxmlformats.org/officeDocument/2006/relationships/hyperlink" Target="https://doi.org/10.1007/s11077-020-09382-3" TargetMode="External"/><Relationship Id="rId785" Type="http://schemas.openxmlformats.org/officeDocument/2006/relationships/hyperlink" Target="https://doi.org/10.1109/JSTARS.2017.2711482" TargetMode="External"/><Relationship Id="rId992" Type="http://schemas.openxmlformats.org/officeDocument/2006/relationships/hyperlink" Target="https://doi.org/10.3390/w11050981" TargetMode="External"/><Relationship Id="rId200" Type="http://schemas.openxmlformats.org/officeDocument/2006/relationships/hyperlink" Target="https://doi.org/10.1111/2041-210X.13113" TargetMode="External"/><Relationship Id="rId438" Type="http://schemas.openxmlformats.org/officeDocument/2006/relationships/hyperlink" Target="https://www.researchgate.net/publication/236593622_Field_comparison_of_transect_stationary_point_count_and_visual_fast_count_methods_for_visual_assessment_of_fish_assemblages_of_rocky_habitats_in_Madeira" TargetMode="External"/><Relationship Id="rId645" Type="http://schemas.openxmlformats.org/officeDocument/2006/relationships/hyperlink" Target="https://doi.org/10.1111/j.1365-2929.2006.02418.x" TargetMode="External"/><Relationship Id="rId852" Type="http://schemas.openxmlformats.org/officeDocument/2006/relationships/hyperlink" Target="https://doi.org/10.3390/rs13112139" TargetMode="External"/><Relationship Id="rId1068" Type="http://schemas.openxmlformats.org/officeDocument/2006/relationships/hyperlink" Target="https://doi.org/10.3390/s17112540" TargetMode="External"/><Relationship Id="rId1275" Type="http://schemas.openxmlformats.org/officeDocument/2006/relationships/hyperlink" Target="http://dx.doi.org/10.9734/AJEE/2017/36987" TargetMode="External"/><Relationship Id="rId284" Type="http://schemas.openxmlformats.org/officeDocument/2006/relationships/hyperlink" Target="https://doi.org/10.1016/j.actao.2020.103667" TargetMode="External"/><Relationship Id="rId491" Type="http://schemas.openxmlformats.org/officeDocument/2006/relationships/hyperlink" Target="https://doi.org/10.7717/peerj.3940" TargetMode="External"/><Relationship Id="rId505" Type="http://schemas.openxmlformats.org/officeDocument/2006/relationships/hyperlink" Target="https://doi.org/10.1111/j.1365-2929.2006.02418.x" TargetMode="External"/><Relationship Id="rId712" Type="http://schemas.openxmlformats.org/officeDocument/2006/relationships/hyperlink" Target="https://doi.org/10.1111/2041-210X.13113" TargetMode="External"/><Relationship Id="rId1135" Type="http://schemas.openxmlformats.org/officeDocument/2006/relationships/hyperlink" Target="https://doi.org/10.1109/JSTARS.2017.2711482" TargetMode="External"/><Relationship Id="rId1342" Type="http://schemas.openxmlformats.org/officeDocument/2006/relationships/hyperlink" Target="https://doi.org/10.1111/j.1365-2929.2006.02418.x" TargetMode="External"/><Relationship Id="rId79" Type="http://schemas.openxmlformats.org/officeDocument/2006/relationships/hyperlink" Target="https://doi.org/10.1111/j.1365-2929.2006.02418.x" TargetMode="External"/><Relationship Id="rId144" Type="http://schemas.openxmlformats.org/officeDocument/2006/relationships/hyperlink" Target="https://doi.org/10.3389/fmars.2021.636902" TargetMode="External"/><Relationship Id="rId589" Type="http://schemas.openxmlformats.org/officeDocument/2006/relationships/hyperlink" Target="https://doi.org/10.1016/j.marpol.2024.106238" TargetMode="External"/><Relationship Id="rId796" Type="http://schemas.openxmlformats.org/officeDocument/2006/relationships/hyperlink" Target="https://doi.org/10.3390/rs13112139" TargetMode="External"/><Relationship Id="rId1202" Type="http://schemas.openxmlformats.org/officeDocument/2006/relationships/hyperlink" Target="https://www.gov.wales/review-best-practice-soil-organic-carbon-monitoring" TargetMode="External"/><Relationship Id="rId351" Type="http://schemas.openxmlformats.org/officeDocument/2006/relationships/hyperlink" Target="https://doi.org/10.3389/fmars.2020.00272" TargetMode="External"/><Relationship Id="rId449" Type="http://schemas.openxmlformats.org/officeDocument/2006/relationships/hyperlink" Target="https://doi.org/10.1111/2041-210X.13101" TargetMode="External"/><Relationship Id="rId656" Type="http://schemas.openxmlformats.org/officeDocument/2006/relationships/hyperlink" Target="https://www.energy.gov.au/business/energy-management-business/1-understand-your-energy-use/conduct-energy-audit" TargetMode="External"/><Relationship Id="rId863" Type="http://schemas.openxmlformats.org/officeDocument/2006/relationships/hyperlink" Target="https://doi.org/10.1007/978-3-319-93284-2_7" TargetMode="External"/><Relationship Id="rId1079" Type="http://schemas.openxmlformats.org/officeDocument/2006/relationships/hyperlink" Target="http://dx.doi.org/10.1658/1100-9233(2007)18%5b413:HRITMO%5d2.0.CO;2" TargetMode="External"/><Relationship Id="rId1286" Type="http://schemas.openxmlformats.org/officeDocument/2006/relationships/hyperlink" Target="https://reefcasa.com/hydrometer-vs-refractometer-which-is-better-for-a-saltwater-aquarium/?srsltid=AfmBOoqVofV4tGq0cxBukbENZ1s7nCGAJmSJJe-SBzi7zAvFyWMfpYgw" TargetMode="External"/><Relationship Id="rId211" Type="http://schemas.openxmlformats.org/officeDocument/2006/relationships/hyperlink" Target="https://doi.org/10.1093/condor/104.1.59" TargetMode="External"/><Relationship Id="rId295" Type="http://schemas.openxmlformats.org/officeDocument/2006/relationships/hyperlink" Target="https://doi.org/10.1016/j.biocon.2020.108545" TargetMode="External"/><Relationship Id="rId309" Type="http://schemas.openxmlformats.org/officeDocument/2006/relationships/hyperlink" Target="https://doi.org/10.1016/j.jembe.2007.06.028" TargetMode="External"/><Relationship Id="rId516" Type="http://schemas.openxmlformats.org/officeDocument/2006/relationships/hyperlink" Target="https://doi.org/10.1002/widm.1256" TargetMode="External"/><Relationship Id="rId1146" Type="http://schemas.openxmlformats.org/officeDocument/2006/relationships/hyperlink" Target="https://doi.org/10.3390/f15111847" TargetMode="External"/><Relationship Id="rId723" Type="http://schemas.openxmlformats.org/officeDocument/2006/relationships/hyperlink" Target="http://dx.doi.org/10.1658/1100-9233(2007)18%5b413:HRITMO%5d2.0.CO;2" TargetMode="External"/><Relationship Id="rId930" Type="http://schemas.openxmlformats.org/officeDocument/2006/relationships/hyperlink" Target="https://doi.org/10.1111/2041-210X.12598" TargetMode="External"/><Relationship Id="rId1006" Type="http://schemas.openxmlformats.org/officeDocument/2006/relationships/hyperlink" Target="https://apps.worldagroforestry.org/soc/3.2.%20Cost-error%20analysis.html" TargetMode="External"/><Relationship Id="rId1353" Type="http://schemas.openxmlformats.org/officeDocument/2006/relationships/hyperlink" Target="https://doi.org/10.1016/j.atech.2025.100907" TargetMode="External"/><Relationship Id="rId155" Type="http://schemas.openxmlformats.org/officeDocument/2006/relationships/hyperlink" Target="https://doi.org/10.1080/09524622.2023.2290715" TargetMode="External"/><Relationship Id="rId362" Type="http://schemas.openxmlformats.org/officeDocument/2006/relationships/hyperlink" Target="https://doi.org/10.1080/09524622.2023.2290715" TargetMode="External"/><Relationship Id="rId1213" Type="http://schemas.openxmlformats.org/officeDocument/2006/relationships/hyperlink" Target="https://www.gov.wales/review-best-practice-soil-organic-carbon-monitoring" TargetMode="External"/><Relationship Id="rId1297" Type="http://schemas.openxmlformats.org/officeDocument/2006/relationships/hyperlink" Target="https://doi.org/10.1080/03067319.2016.1160380" TargetMode="External"/><Relationship Id="rId222" Type="http://schemas.openxmlformats.org/officeDocument/2006/relationships/hyperlink" Target="https://doi.org/10.3389/fmars.2021.636902" TargetMode="External"/><Relationship Id="rId667" Type="http://schemas.openxmlformats.org/officeDocument/2006/relationships/hyperlink" Target="https://doi.org/10.1111/j.1365-2929.2006.02418.x" TargetMode="External"/><Relationship Id="rId874" Type="http://schemas.openxmlformats.org/officeDocument/2006/relationships/hyperlink" Target="https://doi.org/10.1007/s13280-015-0713-1" TargetMode="External"/><Relationship Id="rId17" Type="http://schemas.openxmlformats.org/officeDocument/2006/relationships/hyperlink" Target="https://doi.org/10.1111/j.1365-2929.2006.02418.x" TargetMode="External"/><Relationship Id="rId527" Type="http://schemas.openxmlformats.org/officeDocument/2006/relationships/hyperlink" Target="https://doi.org/10.1111/2041-210X.13113" TargetMode="External"/><Relationship Id="rId734" Type="http://schemas.openxmlformats.org/officeDocument/2006/relationships/hyperlink" Target="https://doi.org/10.1016/j.actao.2020.103667" TargetMode="External"/><Relationship Id="rId941" Type="http://schemas.openxmlformats.org/officeDocument/2006/relationships/hyperlink" Target="https://doi.org/10.1111/1755-0998.13543" TargetMode="External"/><Relationship Id="rId1157" Type="http://schemas.openxmlformats.org/officeDocument/2006/relationships/hyperlink" Target="https://doi.org/10.1111/1365-2656.13945" TargetMode="External"/><Relationship Id="rId1364" Type="http://schemas.openxmlformats.org/officeDocument/2006/relationships/hyperlink" Target="https://doi.org/10.1016/j.agrformet.2003.12.001" TargetMode="External"/><Relationship Id="rId70" Type="http://schemas.openxmlformats.org/officeDocument/2006/relationships/hyperlink" Target="https://doi.org/10.1111/j.1365-2929.2006.02418.x" TargetMode="External"/><Relationship Id="rId166" Type="http://schemas.openxmlformats.org/officeDocument/2006/relationships/hyperlink" Target="https://doi.org/10.1016/j.ecolind.2021.107551" TargetMode="External"/><Relationship Id="rId373" Type="http://schemas.openxmlformats.org/officeDocument/2006/relationships/hyperlink" Target="https://doi.org/10.1016/j.ecolind.2021.107551" TargetMode="External"/><Relationship Id="rId580" Type="http://schemas.openxmlformats.org/officeDocument/2006/relationships/hyperlink" Target="https://doi.org/10.1007/s11077-020-09382-3" TargetMode="External"/><Relationship Id="rId801" Type="http://schemas.openxmlformats.org/officeDocument/2006/relationships/hyperlink" Target="https://e38surveysolutions.com/pages/drone-lidar-price-guide?srsltid=AfmBOoqP2BBX_uqOpQjfvvK-CF9WcYQ3LEum4a9H5RNpMJq5t444DshY" TargetMode="External"/><Relationship Id="rId1017" Type="http://schemas.openxmlformats.org/officeDocument/2006/relationships/hyperlink" Target="https://apps.worldagroforestry.org/soc/3.2.%20Cost-error%20analysis.html" TargetMode="External"/><Relationship Id="rId1224" Type="http://schemas.openxmlformats.org/officeDocument/2006/relationships/hyperlink" Target="https://doi.org/10.1016/j.tfp.2022.100289" TargetMode="External"/><Relationship Id="rId1" Type="http://schemas.openxmlformats.org/officeDocument/2006/relationships/hyperlink" Target="https://modis-fire.umd.edu/index.html" TargetMode="External"/><Relationship Id="rId233" Type="http://schemas.openxmlformats.org/officeDocument/2006/relationships/hyperlink" Target="https://doi.org/10.1111/jzo.12945" TargetMode="External"/><Relationship Id="rId440" Type="http://schemas.openxmlformats.org/officeDocument/2006/relationships/hyperlink" Target="https://doi.org/10.3389/fmars.2020.00272" TargetMode="External"/><Relationship Id="rId678" Type="http://schemas.openxmlformats.org/officeDocument/2006/relationships/hyperlink" Target="https://doi.org/10.1890/090153" TargetMode="External"/><Relationship Id="rId885" Type="http://schemas.openxmlformats.org/officeDocument/2006/relationships/hyperlink" Target="https://doi.org/10.1016/B978-0-12-802213-9.00026-2" TargetMode="External"/><Relationship Id="rId1070" Type="http://schemas.openxmlformats.org/officeDocument/2006/relationships/hyperlink" Target="https://atlas-scientific.com/blog/ec-test/?srsltid=AfmBOoqQz4W3xUgshYjkVm5u5hK7E6jdFG9RYncGjvUr6S7fFK1coqsa&amp;utm_" TargetMode="External"/><Relationship Id="rId28" Type="http://schemas.openxmlformats.org/officeDocument/2006/relationships/hyperlink" Target="https://doi.org/10.1111/j.1365-2929.2006.02418.x" TargetMode="External"/><Relationship Id="rId300" Type="http://schemas.openxmlformats.org/officeDocument/2006/relationships/hyperlink" Target="https://doi.org/10.1002/rse2.209" TargetMode="External"/><Relationship Id="rId538" Type="http://schemas.openxmlformats.org/officeDocument/2006/relationships/hyperlink" Target="https://doi.org/10.1016/j.ijproman.2008.04.002" TargetMode="External"/><Relationship Id="rId745" Type="http://schemas.openxmlformats.org/officeDocument/2006/relationships/hyperlink" Target="https://doi.org/10.3390/f15111847" TargetMode="External"/><Relationship Id="rId952" Type="http://schemas.openxmlformats.org/officeDocument/2006/relationships/hyperlink" Target="https://doi.org/10.1111/1752-1688.12386" TargetMode="External"/><Relationship Id="rId1168" Type="http://schemas.openxmlformats.org/officeDocument/2006/relationships/hyperlink" Target="https://doi.org/10.1016/j.tfp.2022.100289" TargetMode="External"/><Relationship Id="rId1375" Type="http://schemas.openxmlformats.org/officeDocument/2006/relationships/hyperlink" Target="https://doi.org/10.1002/jpln.202200199" TargetMode="External"/><Relationship Id="rId81" Type="http://schemas.openxmlformats.org/officeDocument/2006/relationships/hyperlink" Target="https://doi.org/10.1111/j.1365-2929.2006.02418.x" TargetMode="External"/><Relationship Id="rId177" Type="http://schemas.openxmlformats.org/officeDocument/2006/relationships/hyperlink" Target="https://doi.org/10.1080/00063657.2015.1013523" TargetMode="External"/><Relationship Id="rId384" Type="http://schemas.openxmlformats.org/officeDocument/2006/relationships/hyperlink" Target="https://doi.org/10.1080/00063657.2015.1013523" TargetMode="External"/><Relationship Id="rId591" Type="http://schemas.openxmlformats.org/officeDocument/2006/relationships/hyperlink" Target="https://doi.org/10.1016/j.marpol.2024.106238" TargetMode="External"/><Relationship Id="rId605" Type="http://schemas.openxmlformats.org/officeDocument/2006/relationships/hyperlink" Target="https://doi.org/10.1111/j.1365-2929.2006.02418.x" TargetMode="External"/><Relationship Id="rId812" Type="http://schemas.openxmlformats.org/officeDocument/2006/relationships/hyperlink" Target="https://doi.org/10.1016/j.agrformet.2019.01.024" TargetMode="External"/><Relationship Id="rId1028" Type="http://schemas.openxmlformats.org/officeDocument/2006/relationships/hyperlink" Target="https://doi.org/10.3390/molecules27134323" TargetMode="External"/><Relationship Id="rId1235" Type="http://schemas.openxmlformats.org/officeDocument/2006/relationships/hyperlink" Target="https://www.google.com/url?sa=t&amp;source=web&amp;rct=j&amp;opi=89978449&amp;url=https://openknowledge.fao.org/server/api/core/bitstreams/1e4693b1-9ee2-4e29-91d9-e2f310a8c384/content&amp;ved=2ahUKEwjYoY6F4uyPAxUUUEEAHfniHIQQFnoECBkQAQ&amp;usg=AOvVaw1z74HIc8txJOL68SxmAtU5" TargetMode="External"/><Relationship Id="rId244" Type="http://schemas.openxmlformats.org/officeDocument/2006/relationships/hyperlink" Target="https://doi.org/10.3390/f15111847" TargetMode="External"/><Relationship Id="rId689" Type="http://schemas.openxmlformats.org/officeDocument/2006/relationships/hyperlink" Target="https://www.gov.wales/review-best-practice-soil-organic-carbon-monitoring" TargetMode="External"/><Relationship Id="rId896" Type="http://schemas.openxmlformats.org/officeDocument/2006/relationships/hyperlink" Target="https://doi.org/10.7717/peerj.5320" TargetMode="External"/><Relationship Id="rId1081" Type="http://schemas.openxmlformats.org/officeDocument/2006/relationships/hyperlink" Target="https://doi.org/10.3390/rs13112139" TargetMode="External"/><Relationship Id="rId1302" Type="http://schemas.openxmlformats.org/officeDocument/2006/relationships/hyperlink" Target="https://www.dronesdirect.co.uk/p/cp.en.00000415.01/dji-mavic-3-thermal-enterprise-drone" TargetMode="External"/><Relationship Id="rId39" Type="http://schemas.openxmlformats.org/officeDocument/2006/relationships/hyperlink" Target="https://doi.org/10.1111/j.1365-2929.2006.02418.x" TargetMode="External"/><Relationship Id="rId451" Type="http://schemas.openxmlformats.org/officeDocument/2006/relationships/hyperlink" Target="https://doi.org/10.3390/f15111847" TargetMode="External"/><Relationship Id="rId549" Type="http://schemas.openxmlformats.org/officeDocument/2006/relationships/hyperlink" Target="https://doi.org/10.1016/j.jenvman.2020.111773" TargetMode="External"/><Relationship Id="rId756" Type="http://schemas.openxmlformats.org/officeDocument/2006/relationships/hyperlink" Target="https://doi.org/10.1111/2041-210X.13113" TargetMode="External"/><Relationship Id="rId1179" Type="http://schemas.openxmlformats.org/officeDocument/2006/relationships/hyperlink" Target="https://doi.org/10.1016/j.actao.2020.103667" TargetMode="External"/><Relationship Id="rId1386" Type="http://schemas.openxmlformats.org/officeDocument/2006/relationships/hyperlink" Target="https://doi.org/10.1016/j.agrformet.2012.11.008" TargetMode="External"/><Relationship Id="rId104" Type="http://schemas.openxmlformats.org/officeDocument/2006/relationships/hyperlink" Target="https://doi.org/10.1111/j.1365-2929.2006.02418.x" TargetMode="External"/><Relationship Id="rId188" Type="http://schemas.openxmlformats.org/officeDocument/2006/relationships/hyperlink" Target="https://www.researchgate.net/publication/236593622_Field_comparison_of_transect_stationary_point_count_and_visual_fast_count_methods_for_visual_assessment_of_fish_assemblages_of_rocky_habitats_in_Madeira" TargetMode="External"/><Relationship Id="rId311" Type="http://schemas.openxmlformats.org/officeDocument/2006/relationships/hyperlink" Target="https://doi.org/10.1016/j.ecolind.2008.11.011" TargetMode="External"/><Relationship Id="rId395" Type="http://schemas.openxmlformats.org/officeDocument/2006/relationships/hyperlink" Target="https://www.researchgate.net/publication/236593622_Field_comparison_of_transect_stationary_point_count_and_visual_fast_count_methods_for_visual_assessment_of_fish_assemblages_of_rocky_habitats_in_Madeira" TargetMode="External"/><Relationship Id="rId409" Type="http://schemas.openxmlformats.org/officeDocument/2006/relationships/hyperlink" Target="https://doi.org/10.1016/j.actao.2020.103667" TargetMode="External"/><Relationship Id="rId963" Type="http://schemas.openxmlformats.org/officeDocument/2006/relationships/hyperlink" Target="https://in-situ.com/uk/parameters/chlorophyll-a?srsltid=AfmBOorcgqERU7k5Lvb64X3GkeDs1QGVa-vR0Tq_v8JboQiBVT9muRho" TargetMode="External"/><Relationship Id="rId1039" Type="http://schemas.openxmlformats.org/officeDocument/2006/relationships/hyperlink" Target="https://doi.org/10.3390/su141811538" TargetMode="External"/><Relationship Id="rId1246" Type="http://schemas.openxmlformats.org/officeDocument/2006/relationships/hyperlink" Target="https://doi.org/10.3390/f11020241" TargetMode="External"/><Relationship Id="rId92" Type="http://schemas.openxmlformats.org/officeDocument/2006/relationships/hyperlink" Target="https://doi.org/10.1111/j.1365-2929.2006.02418.x" TargetMode="External"/><Relationship Id="rId616" Type="http://schemas.openxmlformats.org/officeDocument/2006/relationships/hyperlink" Target="https://doi.org/10.1111/j.1365-2929.2006.02418.x" TargetMode="External"/><Relationship Id="rId823" Type="http://schemas.openxmlformats.org/officeDocument/2006/relationships/hyperlink" Target="https://doi.org/10.3390/rs13112139" TargetMode="External"/><Relationship Id="rId255" Type="http://schemas.openxmlformats.org/officeDocument/2006/relationships/hyperlink" Target="https://doi.org/10.1080/00063657.2011.586415" TargetMode="External"/><Relationship Id="rId462" Type="http://schemas.openxmlformats.org/officeDocument/2006/relationships/hyperlink" Target="https://hub.jncc.gov.uk/assets/121b1d65-866a-47c9-ab71-7088c706770c" TargetMode="External"/><Relationship Id="rId1092" Type="http://schemas.openxmlformats.org/officeDocument/2006/relationships/hyperlink" Target="https://doi.org/10.1109/JSTARS.2017.2711482" TargetMode="External"/><Relationship Id="rId1106" Type="http://schemas.openxmlformats.org/officeDocument/2006/relationships/hyperlink" Target="https://pubs.usgs.gov/tm/1a1/pdf/GWPD1.pdf" TargetMode="External"/><Relationship Id="rId1313" Type="http://schemas.openxmlformats.org/officeDocument/2006/relationships/hyperlink" Target="https://doi.org/10.3390/f14091852" TargetMode="External"/><Relationship Id="rId1397" Type="http://schemas.openxmlformats.org/officeDocument/2006/relationships/hyperlink" Target="https://www.picarro.com/products/gas-scouter-g4301?utm_source=chatgpt.com" TargetMode="External"/><Relationship Id="rId115" Type="http://schemas.openxmlformats.org/officeDocument/2006/relationships/hyperlink" Target="https://doi.org/10.1111/1365-2664.13913" TargetMode="External"/><Relationship Id="rId322" Type="http://schemas.openxmlformats.org/officeDocument/2006/relationships/hyperlink" Target="https://doi.org/10.3390/f15111847" TargetMode="External"/><Relationship Id="rId767" Type="http://schemas.openxmlformats.org/officeDocument/2006/relationships/hyperlink" Target="http://dx.doi.org/10.1658/1100-9233(2007)18%5b413:HRITMO%5d2.0.CO;2" TargetMode="External"/><Relationship Id="rId974" Type="http://schemas.openxmlformats.org/officeDocument/2006/relationships/hyperlink" Target="https://doi.org/10.1002/lom3.10469" TargetMode="External"/><Relationship Id="rId199" Type="http://schemas.openxmlformats.org/officeDocument/2006/relationships/hyperlink" Target="http://dx.doi.org/10.1658/1100-9233(2007)18%5b413:HRITMO%5d2.0.CO;2" TargetMode="External"/><Relationship Id="rId627" Type="http://schemas.openxmlformats.org/officeDocument/2006/relationships/hyperlink" Target="https://doi.org/10.1111/j.1365-2929.2006.02418.x" TargetMode="External"/><Relationship Id="rId834" Type="http://schemas.openxmlformats.org/officeDocument/2006/relationships/hyperlink" Target="https://doi.org/10.3390/rs13112139" TargetMode="External"/><Relationship Id="rId1257" Type="http://schemas.openxmlformats.org/officeDocument/2006/relationships/hyperlink" Target="https://doi.org/10.1016/j.marpol.2017.01.009" TargetMode="External"/><Relationship Id="rId266" Type="http://schemas.openxmlformats.org/officeDocument/2006/relationships/hyperlink" Target="https://doi.org/10.1016/j.jembe.2007.06.028" TargetMode="External"/><Relationship Id="rId473" Type="http://schemas.openxmlformats.org/officeDocument/2006/relationships/hyperlink" Target="https://doi.org/10.3996/082013-JFWM-057" TargetMode="External"/><Relationship Id="rId680" Type="http://schemas.openxmlformats.org/officeDocument/2006/relationships/hyperlink" Target="https://doi.org/10.1890/090153" TargetMode="External"/><Relationship Id="rId901" Type="http://schemas.openxmlformats.org/officeDocument/2006/relationships/hyperlink" Target="https://doi.org/10.1002/wsb.697" TargetMode="External"/><Relationship Id="rId1117" Type="http://schemas.openxmlformats.org/officeDocument/2006/relationships/hyperlink" Target="http://dx.doi.org/10.1658/1100-9233(2007)18%5b413:HRITMO%5d2.0.CO;2" TargetMode="External"/><Relationship Id="rId1324" Type="http://schemas.openxmlformats.org/officeDocument/2006/relationships/hyperlink" Target="http://dx.doi.org/10.1007/978-90-481-8859-8_6" TargetMode="External"/><Relationship Id="rId30" Type="http://schemas.openxmlformats.org/officeDocument/2006/relationships/hyperlink" Target="https://doi.org/10.1111/j.1365-2929.2006.02418.x" TargetMode="External"/><Relationship Id="rId126" Type="http://schemas.openxmlformats.org/officeDocument/2006/relationships/hyperlink" Target="https://doi.org/10.1016/j.ecolind.2021.107551" TargetMode="External"/><Relationship Id="rId333" Type="http://schemas.openxmlformats.org/officeDocument/2006/relationships/hyperlink" Target="https://hub.jncc.gov.uk/assets/121b1d65-866a-47c9-ab71-7088c706770c" TargetMode="External"/><Relationship Id="rId540" Type="http://schemas.openxmlformats.org/officeDocument/2006/relationships/hyperlink" Target="https://doi.org/10.1016/j.ijproman.2008.04.002" TargetMode="External"/><Relationship Id="rId778" Type="http://schemas.openxmlformats.org/officeDocument/2006/relationships/hyperlink" Target="https://doi.org/10.1016/j.ufug.2017.12.001" TargetMode="External"/><Relationship Id="rId985" Type="http://schemas.openxmlformats.org/officeDocument/2006/relationships/hyperlink" Target="https://doi.org/10.1080/10106049.2025.2452246" TargetMode="External"/><Relationship Id="rId1170" Type="http://schemas.openxmlformats.org/officeDocument/2006/relationships/hyperlink" Target="https://doi.org/10.1016/j.ecoleng.2016.11.004" TargetMode="External"/><Relationship Id="rId638" Type="http://schemas.openxmlformats.org/officeDocument/2006/relationships/hyperlink" Target="https://doi.org/10.1111/j.1365-2929.2006.02418.x" TargetMode="External"/><Relationship Id="rId845" Type="http://schemas.openxmlformats.org/officeDocument/2006/relationships/hyperlink" Target="https://doi.org/10.1111/2041-210X.13113" TargetMode="External"/><Relationship Id="rId1030" Type="http://schemas.openxmlformats.org/officeDocument/2006/relationships/hyperlink" Target="https://doi.org/10.1016/j.jhydrol.2012.06.021" TargetMode="External"/><Relationship Id="rId1268" Type="http://schemas.openxmlformats.org/officeDocument/2006/relationships/hyperlink" Target="https://pubs.usgs.gov/tm/1a1/pdf/GWPD1.pdf" TargetMode="External"/><Relationship Id="rId277" Type="http://schemas.openxmlformats.org/officeDocument/2006/relationships/hyperlink" Target="https://doi.org/10.1007/s13280-015-0713-1" TargetMode="External"/><Relationship Id="rId400" Type="http://schemas.openxmlformats.org/officeDocument/2006/relationships/hyperlink" Target="https://doi.org/10.7717/peerj.17091" TargetMode="External"/><Relationship Id="rId484" Type="http://schemas.openxmlformats.org/officeDocument/2006/relationships/hyperlink" Target="https://books.google.co.uk/books?hl=en&amp;lr=&amp;id=Ux_4CwAAQBAJ&amp;oi=fnd&amp;pg=PA227&amp;ots=XeKFWfJBKe&amp;sig=6Z_BCdMrKim9zHuv5-vb4gbG5-0&amp;redir_esc=y" TargetMode="External"/><Relationship Id="rId705" Type="http://schemas.openxmlformats.org/officeDocument/2006/relationships/hyperlink" Target="https://doi.org/10.3390/f15111847" TargetMode="External"/><Relationship Id="rId1128" Type="http://schemas.openxmlformats.org/officeDocument/2006/relationships/hyperlink" Target="https://doi.org/10.1016/j.ufug.2017.12.001" TargetMode="External"/><Relationship Id="rId1335" Type="http://schemas.openxmlformats.org/officeDocument/2006/relationships/hyperlink" Target="https://doi.org/10.3390/s16081310" TargetMode="External"/><Relationship Id="rId137" Type="http://schemas.openxmlformats.org/officeDocument/2006/relationships/hyperlink" Target="https://doi.org/10.1111/j.1557-9263.2006.00043.x" TargetMode="External"/><Relationship Id="rId344" Type="http://schemas.openxmlformats.org/officeDocument/2006/relationships/hyperlink" Target="https://doi.org/10.3996/082013-JFWM-057" TargetMode="External"/><Relationship Id="rId691" Type="http://schemas.openxmlformats.org/officeDocument/2006/relationships/hyperlink" Target="https://apps.worldagroforestry.org/soc/3.2.%20Cost-error%20analysis.html" TargetMode="External"/><Relationship Id="rId789" Type="http://schemas.openxmlformats.org/officeDocument/2006/relationships/hyperlink" Target="http://dx.doi.org/10.1658/1100-9233(2007)18%5b413:HRITMO%5d2.0.CO;2" TargetMode="External"/><Relationship Id="rId912" Type="http://schemas.openxmlformats.org/officeDocument/2006/relationships/hyperlink" Target="https://doi.org/10.1007/s10021-025-00972-x" TargetMode="External"/><Relationship Id="rId996" Type="http://schemas.openxmlformats.org/officeDocument/2006/relationships/hyperlink" Target="https://doi.org/10.1038/s41597-024-03750-x" TargetMode="External"/><Relationship Id="rId41" Type="http://schemas.openxmlformats.org/officeDocument/2006/relationships/hyperlink" Target="https://doi.org/10.1111/j.1365-2929.2006.02418.x" TargetMode="External"/><Relationship Id="rId551" Type="http://schemas.openxmlformats.org/officeDocument/2006/relationships/hyperlink" Target="https://doi.org/10.1016/j.jenvman.2020.111773" TargetMode="External"/><Relationship Id="rId649" Type="http://schemas.openxmlformats.org/officeDocument/2006/relationships/hyperlink" Target="https://doi.org/10.1111/j.1365-2929.2006.02418.x" TargetMode="External"/><Relationship Id="rId856" Type="http://schemas.openxmlformats.org/officeDocument/2006/relationships/hyperlink" Target="https://doi.org/10.1111/1365-2656.13945" TargetMode="External"/><Relationship Id="rId1181" Type="http://schemas.openxmlformats.org/officeDocument/2006/relationships/hyperlink" Target="https://doi.org/10.1016/j.ufug.2017.12.001" TargetMode="External"/><Relationship Id="rId1279" Type="http://schemas.openxmlformats.org/officeDocument/2006/relationships/hyperlink" Target="https://doi.org/10.3390/s24061766" TargetMode="External"/><Relationship Id="rId190" Type="http://schemas.openxmlformats.org/officeDocument/2006/relationships/hyperlink" Target="https://doi.org/10.3389/fmars.2020.00272" TargetMode="External"/><Relationship Id="rId204" Type="http://schemas.openxmlformats.org/officeDocument/2006/relationships/hyperlink" Target="https://doi.org/10.1016/j.ecolind.2021.107551" TargetMode="External"/><Relationship Id="rId288" Type="http://schemas.openxmlformats.org/officeDocument/2006/relationships/hyperlink" Target="https://doi.org/10.1016/j.actao.2020.103667" TargetMode="External"/><Relationship Id="rId411" Type="http://schemas.openxmlformats.org/officeDocument/2006/relationships/hyperlink" Target="https://doi.org/10.1111/2041-210X.13113" TargetMode="External"/><Relationship Id="rId509" Type="http://schemas.openxmlformats.org/officeDocument/2006/relationships/hyperlink" Target="https://doi.org/10.1111/j.1365-2929.2006.02418.x" TargetMode="External"/><Relationship Id="rId1041" Type="http://schemas.openxmlformats.org/officeDocument/2006/relationships/hyperlink" Target="https://doi.org/10.3390/su141811538" TargetMode="External"/><Relationship Id="rId1139" Type="http://schemas.openxmlformats.org/officeDocument/2006/relationships/hyperlink" Target="https://doi.org/10.5194/essd-14-823-2022" TargetMode="External"/><Relationship Id="rId1346" Type="http://schemas.openxmlformats.org/officeDocument/2006/relationships/hyperlink" Target="https://doi.org/10.1111/jzo.12945" TargetMode="External"/><Relationship Id="rId495" Type="http://schemas.openxmlformats.org/officeDocument/2006/relationships/hyperlink" Target="https://doi.org/10.1111/j.1365-2929.2006.02418.x" TargetMode="External"/><Relationship Id="rId716" Type="http://schemas.openxmlformats.org/officeDocument/2006/relationships/hyperlink" Target="https://doi.org/10.1111/2041-210X.13113" TargetMode="External"/><Relationship Id="rId923" Type="http://schemas.openxmlformats.org/officeDocument/2006/relationships/hyperlink" Target="https://doi.org/10.1111/1755-0998.13543" TargetMode="External"/><Relationship Id="rId52" Type="http://schemas.openxmlformats.org/officeDocument/2006/relationships/hyperlink" Target="https://doi.org/10.1111/j.1365-2929.2006.02418.x" TargetMode="External"/><Relationship Id="rId148" Type="http://schemas.openxmlformats.org/officeDocument/2006/relationships/hyperlink" Target="https://doi.org/10.3389/fmars.2020.00272" TargetMode="External"/><Relationship Id="rId355" Type="http://schemas.openxmlformats.org/officeDocument/2006/relationships/hyperlink" Target="https://books.google.co.uk/books?hl=en&amp;lr=&amp;id=Ux_4CwAAQBAJ&amp;oi=fnd&amp;pg=PA227&amp;ots=XeKFWfJBKe&amp;sig=6Z_BCdMrKim9zHuv5-vb4gbG5-0&amp;redir_esc=y" TargetMode="External"/><Relationship Id="rId562" Type="http://schemas.openxmlformats.org/officeDocument/2006/relationships/hyperlink" Target="https://doi.org/10.1016/j.marpol.2017.01.009" TargetMode="External"/><Relationship Id="rId1192" Type="http://schemas.openxmlformats.org/officeDocument/2006/relationships/hyperlink" Target="https://doi.org/10.1080/10106049.2024.2390512" TargetMode="External"/><Relationship Id="rId1206" Type="http://schemas.openxmlformats.org/officeDocument/2006/relationships/hyperlink" Target="https://doi.org/10.1890/090153" TargetMode="External"/><Relationship Id="rId215" Type="http://schemas.openxmlformats.org/officeDocument/2006/relationships/hyperlink" Target="https://doi.org/10.1111/j.1557-9263.2006.00043.x" TargetMode="External"/><Relationship Id="rId422" Type="http://schemas.openxmlformats.org/officeDocument/2006/relationships/hyperlink" Target="https://doi.org/10.1093/condor/104.1.59" TargetMode="External"/><Relationship Id="rId867" Type="http://schemas.openxmlformats.org/officeDocument/2006/relationships/hyperlink" Target="https://doi.org/10.1016/B978-0-12-802213-9.00026-2" TargetMode="External"/><Relationship Id="rId1052" Type="http://schemas.openxmlformats.org/officeDocument/2006/relationships/hyperlink" Target="https://doi.org/10.3390/drones9040305" TargetMode="External"/><Relationship Id="rId299" Type="http://schemas.openxmlformats.org/officeDocument/2006/relationships/hyperlink" Target="https://doi.org/10.1080/01584197.2020.1726186" TargetMode="External"/><Relationship Id="rId727" Type="http://schemas.openxmlformats.org/officeDocument/2006/relationships/hyperlink" Target="http://dx.doi.org/10.1658/1100-9233(2007)18%5b413:HRITMO%5d2.0.CO;2" TargetMode="External"/><Relationship Id="rId934" Type="http://schemas.openxmlformats.org/officeDocument/2006/relationships/hyperlink" Target="https://doi.org/10.1111/1755-0998.12934" TargetMode="External"/><Relationship Id="rId1357" Type="http://schemas.openxmlformats.org/officeDocument/2006/relationships/hyperlink" Target="https://doi.org/10.1016/j.atech.2025.100907" TargetMode="External"/><Relationship Id="rId63" Type="http://schemas.openxmlformats.org/officeDocument/2006/relationships/hyperlink" Target="https://doi.org/10.1111/j.1365-2929.2006.02418.x" TargetMode="External"/><Relationship Id="rId159" Type="http://schemas.openxmlformats.org/officeDocument/2006/relationships/hyperlink" Target="https://doi.org/10.1016/j.actao.2020.103667" TargetMode="External"/><Relationship Id="rId366" Type="http://schemas.openxmlformats.org/officeDocument/2006/relationships/hyperlink" Target="https://doi.org/10.1016/j.actao.2020.103667" TargetMode="External"/><Relationship Id="rId573" Type="http://schemas.openxmlformats.org/officeDocument/2006/relationships/hyperlink" Target="https://doi.org/10.1016/j.marpol.2024.106238" TargetMode="External"/><Relationship Id="rId780" Type="http://schemas.openxmlformats.org/officeDocument/2006/relationships/hyperlink" Target="https://doi.org/10.1038/s41597-024-03750-x" TargetMode="External"/><Relationship Id="rId1217" Type="http://schemas.openxmlformats.org/officeDocument/2006/relationships/hyperlink" Target="https://www.gov.wales/review-best-practice-soil-organic-carbon-monitoring" TargetMode="External"/><Relationship Id="rId226" Type="http://schemas.openxmlformats.org/officeDocument/2006/relationships/hyperlink" Target="https://doi.org/10.3389/fmars.2020.00272" TargetMode="External"/><Relationship Id="rId433" Type="http://schemas.openxmlformats.org/officeDocument/2006/relationships/hyperlink" Target="https://doi.org/10.3389/fmars.2021.636902" TargetMode="External"/><Relationship Id="rId878" Type="http://schemas.openxmlformats.org/officeDocument/2006/relationships/hyperlink" Target="https://doi.org/10.7717/peerj.5320" TargetMode="External"/><Relationship Id="rId1063" Type="http://schemas.openxmlformats.org/officeDocument/2006/relationships/hyperlink" Target="https://doi.org/10.1016/j.proeps.2015.08.062" TargetMode="External"/><Relationship Id="rId1270" Type="http://schemas.openxmlformats.org/officeDocument/2006/relationships/hyperlink" Target="http://dx.doi.org/10.9734/AJEE/2017/36987" TargetMode="External"/><Relationship Id="rId640" Type="http://schemas.openxmlformats.org/officeDocument/2006/relationships/hyperlink" Target="https://doi.org/10.1111/j.1365-2929.2006.02418.x" TargetMode="External"/><Relationship Id="rId738" Type="http://schemas.openxmlformats.org/officeDocument/2006/relationships/hyperlink" Target="https://doi.org/10.1016/j.actao.2020.103667" TargetMode="External"/><Relationship Id="rId945" Type="http://schemas.openxmlformats.org/officeDocument/2006/relationships/hyperlink" Target="https://doi.org/10.1080/09064710.2014.966751" TargetMode="External"/><Relationship Id="rId1368" Type="http://schemas.openxmlformats.org/officeDocument/2006/relationships/hyperlink" Target="https://doi.org/10.1016/j.agrformet.2003.12.001" TargetMode="External"/><Relationship Id="rId74" Type="http://schemas.openxmlformats.org/officeDocument/2006/relationships/hyperlink" Target="https://doi.org/10.1111/j.1365-2929.2006.02418.x" TargetMode="External"/><Relationship Id="rId377" Type="http://schemas.openxmlformats.org/officeDocument/2006/relationships/hyperlink" Target="https://doi.org/10.1016/j.biocon.2020.108545" TargetMode="External"/><Relationship Id="rId500" Type="http://schemas.openxmlformats.org/officeDocument/2006/relationships/hyperlink" Target="https://doi.org/10.1111/j.1365-2929.2006.02418.x" TargetMode="External"/><Relationship Id="rId584" Type="http://schemas.openxmlformats.org/officeDocument/2006/relationships/hyperlink" Target="https://doi.org/10.1007/s11077-020-09382-3" TargetMode="External"/><Relationship Id="rId805" Type="http://schemas.openxmlformats.org/officeDocument/2006/relationships/hyperlink" Target="https://doi.org/10.1016/j.ufug.2017.12.001" TargetMode="External"/><Relationship Id="rId1130" Type="http://schemas.openxmlformats.org/officeDocument/2006/relationships/hyperlink" Target="https://doi.org/10.1038/s41597-024-03750-x" TargetMode="External"/><Relationship Id="rId1228" Type="http://schemas.openxmlformats.org/officeDocument/2006/relationships/hyperlink" Target="http://dx.doi.org/10.1007/978-90-481-8859-8_6" TargetMode="External"/><Relationship Id="rId5" Type="http://schemas.openxmlformats.org/officeDocument/2006/relationships/hyperlink" Target="https://doi.org/10.1111/j.1365-2929.2006.02418.x" TargetMode="External"/><Relationship Id="rId237" Type="http://schemas.openxmlformats.org/officeDocument/2006/relationships/hyperlink" Target="https://doi.org/10.1080/09524622.2023.2290715" TargetMode="External"/><Relationship Id="rId791" Type="http://schemas.openxmlformats.org/officeDocument/2006/relationships/hyperlink" Target="https://doi.org/10.3390/f15111847" TargetMode="External"/><Relationship Id="rId889" Type="http://schemas.openxmlformats.org/officeDocument/2006/relationships/hyperlink" Target="https://doi.org/10.1016/j.cub.2022.05.032" TargetMode="External"/><Relationship Id="rId1074" Type="http://schemas.openxmlformats.org/officeDocument/2006/relationships/hyperlink" Target="https://doi.org/10.1016/j.actao.2020.103667" TargetMode="External"/><Relationship Id="rId444" Type="http://schemas.openxmlformats.org/officeDocument/2006/relationships/hyperlink" Target="https://doi.org/10.1111/jzo.12945" TargetMode="External"/><Relationship Id="rId651" Type="http://schemas.openxmlformats.org/officeDocument/2006/relationships/hyperlink" Target="https://doi.org/10.1111/j.1365-2929.2006.02418.x" TargetMode="External"/><Relationship Id="rId749" Type="http://schemas.openxmlformats.org/officeDocument/2006/relationships/hyperlink" Target="https://doi.org/10.3390/f15111847" TargetMode="External"/><Relationship Id="rId1281" Type="http://schemas.openxmlformats.org/officeDocument/2006/relationships/hyperlink" Target="https://www.hannainstruments.co.uk/657-electrodes-and-probes?q=Parameter-Conductivity+%26+TDS" TargetMode="External"/><Relationship Id="rId1379" Type="http://schemas.openxmlformats.org/officeDocument/2006/relationships/hyperlink" Target="https://doi.org/10.1002/jpln.202200199" TargetMode="External"/><Relationship Id="rId290" Type="http://schemas.openxmlformats.org/officeDocument/2006/relationships/hyperlink" Target="https://doi.org/10.1016/j.ecolind.2021.107551" TargetMode="External"/><Relationship Id="rId304" Type="http://schemas.openxmlformats.org/officeDocument/2006/relationships/hyperlink" Target="https://doi.org/10.3996/082013-JFWM-057" TargetMode="External"/><Relationship Id="rId388" Type="http://schemas.openxmlformats.org/officeDocument/2006/relationships/hyperlink" Target="https://doi.org/10.1016/j.ecolind.2021.108305" TargetMode="External"/><Relationship Id="rId511" Type="http://schemas.openxmlformats.org/officeDocument/2006/relationships/hyperlink" Target="https://doi.org/10.1016/j.socnet.2020.12.010" TargetMode="External"/><Relationship Id="rId609" Type="http://schemas.openxmlformats.org/officeDocument/2006/relationships/hyperlink" Target="https://doi.org/10.1111/j.1365-2929.2006.02418.x" TargetMode="External"/><Relationship Id="rId956" Type="http://schemas.openxmlformats.org/officeDocument/2006/relationships/hyperlink" Target="https://doi.org/10.1109/JSTARS.2013.2242845" TargetMode="External"/><Relationship Id="rId1141" Type="http://schemas.openxmlformats.org/officeDocument/2006/relationships/hyperlink" Target="https://doi.org/10.1111/2041-210X.13113" TargetMode="External"/><Relationship Id="rId1239" Type="http://schemas.openxmlformats.org/officeDocument/2006/relationships/hyperlink" Target="https://doi.org/10.1080/00103624.2024.2334255" TargetMode="External"/><Relationship Id="rId85" Type="http://schemas.openxmlformats.org/officeDocument/2006/relationships/hyperlink" Target="https://doi.org/10.1111/j.1365-2929.2006.02418.x" TargetMode="External"/><Relationship Id="rId150" Type="http://schemas.openxmlformats.org/officeDocument/2006/relationships/hyperlink" Target="https://doi.org/10.1016/j.fishres.2007.01.012" TargetMode="External"/><Relationship Id="rId595" Type="http://schemas.openxmlformats.org/officeDocument/2006/relationships/hyperlink" Target="https://www.businesswaste.co.uk/waste-management-audit/" TargetMode="External"/><Relationship Id="rId816" Type="http://schemas.openxmlformats.org/officeDocument/2006/relationships/hyperlink" Target="https://doi.org/10.1016/j.agrformet.2019.01.024" TargetMode="External"/><Relationship Id="rId1001" Type="http://schemas.openxmlformats.org/officeDocument/2006/relationships/hyperlink" Target="https://appliedecologistsblog.com/2023/09/01/cheap-microclimate-sensor-networks-in-the-wild/" TargetMode="External"/><Relationship Id="rId248" Type="http://schemas.openxmlformats.org/officeDocument/2006/relationships/hyperlink" Target="https://doi.org/10.1016/j.ecolind.2021.107551" TargetMode="External"/><Relationship Id="rId455" Type="http://schemas.openxmlformats.org/officeDocument/2006/relationships/hyperlink" Target="https://doi.org/10.3390/f15111847" TargetMode="External"/><Relationship Id="rId662" Type="http://schemas.openxmlformats.org/officeDocument/2006/relationships/hyperlink" Target="https://doi.org/10.1111/j.1365-2929.2006.02418.x" TargetMode="External"/><Relationship Id="rId1085" Type="http://schemas.openxmlformats.org/officeDocument/2006/relationships/hyperlink" Target="https://doi.org/10.1016/j.agrformet.2019.01.024" TargetMode="External"/><Relationship Id="rId1292" Type="http://schemas.openxmlformats.org/officeDocument/2006/relationships/hyperlink" Target="https://doi.org/10.1016/j.microc.2023.109465" TargetMode="External"/><Relationship Id="rId1306" Type="http://schemas.openxmlformats.org/officeDocument/2006/relationships/hyperlink" Target="https://doi.org/10.3390/rs13112139" TargetMode="External"/><Relationship Id="rId12" Type="http://schemas.openxmlformats.org/officeDocument/2006/relationships/hyperlink" Target="https://doi.org/10.1111/j.1365-2929.2006.02418.x" TargetMode="External"/><Relationship Id="rId108" Type="http://schemas.openxmlformats.org/officeDocument/2006/relationships/hyperlink" Target="https://doi.org/10.1111/j.1365-2929.2006.02418.x" TargetMode="External"/><Relationship Id="rId315" Type="http://schemas.openxmlformats.org/officeDocument/2006/relationships/hyperlink" Target="https://doi.org/10.3389/fmars.2020.00272" TargetMode="External"/><Relationship Id="rId522" Type="http://schemas.openxmlformats.org/officeDocument/2006/relationships/hyperlink" Target="https://doi.org/10.1002/widm.1256" TargetMode="External"/><Relationship Id="rId967" Type="http://schemas.openxmlformats.org/officeDocument/2006/relationships/hyperlink" Target="https://doi.org/10.1016/j.watres.2003.10.033" TargetMode="External"/><Relationship Id="rId1152" Type="http://schemas.openxmlformats.org/officeDocument/2006/relationships/hyperlink" Target="https://e38surveysolutions.com/pages/drone-lidar-price-guide?srsltid=AfmBOoqP2BBX_uqOpQjfvvK-CF9WcYQ3LEum4a9H5RNpMJq5t444DshY" TargetMode="External"/><Relationship Id="rId96" Type="http://schemas.openxmlformats.org/officeDocument/2006/relationships/hyperlink" Target="https://doi.org/10.1111/j.1365-2929.2006.02418.x" TargetMode="External"/><Relationship Id="rId161" Type="http://schemas.openxmlformats.org/officeDocument/2006/relationships/hyperlink" Target="https://doi.org/10.1111/2041-210X.13113" TargetMode="External"/><Relationship Id="rId399" Type="http://schemas.openxmlformats.org/officeDocument/2006/relationships/hyperlink" Target="http://dx.doi.org/10.1071/WR15029" TargetMode="External"/><Relationship Id="rId827" Type="http://schemas.openxmlformats.org/officeDocument/2006/relationships/hyperlink" Target="https://doi.org/10.3390/rs13112139" TargetMode="External"/><Relationship Id="rId1012" Type="http://schemas.openxmlformats.org/officeDocument/2006/relationships/hyperlink" Target="https://www.gov.wales/review-best-practice-soil-organic-carbon-monitoring" TargetMode="External"/><Relationship Id="rId259" Type="http://schemas.openxmlformats.org/officeDocument/2006/relationships/hyperlink" Target="https://doi.org/10.1080/00063657.2015.1013523" TargetMode="External"/><Relationship Id="rId466" Type="http://schemas.openxmlformats.org/officeDocument/2006/relationships/hyperlink" Target="https://doi.org/10.1080/00063657.2011.586415" TargetMode="External"/><Relationship Id="rId673" Type="http://schemas.openxmlformats.org/officeDocument/2006/relationships/hyperlink" Target="https://www.gov.wales/review-best-practice-soil-organic-carbon-monitoring" TargetMode="External"/><Relationship Id="rId880" Type="http://schemas.openxmlformats.org/officeDocument/2006/relationships/hyperlink" Target="https://doi.org/10.1371/journal.pone.0199617" TargetMode="External"/><Relationship Id="rId1096" Type="http://schemas.openxmlformats.org/officeDocument/2006/relationships/hyperlink" Target="https://doi.org/10.1111/1752-1688.13053" TargetMode="External"/><Relationship Id="rId1317" Type="http://schemas.openxmlformats.org/officeDocument/2006/relationships/hyperlink" Target="https://doi.org/10.1111/jzo.12945" TargetMode="External"/><Relationship Id="rId23" Type="http://schemas.openxmlformats.org/officeDocument/2006/relationships/hyperlink" Target="https://doi.org/10.1111/j.1365-2929.2006.02418.x" TargetMode="External"/><Relationship Id="rId119" Type="http://schemas.openxmlformats.org/officeDocument/2006/relationships/hyperlink" Target="https://doi.org/10.3390/f15111847" TargetMode="External"/><Relationship Id="rId326" Type="http://schemas.openxmlformats.org/officeDocument/2006/relationships/hyperlink" Target="https://doi.org/10.3390/f15111847" TargetMode="External"/><Relationship Id="rId533" Type="http://schemas.openxmlformats.org/officeDocument/2006/relationships/hyperlink" Target="https://doi.org/10.1016/j.jenvman.2020.111773" TargetMode="External"/><Relationship Id="rId978" Type="http://schemas.openxmlformats.org/officeDocument/2006/relationships/hyperlink" Target="https://doi.org/10.3390/drones4030054" TargetMode="External"/><Relationship Id="rId1163" Type="http://schemas.openxmlformats.org/officeDocument/2006/relationships/hyperlink" Target="https://doi.org/10.3390/rs13112139" TargetMode="External"/><Relationship Id="rId1370" Type="http://schemas.openxmlformats.org/officeDocument/2006/relationships/hyperlink" Target="https://doi.org/10.1016/j.agrformet.2012.11.008" TargetMode="External"/><Relationship Id="rId740" Type="http://schemas.openxmlformats.org/officeDocument/2006/relationships/hyperlink" Target="https://doi.org/10.1111/2041-210X.13113" TargetMode="External"/><Relationship Id="rId838" Type="http://schemas.openxmlformats.org/officeDocument/2006/relationships/hyperlink" Target="https://doi.org/10.1111/1365-2656.13945" TargetMode="External"/><Relationship Id="rId1023" Type="http://schemas.openxmlformats.org/officeDocument/2006/relationships/hyperlink" Target="https://doi.org/10.1111/ejss.13542" TargetMode="External"/><Relationship Id="rId172" Type="http://schemas.openxmlformats.org/officeDocument/2006/relationships/hyperlink" Target="https://doi.org/10.1093/condor/104.1.59" TargetMode="External"/><Relationship Id="rId477" Type="http://schemas.openxmlformats.org/officeDocument/2006/relationships/hyperlink" Target="https://doi.org/10.1016/j.jembe.2007.06.028" TargetMode="External"/><Relationship Id="rId600" Type="http://schemas.openxmlformats.org/officeDocument/2006/relationships/hyperlink" Target="https://www.businesswaste.co.uk/waste-management-audit/" TargetMode="External"/><Relationship Id="rId684" Type="http://schemas.openxmlformats.org/officeDocument/2006/relationships/hyperlink" Target="https://www.gov.wales/review-best-practice-soil-organic-carbon-monitoring" TargetMode="External"/><Relationship Id="rId1230" Type="http://schemas.openxmlformats.org/officeDocument/2006/relationships/hyperlink" Target="https://doi.org/10.1080/01904167.2021.1884702" TargetMode="External"/><Relationship Id="rId1328" Type="http://schemas.openxmlformats.org/officeDocument/2006/relationships/hyperlink" Target="https://doi.org/10.3390/environments5090095" TargetMode="External"/><Relationship Id="rId337" Type="http://schemas.openxmlformats.org/officeDocument/2006/relationships/hyperlink" Target="https://doi.org/10.1080/00063657.2011.586415" TargetMode="External"/><Relationship Id="rId891" Type="http://schemas.openxmlformats.org/officeDocument/2006/relationships/hyperlink" Target="https://doi.org/10.1111/jzo.12945" TargetMode="External"/><Relationship Id="rId905" Type="http://schemas.openxmlformats.org/officeDocument/2006/relationships/hyperlink" Target="https://doi.org/10.1371/journal.pone.0007324" TargetMode="External"/><Relationship Id="rId989" Type="http://schemas.openxmlformats.org/officeDocument/2006/relationships/hyperlink" Target="https://doi.org/10.1002/lom3.10469" TargetMode="External"/><Relationship Id="rId34" Type="http://schemas.openxmlformats.org/officeDocument/2006/relationships/hyperlink" Target="https://doi.org/10.1111/j.1365-2929.2006.02418.x" TargetMode="External"/><Relationship Id="rId544" Type="http://schemas.openxmlformats.org/officeDocument/2006/relationships/hyperlink" Target="https://doi.org/10.1016/j.ijproman.2008.04.002" TargetMode="External"/><Relationship Id="rId751" Type="http://schemas.openxmlformats.org/officeDocument/2006/relationships/hyperlink" Target="http://dx.doi.org/10.1658/1100-9233(2007)18%5b413:HRITMO%5d2.0.CO;2" TargetMode="External"/><Relationship Id="rId849" Type="http://schemas.openxmlformats.org/officeDocument/2006/relationships/hyperlink" Target="https://e38surveysolutions.com/pages/drone-lidar-price-guide?srsltid=AfmBOoqP2BBX_uqOpQjfvvK-CF9WcYQ3LEum4a9H5RNpMJq5t444DshY" TargetMode="External"/><Relationship Id="rId1174" Type="http://schemas.openxmlformats.org/officeDocument/2006/relationships/hyperlink" Target="https://doi.org/10.3390/f15111847" TargetMode="External"/><Relationship Id="rId1381" Type="http://schemas.openxmlformats.org/officeDocument/2006/relationships/hyperlink" Target="https://doi.org/10.1016/j.atech.2025.100907" TargetMode="External"/><Relationship Id="rId183" Type="http://schemas.openxmlformats.org/officeDocument/2006/relationships/hyperlink" Target="https://doi.org/10.3389/fmars.2021.636902" TargetMode="External"/><Relationship Id="rId390" Type="http://schemas.openxmlformats.org/officeDocument/2006/relationships/hyperlink" Target="https://doi.org/10.3389/fmars.2021.636902" TargetMode="External"/><Relationship Id="rId404" Type="http://schemas.openxmlformats.org/officeDocument/2006/relationships/hyperlink" Target="https://doi.org/10.1111/1365-2664.13913" TargetMode="External"/><Relationship Id="rId611" Type="http://schemas.openxmlformats.org/officeDocument/2006/relationships/hyperlink" Target="https://doi.org/10.1111/j.1365-2929.2006.02418.x" TargetMode="External"/><Relationship Id="rId1034" Type="http://schemas.openxmlformats.org/officeDocument/2006/relationships/hyperlink" Target="https://doi.org/10.1016/j.jhydrol.2012.06.021" TargetMode="External"/><Relationship Id="rId1241" Type="http://schemas.openxmlformats.org/officeDocument/2006/relationships/hyperlink" Target="https://webshop.agrocares.com/agrocares-scanner-device.html" TargetMode="External"/><Relationship Id="rId1339" Type="http://schemas.openxmlformats.org/officeDocument/2006/relationships/hyperlink" Target="https://doi.org/10.1093/aob/mcaf093" TargetMode="External"/><Relationship Id="rId250" Type="http://schemas.openxmlformats.org/officeDocument/2006/relationships/hyperlink" Target="https://hub.jncc.gov.uk/assets/121b1d65-866a-47c9-ab71-7088c706770c" TargetMode="External"/><Relationship Id="rId488" Type="http://schemas.openxmlformats.org/officeDocument/2006/relationships/hyperlink" Target="https://doi.org/10.3996/082013-JFWM-057" TargetMode="External"/><Relationship Id="rId695" Type="http://schemas.openxmlformats.org/officeDocument/2006/relationships/hyperlink" Target="https://apps.worldagroforestry.org/soc/3.2.%20Cost-error%20analysis.html" TargetMode="External"/><Relationship Id="rId709" Type="http://schemas.openxmlformats.org/officeDocument/2006/relationships/hyperlink" Target="https://doi.org/10.3390/f15111847" TargetMode="External"/><Relationship Id="rId916" Type="http://schemas.openxmlformats.org/officeDocument/2006/relationships/hyperlink" Target="https://doi.org/10.1111/1755-0998.12934" TargetMode="External"/><Relationship Id="rId1101" Type="http://schemas.openxmlformats.org/officeDocument/2006/relationships/hyperlink" Target="https://doi.org/10.1002/esp.1497" TargetMode="External"/><Relationship Id="rId45" Type="http://schemas.openxmlformats.org/officeDocument/2006/relationships/hyperlink" Target="https://doi.org/10.1111/j.1365-2929.2006.02418.x" TargetMode="External"/><Relationship Id="rId110" Type="http://schemas.openxmlformats.org/officeDocument/2006/relationships/hyperlink" Target="https://doi.org/10.1111/j.1365-2929.2006.02418.x" TargetMode="External"/><Relationship Id="rId348" Type="http://schemas.openxmlformats.org/officeDocument/2006/relationships/hyperlink" Target="https://doi.org/10.1016/j.jembe.2007.06.028" TargetMode="External"/><Relationship Id="rId555" Type="http://schemas.openxmlformats.org/officeDocument/2006/relationships/hyperlink" Target="https://doi.org/10.1016/j.jenvman.2020.111773" TargetMode="External"/><Relationship Id="rId762" Type="http://schemas.openxmlformats.org/officeDocument/2006/relationships/hyperlink" Target="https://doi.org/10.1016/j.actao.2020.103667" TargetMode="External"/><Relationship Id="rId1185" Type="http://schemas.openxmlformats.org/officeDocument/2006/relationships/hyperlink" Target="https://doi.org/10.1109/JSTARS.2017.2711482" TargetMode="External"/><Relationship Id="rId1392" Type="http://schemas.openxmlformats.org/officeDocument/2006/relationships/hyperlink" Target="https://doi.org/10.1016/j.agrformet.2012.11.008" TargetMode="External"/><Relationship Id="rId194" Type="http://schemas.openxmlformats.org/officeDocument/2006/relationships/hyperlink" Target="https://doi.org/10.1080/09524622.2023.2290715" TargetMode="External"/><Relationship Id="rId208" Type="http://schemas.openxmlformats.org/officeDocument/2006/relationships/hyperlink" Target="https://hub.jncc.gov.uk/assets/121b1d65-866a-47c9-ab71-7088c706770c" TargetMode="External"/><Relationship Id="rId415" Type="http://schemas.openxmlformats.org/officeDocument/2006/relationships/hyperlink" Target="https://doi.org/10.1016/j.ecolind.2021.107551" TargetMode="External"/><Relationship Id="rId622" Type="http://schemas.openxmlformats.org/officeDocument/2006/relationships/hyperlink" Target="https://doi.org/10.1111/j.1365-2929.2006.02418.x" TargetMode="External"/><Relationship Id="rId1045" Type="http://schemas.openxmlformats.org/officeDocument/2006/relationships/hyperlink" Target="https://doi.org/10.3390/su141811538" TargetMode="External"/><Relationship Id="rId1252" Type="http://schemas.openxmlformats.org/officeDocument/2006/relationships/hyperlink" Target="https://doi.org/10.1016/j.ufug.2017.12.001" TargetMode="External"/><Relationship Id="rId261" Type="http://schemas.openxmlformats.org/officeDocument/2006/relationships/hyperlink" Target="https://doi.org/10.3996/082013-JFWM-057" TargetMode="External"/><Relationship Id="rId499" Type="http://schemas.openxmlformats.org/officeDocument/2006/relationships/hyperlink" Target="https://doi.org/10.1111/j.1365-2929.2006.02418.x" TargetMode="External"/><Relationship Id="rId927" Type="http://schemas.openxmlformats.org/officeDocument/2006/relationships/hyperlink" Target="https://doi.org/10.1111/2041-210X.12598" TargetMode="External"/><Relationship Id="rId1112" Type="http://schemas.openxmlformats.org/officeDocument/2006/relationships/hyperlink" Target="https://www.marinesuperstore.com/marine-instruments/depth-instruments" TargetMode="External"/><Relationship Id="rId56" Type="http://schemas.openxmlformats.org/officeDocument/2006/relationships/hyperlink" Target="https://doi.org/10.1111/j.1365-2929.2006.02418.x" TargetMode="External"/><Relationship Id="rId359" Type="http://schemas.openxmlformats.org/officeDocument/2006/relationships/hyperlink" Target="https://doi.org/10.1007/s13280-015-0713-1" TargetMode="External"/><Relationship Id="rId566" Type="http://schemas.openxmlformats.org/officeDocument/2006/relationships/hyperlink" Target="https://doi.org/10.1007/s11077-020-09382-3" TargetMode="External"/><Relationship Id="rId773" Type="http://schemas.openxmlformats.org/officeDocument/2006/relationships/hyperlink" Target="https://doi.org/10.3390/rs13112139" TargetMode="External"/><Relationship Id="rId1196" Type="http://schemas.openxmlformats.org/officeDocument/2006/relationships/hyperlink" Target="https://doi.org/10.1016/j.rse.2012.10.017" TargetMode="External"/><Relationship Id="rId121" Type="http://schemas.openxmlformats.org/officeDocument/2006/relationships/hyperlink" Target="http://dx.doi.org/10.1658/1100-9233(2007)18%5b413:HRITMO%5d2.0.CO;2" TargetMode="External"/><Relationship Id="rId219" Type="http://schemas.openxmlformats.org/officeDocument/2006/relationships/hyperlink" Target="https://doi.org/10.3996/082013-JFWM-057" TargetMode="External"/><Relationship Id="rId426" Type="http://schemas.openxmlformats.org/officeDocument/2006/relationships/hyperlink" Target="https://doi.org/10.1111/j.1557-9263.2006.00043.x" TargetMode="External"/><Relationship Id="rId633" Type="http://schemas.openxmlformats.org/officeDocument/2006/relationships/hyperlink" Target="https://doi.org/10.1111/j.1365-2929.2006.02418.x" TargetMode="External"/><Relationship Id="rId980" Type="http://schemas.openxmlformats.org/officeDocument/2006/relationships/hyperlink" Target="https://doi.org/10.3390/w17010044" TargetMode="External"/><Relationship Id="rId1056" Type="http://schemas.openxmlformats.org/officeDocument/2006/relationships/hyperlink" Target="https://doi.org/10.3390/land11122129" TargetMode="External"/><Relationship Id="rId1263" Type="http://schemas.openxmlformats.org/officeDocument/2006/relationships/hyperlink" Target="https://doi.org/10.1016/j.chnaes.2023.06.007" TargetMode="External"/><Relationship Id="rId840" Type="http://schemas.openxmlformats.org/officeDocument/2006/relationships/hyperlink" Target="https://doi.org/10.1016/j.jag.2019.03.014" TargetMode="External"/><Relationship Id="rId938" Type="http://schemas.openxmlformats.org/officeDocument/2006/relationships/hyperlink" Target="https://doi.org/10.1111/1755-0998.13543" TargetMode="External"/><Relationship Id="rId67" Type="http://schemas.openxmlformats.org/officeDocument/2006/relationships/hyperlink" Target="https://doi.org/10.1111/j.1365-2929.2006.02418.x" TargetMode="External"/><Relationship Id="rId272" Type="http://schemas.openxmlformats.org/officeDocument/2006/relationships/hyperlink" Target="https://doi.org/10.3389/fmars.2020.00272" TargetMode="External"/><Relationship Id="rId577" Type="http://schemas.openxmlformats.org/officeDocument/2006/relationships/hyperlink" Target="https://doi.org/10.1016/j.marpol.2024.106238" TargetMode="External"/><Relationship Id="rId700" Type="http://schemas.openxmlformats.org/officeDocument/2006/relationships/hyperlink" Target="https://doi.org/10.1111/2041-210X.13113" TargetMode="External"/><Relationship Id="rId1123" Type="http://schemas.openxmlformats.org/officeDocument/2006/relationships/hyperlink" Target="https://doi.org/10.3390/rs13112139" TargetMode="External"/><Relationship Id="rId1330" Type="http://schemas.openxmlformats.org/officeDocument/2006/relationships/hyperlink" Target="https://appliedecologistsblog.com/2023/09/01/cheap-microclimate-sensor-networks-in-the-wild/" TargetMode="External"/><Relationship Id="rId132" Type="http://schemas.openxmlformats.org/officeDocument/2006/relationships/hyperlink" Target="https://doi.org/10.1111/icad.12328" TargetMode="External"/><Relationship Id="rId784" Type="http://schemas.openxmlformats.org/officeDocument/2006/relationships/hyperlink" Target="https://doi.org/10.1109/JSTARS.2017.2711482" TargetMode="External"/><Relationship Id="rId991" Type="http://schemas.openxmlformats.org/officeDocument/2006/relationships/hyperlink" Target="https://doi.org/10.3390/w11050981" TargetMode="External"/><Relationship Id="rId1067" Type="http://schemas.openxmlformats.org/officeDocument/2006/relationships/hyperlink" Target="https://doi.org/10.1139/cjss-2016-0019" TargetMode="External"/><Relationship Id="rId437" Type="http://schemas.openxmlformats.org/officeDocument/2006/relationships/hyperlink" Target="https://doi.org/10.3389/fmars.2020.00272" TargetMode="External"/><Relationship Id="rId644" Type="http://schemas.openxmlformats.org/officeDocument/2006/relationships/hyperlink" Target="https://doi.org/10.1111/j.1365-2929.2006.02418.x" TargetMode="External"/><Relationship Id="rId851" Type="http://schemas.openxmlformats.org/officeDocument/2006/relationships/hyperlink" Target="https://doi.org/10.3390/f11020241" TargetMode="External"/><Relationship Id="rId1274" Type="http://schemas.openxmlformats.org/officeDocument/2006/relationships/hyperlink" Target="http://dx.doi.org/10.9734/AJEE/2017/36987" TargetMode="External"/><Relationship Id="rId283" Type="http://schemas.openxmlformats.org/officeDocument/2006/relationships/hyperlink" Target="https://doi.org/10.3390/f15111847" TargetMode="External"/><Relationship Id="rId490" Type="http://schemas.openxmlformats.org/officeDocument/2006/relationships/hyperlink" Target="https://doi.org/10.1016/j.ecolind.2021.108305" TargetMode="External"/><Relationship Id="rId504" Type="http://schemas.openxmlformats.org/officeDocument/2006/relationships/hyperlink" Target="https://doi.org/10.1111/j.1365-2929.2006.02418.x" TargetMode="External"/><Relationship Id="rId711" Type="http://schemas.openxmlformats.org/officeDocument/2006/relationships/hyperlink" Target="http://dx.doi.org/10.1658/1100-9233(2007)18%5b413:HRITMO%5d2.0.CO;2" TargetMode="External"/><Relationship Id="rId949" Type="http://schemas.openxmlformats.org/officeDocument/2006/relationships/hyperlink" Target="https://doi.org/10.1080/09064710.2014.966751" TargetMode="External"/><Relationship Id="rId1134" Type="http://schemas.openxmlformats.org/officeDocument/2006/relationships/hyperlink" Target="https://doi.org/10.1109/JSTARS.2017.2711482" TargetMode="External"/><Relationship Id="rId1341" Type="http://schemas.openxmlformats.org/officeDocument/2006/relationships/hyperlink" Target="https://doi.org/10.1111/j.1365-2929.2006.02418.x" TargetMode="External"/><Relationship Id="rId78" Type="http://schemas.openxmlformats.org/officeDocument/2006/relationships/hyperlink" Target="https://doi.org/10.1111/j.1365-2929.2006.02418.x" TargetMode="External"/><Relationship Id="rId143" Type="http://schemas.openxmlformats.org/officeDocument/2006/relationships/hyperlink" Target="https://doi.org/10.7717/peerj.3940" TargetMode="External"/><Relationship Id="rId350" Type="http://schemas.openxmlformats.org/officeDocument/2006/relationships/hyperlink" Target="https://doi.org/10.1016/j.ecolind.2008.11.011" TargetMode="External"/><Relationship Id="rId588" Type="http://schemas.openxmlformats.org/officeDocument/2006/relationships/hyperlink" Target="https://doi.org/10.1007/s11077-020-09382-3" TargetMode="External"/><Relationship Id="rId795" Type="http://schemas.openxmlformats.org/officeDocument/2006/relationships/hyperlink" Target="https://doi.org/10.3390/rs13112139" TargetMode="External"/><Relationship Id="rId809" Type="http://schemas.openxmlformats.org/officeDocument/2006/relationships/hyperlink" Target="https://doi.org/10.1038/s41597-024-03750-x" TargetMode="External"/><Relationship Id="rId1201" Type="http://schemas.openxmlformats.org/officeDocument/2006/relationships/hyperlink" Target="https://www.gov.wales/review-best-practice-soil-organic-carbon-monitoring" TargetMode="External"/><Relationship Id="rId9" Type="http://schemas.openxmlformats.org/officeDocument/2006/relationships/hyperlink" Target="https://doi.org/10.1111/j.1365-2929.2006.02418.x" TargetMode="External"/><Relationship Id="rId210" Type="http://schemas.openxmlformats.org/officeDocument/2006/relationships/hyperlink" Target="https://doi.org/10.1111/icad.12328" TargetMode="External"/><Relationship Id="rId448" Type="http://schemas.openxmlformats.org/officeDocument/2006/relationships/hyperlink" Target="https://doi.org/10.1080/09524622.2023.2290715" TargetMode="External"/><Relationship Id="rId655" Type="http://schemas.openxmlformats.org/officeDocument/2006/relationships/hyperlink" Target="https://www.energy.gov.au/business/energy-management-business/1-understand-your-energy-use/conduct-energy-audit" TargetMode="External"/><Relationship Id="rId862" Type="http://schemas.openxmlformats.org/officeDocument/2006/relationships/hyperlink" Target="https://doi.org/10.1371/journal.pone.0199617" TargetMode="External"/><Relationship Id="rId1078" Type="http://schemas.openxmlformats.org/officeDocument/2006/relationships/hyperlink" Target="https://doi.org/10.1016/j.actao.2020.103667" TargetMode="External"/><Relationship Id="rId1285" Type="http://schemas.openxmlformats.org/officeDocument/2006/relationships/hyperlink" Target="https://doi.org/10.1016/0011-7471(64)90339-0" TargetMode="External"/><Relationship Id="rId294" Type="http://schemas.openxmlformats.org/officeDocument/2006/relationships/hyperlink" Target="https://hub.jncc.gov.uk/assets/121b1d65-866a-47c9-ab71-7088c706770c" TargetMode="External"/><Relationship Id="rId308" Type="http://schemas.openxmlformats.org/officeDocument/2006/relationships/hyperlink" Target="https://doi.org/10.3389/fmars.2021.636902" TargetMode="External"/><Relationship Id="rId515" Type="http://schemas.openxmlformats.org/officeDocument/2006/relationships/hyperlink" Target="https://doi.org/10.1016/j.socnet.2020.12.010" TargetMode="External"/><Relationship Id="rId722" Type="http://schemas.openxmlformats.org/officeDocument/2006/relationships/hyperlink" Target="https://doi.org/10.1016/j.actao.2020.103667" TargetMode="External"/><Relationship Id="rId1145" Type="http://schemas.openxmlformats.org/officeDocument/2006/relationships/hyperlink" Target="https://doi.org/10.1111/2041-210X.13113" TargetMode="External"/><Relationship Id="rId1352" Type="http://schemas.openxmlformats.org/officeDocument/2006/relationships/hyperlink" Target="https://doi.org/10.1016/j.agrformet.2003.12.001" TargetMode="External"/><Relationship Id="rId89" Type="http://schemas.openxmlformats.org/officeDocument/2006/relationships/hyperlink" Target="https://doi.org/10.1111/j.1365-2929.2006.02418.x" TargetMode="External"/><Relationship Id="rId154" Type="http://schemas.openxmlformats.org/officeDocument/2006/relationships/hyperlink" Target="https://doi.org/10.7717/peerj.17091" TargetMode="External"/><Relationship Id="rId361" Type="http://schemas.openxmlformats.org/officeDocument/2006/relationships/hyperlink" Target="https://doi.org/10.1111/1365-2664.13913" TargetMode="External"/><Relationship Id="rId599" Type="http://schemas.openxmlformats.org/officeDocument/2006/relationships/hyperlink" Target="https://businessofrecycling.wrap.ngo/recycling-guide/food-manufacturing/setting-up-recycling-for-your-food-or-drinks-manufacturing-business/how-to-conduct-a-waste-audit-for-the-food-and-drinks-manufacturing-sector" TargetMode="External"/><Relationship Id="rId1005" Type="http://schemas.openxmlformats.org/officeDocument/2006/relationships/hyperlink" Target="https://www.gov.wales/review-best-practice-soil-organic-carbon-monitoring" TargetMode="External"/><Relationship Id="rId1212" Type="http://schemas.openxmlformats.org/officeDocument/2006/relationships/hyperlink" Target="https://www.gov.wales/review-best-practice-soil-organic-carbon-monitoring" TargetMode="External"/><Relationship Id="rId459" Type="http://schemas.openxmlformats.org/officeDocument/2006/relationships/hyperlink" Target="https://doi.org/10.1016/j.ecolind.2021.107551" TargetMode="External"/><Relationship Id="rId666" Type="http://schemas.openxmlformats.org/officeDocument/2006/relationships/hyperlink" Target="https://www.ons.gov.uk/explore-local-statistics/" TargetMode="External"/><Relationship Id="rId873" Type="http://schemas.openxmlformats.org/officeDocument/2006/relationships/hyperlink" Target="https://doi.org/10.1111/jzo.12945" TargetMode="External"/><Relationship Id="rId1089" Type="http://schemas.openxmlformats.org/officeDocument/2006/relationships/hyperlink" Target="https://doi.org/10.1080/10106049.2024.2390512" TargetMode="External"/><Relationship Id="rId1296" Type="http://schemas.openxmlformats.org/officeDocument/2006/relationships/hyperlink" Target="https://doi.org/10.1007/978-981-15-0671-0_5" TargetMode="External"/><Relationship Id="rId16" Type="http://schemas.openxmlformats.org/officeDocument/2006/relationships/hyperlink" Target="https://doi.org/10.1111/j.1365-2929.2006.02418.x" TargetMode="External"/><Relationship Id="rId221" Type="http://schemas.openxmlformats.org/officeDocument/2006/relationships/hyperlink" Target="https://doi.org/10.7717/peerj.3940" TargetMode="External"/><Relationship Id="rId319" Type="http://schemas.openxmlformats.org/officeDocument/2006/relationships/hyperlink" Target="https://doi.org/10.1080/09524622.2023.2290715" TargetMode="External"/><Relationship Id="rId526" Type="http://schemas.openxmlformats.org/officeDocument/2006/relationships/hyperlink" Target="http://dx.doi.org/10.1658/1100-9233(2007)18%5b413:HRITMO%5d2.0.CO;2" TargetMode="External"/><Relationship Id="rId1156" Type="http://schemas.openxmlformats.org/officeDocument/2006/relationships/hyperlink" Target="https://doi.org/10.1109/JSTARS.2017.2711482" TargetMode="External"/><Relationship Id="rId1363" Type="http://schemas.openxmlformats.org/officeDocument/2006/relationships/hyperlink" Target="https://doi.org/10.1002/jpln.202200199" TargetMode="External"/><Relationship Id="rId733" Type="http://schemas.openxmlformats.org/officeDocument/2006/relationships/hyperlink" Target="https://doi.org/10.3390/f15111847" TargetMode="External"/><Relationship Id="rId940" Type="http://schemas.openxmlformats.org/officeDocument/2006/relationships/hyperlink" Target="https://doi.org/10.1111/1755-0998.12934" TargetMode="External"/><Relationship Id="rId1016" Type="http://schemas.openxmlformats.org/officeDocument/2006/relationships/hyperlink" Target="https://apps.worldagroforestry.org/soc/3.2.%20Cost-error%20analysis.html" TargetMode="External"/><Relationship Id="rId165" Type="http://schemas.openxmlformats.org/officeDocument/2006/relationships/hyperlink" Target="https://doi.org/10.1016/j.ecolind.2021.107551" TargetMode="External"/><Relationship Id="rId372" Type="http://schemas.openxmlformats.org/officeDocument/2006/relationships/hyperlink" Target="https://doi.org/10.1016/j.ecolind.2021.107551" TargetMode="External"/><Relationship Id="rId677" Type="http://schemas.openxmlformats.org/officeDocument/2006/relationships/hyperlink" Target="https://doi.org/10.1890/090153" TargetMode="External"/><Relationship Id="rId800" Type="http://schemas.openxmlformats.org/officeDocument/2006/relationships/hyperlink" Target="https://doi.org/10.1016/j.ufug.2017.12.001" TargetMode="External"/><Relationship Id="rId1223" Type="http://schemas.openxmlformats.org/officeDocument/2006/relationships/hyperlink" Target="https://apps.worldagroforestry.org/soc/3.2.%20Cost-error%20analysis.html" TargetMode="External"/><Relationship Id="rId232" Type="http://schemas.openxmlformats.org/officeDocument/2006/relationships/hyperlink" Target="https://doi.org/10.7717/peerj.17091" TargetMode="External"/><Relationship Id="rId884" Type="http://schemas.openxmlformats.org/officeDocument/2006/relationships/hyperlink" Target="https://doi.org/10.1098/rsos.221447" TargetMode="External"/><Relationship Id="rId27" Type="http://schemas.openxmlformats.org/officeDocument/2006/relationships/hyperlink" Target="https://doi.org/10.1111/j.1365-2929.2006.02418.x" TargetMode="External"/><Relationship Id="rId537" Type="http://schemas.openxmlformats.org/officeDocument/2006/relationships/hyperlink" Target="https://doi.org/10.1016/j.jenvman.2020.111773" TargetMode="External"/><Relationship Id="rId744" Type="http://schemas.openxmlformats.org/officeDocument/2006/relationships/hyperlink" Target="https://doi.org/10.1111/2041-210X.13113" TargetMode="External"/><Relationship Id="rId951" Type="http://schemas.openxmlformats.org/officeDocument/2006/relationships/hyperlink" Target="https://doi.org/10.3389/fmars.2019.00773" TargetMode="External"/><Relationship Id="rId1167" Type="http://schemas.openxmlformats.org/officeDocument/2006/relationships/hyperlink" Target="https://doi.org/10.1016/j.rse.2012.10.017" TargetMode="External"/><Relationship Id="rId1374" Type="http://schemas.openxmlformats.org/officeDocument/2006/relationships/hyperlink" Target="https://doi.org/10.1016/j.agrformet.2012.11.008" TargetMode="External"/><Relationship Id="rId80" Type="http://schemas.openxmlformats.org/officeDocument/2006/relationships/hyperlink" Target="https://doi.org/10.1111/j.1365-2929.2006.02418.x" TargetMode="External"/><Relationship Id="rId176" Type="http://schemas.openxmlformats.org/officeDocument/2006/relationships/hyperlink" Target="https://doi.org/10.1111/j.1557-9263.2006.00043.x" TargetMode="External"/><Relationship Id="rId383" Type="http://schemas.openxmlformats.org/officeDocument/2006/relationships/hyperlink" Target="https://doi.org/10.1111/j.1557-9263.2006.00043.x" TargetMode="External"/><Relationship Id="rId590" Type="http://schemas.openxmlformats.org/officeDocument/2006/relationships/hyperlink" Target="https://doi.org/10.1007/s11077-020-09382-3" TargetMode="External"/><Relationship Id="rId604" Type="http://schemas.openxmlformats.org/officeDocument/2006/relationships/hyperlink" Target="https://doi.org/10.1111/j.1365-2929.2006.02418.x" TargetMode="External"/><Relationship Id="rId811" Type="http://schemas.openxmlformats.org/officeDocument/2006/relationships/hyperlink" Target="https://doi.org/10.1038/s41597-024-03750-x" TargetMode="External"/><Relationship Id="rId1027" Type="http://schemas.openxmlformats.org/officeDocument/2006/relationships/hyperlink" Target="https://doi.org/10.1016/j.microc.2023.109465" TargetMode="External"/><Relationship Id="rId1234" Type="http://schemas.openxmlformats.org/officeDocument/2006/relationships/hyperlink" Target="https://www.google.com/url?sa=t&amp;source=web&amp;rct=j&amp;opi=89978449&amp;url=https://openknowledge.fao.org/server/api/core/bitstreams/17a0e476-f796-4608-a869-295a367c0b56/content&amp;ved=2ahUKEwjk_bf_4eyPAxVtVEEAHZwaLPYQFnoECBoQAQ&amp;usg=AOvVaw2z8tJlJgp5puUX97tHilcT" TargetMode="External"/><Relationship Id="rId243" Type="http://schemas.openxmlformats.org/officeDocument/2006/relationships/hyperlink" Target="https://doi.org/10.1111/2041-210X.13113" TargetMode="External"/><Relationship Id="rId450" Type="http://schemas.openxmlformats.org/officeDocument/2006/relationships/hyperlink" Target="https://doi.org/10.1111/2041-210X.13113" TargetMode="External"/><Relationship Id="rId688" Type="http://schemas.openxmlformats.org/officeDocument/2006/relationships/hyperlink" Target="https://www.gov.wales/review-best-practice-soil-organic-carbon-monitoring" TargetMode="External"/><Relationship Id="rId895" Type="http://schemas.openxmlformats.org/officeDocument/2006/relationships/hyperlink" Target="https://doi.org/10.1111/2041-210X.13369" TargetMode="External"/><Relationship Id="rId909" Type="http://schemas.openxmlformats.org/officeDocument/2006/relationships/hyperlink" Target="https://doi.org/10.2307/2996454" TargetMode="External"/><Relationship Id="rId1080" Type="http://schemas.openxmlformats.org/officeDocument/2006/relationships/hyperlink" Target="https://doi.org/10.3390/f11020241" TargetMode="External"/><Relationship Id="rId1301" Type="http://schemas.openxmlformats.org/officeDocument/2006/relationships/hyperlink" Target="https://doi.org/10.1007/s40974-025-00369-5" TargetMode="External"/><Relationship Id="rId38" Type="http://schemas.openxmlformats.org/officeDocument/2006/relationships/hyperlink" Target="https://doi.org/10.1111/j.1365-2929.2006.02418.x" TargetMode="External"/><Relationship Id="rId103" Type="http://schemas.openxmlformats.org/officeDocument/2006/relationships/hyperlink" Target="https://doi.org/10.1111/j.1365-2929.2006.02418.x" TargetMode="External"/><Relationship Id="rId310" Type="http://schemas.openxmlformats.org/officeDocument/2006/relationships/hyperlink" Target="https://doi.org/10.1371/journal.pone.0121333" TargetMode="External"/><Relationship Id="rId548" Type="http://schemas.openxmlformats.org/officeDocument/2006/relationships/hyperlink" Target="https://doi.org/10.1016/j.ijproman.2008.04.002" TargetMode="External"/><Relationship Id="rId755" Type="http://schemas.openxmlformats.org/officeDocument/2006/relationships/hyperlink" Target="http://dx.doi.org/10.1658/1100-9233(2007)18%5b413:HRITMO%5d2.0.CO;2" TargetMode="External"/><Relationship Id="rId962" Type="http://schemas.openxmlformats.org/officeDocument/2006/relationships/hyperlink" Target="https://in-situ.com/uk/parameters/chlorophyll-a?srsltid=AfmBOorcgqERU7k5Lvb64X3GkeDs1QGVa-vR0Tq_v8JboQiBVT9muRho" TargetMode="External"/><Relationship Id="rId1178" Type="http://schemas.openxmlformats.org/officeDocument/2006/relationships/hyperlink" Target="https://doi.org/10.3390/f15111847" TargetMode="External"/><Relationship Id="rId1385" Type="http://schemas.openxmlformats.org/officeDocument/2006/relationships/hyperlink" Target="https://doi.org/10.1016/j.atech.2025.100907" TargetMode="External"/><Relationship Id="rId91" Type="http://schemas.openxmlformats.org/officeDocument/2006/relationships/hyperlink" Target="https://doi.org/10.1111/j.1365-2929.2006.02418.x" TargetMode="External"/><Relationship Id="rId187" Type="http://schemas.openxmlformats.org/officeDocument/2006/relationships/hyperlink" Target="https://doi.org/10.3389/fmars.2020.00272" TargetMode="External"/><Relationship Id="rId394" Type="http://schemas.openxmlformats.org/officeDocument/2006/relationships/hyperlink" Target="https://doi.org/10.3389/fmars.2020.00272" TargetMode="External"/><Relationship Id="rId408" Type="http://schemas.openxmlformats.org/officeDocument/2006/relationships/hyperlink" Target="https://doi.org/10.3390/f15111847" TargetMode="External"/><Relationship Id="rId615" Type="http://schemas.openxmlformats.org/officeDocument/2006/relationships/hyperlink" Target="https://doi.org/10.1111/j.1365-2929.2006.02418.x" TargetMode="External"/><Relationship Id="rId822" Type="http://schemas.openxmlformats.org/officeDocument/2006/relationships/hyperlink" Target="https://doi.org/10.1038/s41597-024-03750-x" TargetMode="External"/><Relationship Id="rId1038" Type="http://schemas.openxmlformats.org/officeDocument/2006/relationships/hyperlink" Target="https://doi.org/10.3390/su141811538" TargetMode="External"/><Relationship Id="rId1245" Type="http://schemas.openxmlformats.org/officeDocument/2006/relationships/hyperlink" Target="https://doi.org/10.3390/rs13112139" TargetMode="External"/><Relationship Id="rId254" Type="http://schemas.openxmlformats.org/officeDocument/2006/relationships/hyperlink" Target="https://doi.org/10.1093/condor/104.1.59" TargetMode="External"/><Relationship Id="rId699" Type="http://schemas.openxmlformats.org/officeDocument/2006/relationships/hyperlink" Target="https://doi.org/10.1111/1365-2664.13913" TargetMode="External"/><Relationship Id="rId1091" Type="http://schemas.openxmlformats.org/officeDocument/2006/relationships/hyperlink" Target="https://doi.org/10.1016/j.ufug.2017.12.001" TargetMode="External"/><Relationship Id="rId1105" Type="http://schemas.openxmlformats.org/officeDocument/2006/relationships/hyperlink" Target="https://www.otthydromet.com/en/p-ott-svr-100-surface-velocity-radar/6315100490?utm_source=chatgpt.com" TargetMode="External"/><Relationship Id="rId1312" Type="http://schemas.openxmlformats.org/officeDocument/2006/relationships/hyperlink" Target="https://doi.org/10.1016/j.rsase.2025.101548" TargetMode="External"/><Relationship Id="rId49" Type="http://schemas.openxmlformats.org/officeDocument/2006/relationships/hyperlink" Target="https://doi.org/10.1111/j.1365-2929.2006.02418.x" TargetMode="External"/><Relationship Id="rId114" Type="http://schemas.openxmlformats.org/officeDocument/2006/relationships/hyperlink" Target="https://doi.org/10.1002/2688-8319.12378" TargetMode="External"/><Relationship Id="rId461" Type="http://schemas.openxmlformats.org/officeDocument/2006/relationships/hyperlink" Target="https://hub.jncc.gov.uk/assets/121b1d65-866a-47c9-ab71-7088c706770c" TargetMode="External"/><Relationship Id="rId559" Type="http://schemas.openxmlformats.org/officeDocument/2006/relationships/hyperlink" Target="https://doi.org/10.1016/j.marpol.2017.01.009" TargetMode="External"/><Relationship Id="rId766" Type="http://schemas.openxmlformats.org/officeDocument/2006/relationships/hyperlink" Target="https://doi.org/10.1016/j.actao.2020.103667" TargetMode="External"/><Relationship Id="rId1189" Type="http://schemas.openxmlformats.org/officeDocument/2006/relationships/hyperlink" Target="https://doi.org/10.3390/rs13112139" TargetMode="External"/><Relationship Id="rId1396" Type="http://schemas.openxmlformats.org/officeDocument/2006/relationships/hyperlink" Target="https://www.picarro.com/environmental/methane_soil_flux_estimates_using_mobile_and_high_precision_cavity_ringdown" TargetMode="External"/><Relationship Id="rId198" Type="http://schemas.openxmlformats.org/officeDocument/2006/relationships/hyperlink" Target="https://doi.org/10.1016/j.actao.2020.103667" TargetMode="External"/><Relationship Id="rId321" Type="http://schemas.openxmlformats.org/officeDocument/2006/relationships/hyperlink" Target="https://doi.org/10.1111/2041-210X.13113" TargetMode="External"/><Relationship Id="rId419" Type="http://schemas.openxmlformats.org/officeDocument/2006/relationships/hyperlink" Target="https://hub.jncc.gov.uk/assets/121b1d65-866a-47c9-ab71-7088c706770c" TargetMode="External"/><Relationship Id="rId626" Type="http://schemas.openxmlformats.org/officeDocument/2006/relationships/hyperlink" Target="https://doi.org/10.1111/j.1365-2929.2006.02418.x" TargetMode="External"/><Relationship Id="rId973" Type="http://schemas.openxmlformats.org/officeDocument/2006/relationships/hyperlink" Target="https://doi.org/10.3390/w11050981" TargetMode="External"/><Relationship Id="rId1049" Type="http://schemas.openxmlformats.org/officeDocument/2006/relationships/hyperlink" Target="https://www.mdpi.com/2073-445X/11/12/2129" TargetMode="External"/><Relationship Id="rId1256" Type="http://schemas.openxmlformats.org/officeDocument/2006/relationships/hyperlink" Target="https://doi.org/10.1111/conl.12161" TargetMode="External"/><Relationship Id="rId833" Type="http://schemas.openxmlformats.org/officeDocument/2006/relationships/hyperlink" Target="https://doi.org/10.3390/f11020241" TargetMode="External"/><Relationship Id="rId1116" Type="http://schemas.openxmlformats.org/officeDocument/2006/relationships/hyperlink" Target="https://doi.org/10.1016/j.actao.2020.103667" TargetMode="External"/><Relationship Id="rId265" Type="http://schemas.openxmlformats.org/officeDocument/2006/relationships/hyperlink" Target="https://doi.org/10.3389/fmars.2021.636902" TargetMode="External"/><Relationship Id="rId472" Type="http://schemas.openxmlformats.org/officeDocument/2006/relationships/hyperlink" Target="https://doi.org/10.3996/082013-JFWM-057" TargetMode="External"/><Relationship Id="rId900" Type="http://schemas.openxmlformats.org/officeDocument/2006/relationships/hyperlink" Target="https://doi.org/10.2326/osj.24.69" TargetMode="External"/><Relationship Id="rId1323" Type="http://schemas.openxmlformats.org/officeDocument/2006/relationships/hyperlink" Target="http://dx.doi.org/10.1007/978-90-481-8859-8_6" TargetMode="External"/><Relationship Id="rId125" Type="http://schemas.openxmlformats.org/officeDocument/2006/relationships/hyperlink" Target="http://dx.doi.org/10.1658/1100-9233(2007)18%5b413:HRITMO%5d2.0.CO;2" TargetMode="External"/><Relationship Id="rId332" Type="http://schemas.openxmlformats.org/officeDocument/2006/relationships/hyperlink" Target="https://hub.jncc.gov.uk/assets/121b1d65-866a-47c9-ab71-7088c706770c" TargetMode="External"/><Relationship Id="rId777" Type="http://schemas.openxmlformats.org/officeDocument/2006/relationships/hyperlink" Target="https://doi.org/10.1016/j.agrformet.2019.01.024" TargetMode="External"/><Relationship Id="rId984" Type="http://schemas.openxmlformats.org/officeDocument/2006/relationships/hyperlink" Target="https://doi.org/10.3390/rs12142258" TargetMode="External"/><Relationship Id="rId637" Type="http://schemas.openxmlformats.org/officeDocument/2006/relationships/hyperlink" Target="https://doi.org/10.1111/j.1365-2929.2006.02418.x" TargetMode="External"/><Relationship Id="rId844" Type="http://schemas.openxmlformats.org/officeDocument/2006/relationships/hyperlink" Target="http://dx.doi.org/10.1658/1100-9233(2007)18%5b413:HRITMO%5d2.0.CO;2" TargetMode="External"/><Relationship Id="rId1267" Type="http://schemas.openxmlformats.org/officeDocument/2006/relationships/hyperlink" Target="https://doi.org/10.1016/j.atech.2022.100147" TargetMode="External"/><Relationship Id="rId276" Type="http://schemas.openxmlformats.org/officeDocument/2006/relationships/hyperlink" Target="https://doi.org/10.1111/jzo.12945" TargetMode="External"/><Relationship Id="rId483" Type="http://schemas.openxmlformats.org/officeDocument/2006/relationships/hyperlink" Target="https://doi.org/10.3389/fmars.2020.00272" TargetMode="External"/><Relationship Id="rId690" Type="http://schemas.openxmlformats.org/officeDocument/2006/relationships/hyperlink" Target="https://www.gov.wales/review-best-practice-soil-organic-carbon-monitoring" TargetMode="External"/><Relationship Id="rId704" Type="http://schemas.openxmlformats.org/officeDocument/2006/relationships/hyperlink" Target="https://doi.org/10.1111/2041-210X.13113" TargetMode="External"/><Relationship Id="rId911" Type="http://schemas.openxmlformats.org/officeDocument/2006/relationships/hyperlink" Target="https://doi.org/10.2307/2996454" TargetMode="External"/><Relationship Id="rId1127" Type="http://schemas.openxmlformats.org/officeDocument/2006/relationships/hyperlink" Target="https://doi.org/10.1016/j.agrformet.2019.01.024" TargetMode="External"/><Relationship Id="rId1334" Type="http://schemas.openxmlformats.org/officeDocument/2006/relationships/hyperlink" Target="https://doi.org/10.3390/f14091852" TargetMode="External"/><Relationship Id="rId40" Type="http://schemas.openxmlformats.org/officeDocument/2006/relationships/hyperlink" Target="https://doi.org/10.1111/j.1365-2929.2006.02418.x" TargetMode="External"/><Relationship Id="rId136" Type="http://schemas.openxmlformats.org/officeDocument/2006/relationships/hyperlink" Target="https://doi.org/10.1002/rse2.209" TargetMode="External"/><Relationship Id="rId343" Type="http://schemas.openxmlformats.org/officeDocument/2006/relationships/hyperlink" Target="https://doi.org/10.3996/082013-JFWM-057" TargetMode="External"/><Relationship Id="rId550" Type="http://schemas.openxmlformats.org/officeDocument/2006/relationships/hyperlink" Target="https://doi.org/10.1016/j.ijproman.2008.04.002" TargetMode="External"/><Relationship Id="rId788" Type="http://schemas.openxmlformats.org/officeDocument/2006/relationships/hyperlink" Target="https://doi.org/10.1016/j.actao.2020.103667" TargetMode="External"/><Relationship Id="rId995" Type="http://schemas.openxmlformats.org/officeDocument/2006/relationships/hyperlink" Target="https://doi.org/10.1016/j.agrformet.2019.01.024" TargetMode="External"/><Relationship Id="rId1180" Type="http://schemas.openxmlformats.org/officeDocument/2006/relationships/hyperlink" Target="http://dx.doi.org/10.1658/1100-9233(2007)18%5b413:HRITMO%5d2.0.CO;2" TargetMode="External"/><Relationship Id="rId203" Type="http://schemas.openxmlformats.org/officeDocument/2006/relationships/hyperlink" Target="http://dx.doi.org/10.1658/1100-9233(2007)18%5b413:HRITMO%5d2.0.CO;2" TargetMode="External"/><Relationship Id="rId648" Type="http://schemas.openxmlformats.org/officeDocument/2006/relationships/hyperlink" Target="https://doi.org/10.1111/j.1365-2929.2006.02418.x" TargetMode="External"/><Relationship Id="rId855" Type="http://schemas.openxmlformats.org/officeDocument/2006/relationships/hyperlink" Target="https://doi.org/10.1016/j.ecoinf.2017.01.005" TargetMode="External"/><Relationship Id="rId1040" Type="http://schemas.openxmlformats.org/officeDocument/2006/relationships/hyperlink" Target="https://doi.org/10.3390/su141811538" TargetMode="External"/><Relationship Id="rId1278" Type="http://schemas.openxmlformats.org/officeDocument/2006/relationships/hyperlink" Target="https://www.bellflowsystems.co.uk/en/environmental-monitoring/water-quality-monitoring/multi-parameter-water-quality-sondes/?sortBy=p.price&amp;sortOrder=asc" TargetMode="External"/><Relationship Id="rId287" Type="http://schemas.openxmlformats.org/officeDocument/2006/relationships/hyperlink" Target="https://doi.org/10.3390/f15111847" TargetMode="External"/><Relationship Id="rId410" Type="http://schemas.openxmlformats.org/officeDocument/2006/relationships/hyperlink" Target="http://dx.doi.org/10.1658/1100-9233(2007)18%5b413:HRITMO%5d2.0.CO;2" TargetMode="External"/><Relationship Id="rId494" Type="http://schemas.openxmlformats.org/officeDocument/2006/relationships/hyperlink" Target="https://doi.org/10.1111/j.1365-2929.2006.02418.x" TargetMode="External"/><Relationship Id="rId508" Type="http://schemas.openxmlformats.org/officeDocument/2006/relationships/hyperlink" Target="https://doi.org/10.1111/j.1365-2929.2006.02418.x" TargetMode="External"/><Relationship Id="rId715" Type="http://schemas.openxmlformats.org/officeDocument/2006/relationships/hyperlink" Target="http://dx.doi.org/10.1658/1100-9233(2007)18%5b413:HRITMO%5d2.0.CO;2" TargetMode="External"/><Relationship Id="rId922" Type="http://schemas.openxmlformats.org/officeDocument/2006/relationships/hyperlink" Target="https://doi.org/10.1111/1755-0998.12934" TargetMode="External"/><Relationship Id="rId1138" Type="http://schemas.openxmlformats.org/officeDocument/2006/relationships/hyperlink" Target="https://doi.org/10.1111/1365-2656.13945" TargetMode="External"/><Relationship Id="rId1345" Type="http://schemas.openxmlformats.org/officeDocument/2006/relationships/hyperlink" Target="https://doi.org/10.1007/s13280-015-0713-1" TargetMode="External"/><Relationship Id="rId147" Type="http://schemas.openxmlformats.org/officeDocument/2006/relationships/hyperlink" Target="https://doi.org/10.1016/j.ecolind.2008.11.011" TargetMode="External"/><Relationship Id="rId354" Type="http://schemas.openxmlformats.org/officeDocument/2006/relationships/hyperlink" Target="https://doi.org/10.3389/fmars.2020.00272" TargetMode="External"/><Relationship Id="rId799" Type="http://schemas.openxmlformats.org/officeDocument/2006/relationships/hyperlink" Target="https://doi.org/10.1016/j.agrformet.2019.01.024" TargetMode="External"/><Relationship Id="rId1191" Type="http://schemas.openxmlformats.org/officeDocument/2006/relationships/hyperlink" Target="https://doi.org/10.3390/rs11232757" TargetMode="External"/><Relationship Id="rId1205" Type="http://schemas.openxmlformats.org/officeDocument/2006/relationships/hyperlink" Target="https://doi.org/10.1890/090153" TargetMode="External"/><Relationship Id="rId51" Type="http://schemas.openxmlformats.org/officeDocument/2006/relationships/hyperlink" Target="https://doi.org/10.1111/j.1365-2929.2006.02418.x" TargetMode="External"/><Relationship Id="rId561" Type="http://schemas.openxmlformats.org/officeDocument/2006/relationships/hyperlink" Target="https://doi.org/10.1111/conl.12161" TargetMode="External"/><Relationship Id="rId659" Type="http://schemas.openxmlformats.org/officeDocument/2006/relationships/hyperlink" Target="https://www.abraxasenergy.com/articles/utility-bill-analysis-methods/" TargetMode="External"/><Relationship Id="rId866" Type="http://schemas.openxmlformats.org/officeDocument/2006/relationships/hyperlink" Target="https://doi.org/10.1098/rsos.221447" TargetMode="External"/><Relationship Id="rId1289" Type="http://schemas.openxmlformats.org/officeDocument/2006/relationships/hyperlink" Target="https://www.google.com/url?sa=t&amp;source=web&amp;rct=j&amp;opi=89978449&amp;url=https://openknowledge.fao.org/server/api/core/bitstreams/207cecad-05ab-4c24-9041-c8e9330ebb75/content" TargetMode="External"/><Relationship Id="rId214" Type="http://schemas.openxmlformats.org/officeDocument/2006/relationships/hyperlink" Target="https://doi.org/10.1002/rse2.209" TargetMode="External"/><Relationship Id="rId298" Type="http://schemas.openxmlformats.org/officeDocument/2006/relationships/hyperlink" Target="https://doi.org/10.1080/00063657.2011.586415" TargetMode="External"/><Relationship Id="rId421" Type="http://schemas.openxmlformats.org/officeDocument/2006/relationships/hyperlink" Target="https://doi.org/10.1111/icad.12328" TargetMode="External"/><Relationship Id="rId519" Type="http://schemas.openxmlformats.org/officeDocument/2006/relationships/hyperlink" Target="https://doi.org/10.1016/j.socnet.2020.12.010" TargetMode="External"/><Relationship Id="rId1051" Type="http://schemas.openxmlformats.org/officeDocument/2006/relationships/hyperlink" Target="https://doi.org/10.1002/esp.5505" TargetMode="External"/><Relationship Id="rId1149" Type="http://schemas.openxmlformats.org/officeDocument/2006/relationships/hyperlink" Target="https://doi.org/10.1111/1365-2656.13945" TargetMode="External"/><Relationship Id="rId1356" Type="http://schemas.openxmlformats.org/officeDocument/2006/relationships/hyperlink" Target="https://doi.org/10.1016/j.agrformet.2003.12.001" TargetMode="External"/><Relationship Id="rId158" Type="http://schemas.openxmlformats.org/officeDocument/2006/relationships/hyperlink" Target="https://doi.org/10.3390/f15111847" TargetMode="External"/><Relationship Id="rId726" Type="http://schemas.openxmlformats.org/officeDocument/2006/relationships/hyperlink" Target="https://doi.org/10.1016/j.actao.2020.103667" TargetMode="External"/><Relationship Id="rId933" Type="http://schemas.openxmlformats.org/officeDocument/2006/relationships/hyperlink" Target="https://doi.org/10.1111/2041-210X.12598" TargetMode="External"/><Relationship Id="rId1009" Type="http://schemas.openxmlformats.org/officeDocument/2006/relationships/hyperlink" Target="https://doi.org/10.1890/090153" TargetMode="External"/><Relationship Id="rId62" Type="http://schemas.openxmlformats.org/officeDocument/2006/relationships/hyperlink" Target="https://doi.org/10.1111/j.1365-2929.2006.02418.x" TargetMode="External"/><Relationship Id="rId365" Type="http://schemas.openxmlformats.org/officeDocument/2006/relationships/hyperlink" Target="https://doi.org/10.3390/f15111847" TargetMode="External"/><Relationship Id="rId572" Type="http://schemas.openxmlformats.org/officeDocument/2006/relationships/hyperlink" Target="https://doi.org/10.1007/s11077-020-09382-3" TargetMode="External"/><Relationship Id="rId1216" Type="http://schemas.openxmlformats.org/officeDocument/2006/relationships/hyperlink" Target="https://www.gov.wales/review-best-practice-soil-organic-carbon-monitoring" TargetMode="External"/><Relationship Id="rId225" Type="http://schemas.openxmlformats.org/officeDocument/2006/relationships/hyperlink" Target="https://doi.org/10.1016/j.ecolind.2008.11.011" TargetMode="External"/><Relationship Id="rId432" Type="http://schemas.openxmlformats.org/officeDocument/2006/relationships/hyperlink" Target="https://doi.org/10.7717/peerj.3940" TargetMode="External"/><Relationship Id="rId877" Type="http://schemas.openxmlformats.org/officeDocument/2006/relationships/hyperlink" Target="https://doi.org/10.1111/2041-210X.13369" TargetMode="External"/><Relationship Id="rId1062" Type="http://schemas.openxmlformats.org/officeDocument/2006/relationships/hyperlink" Target="https://doi.org/10.3390/su141811538" TargetMode="External"/><Relationship Id="rId737" Type="http://schemas.openxmlformats.org/officeDocument/2006/relationships/hyperlink" Target="https://doi.org/10.3390/f15111847" TargetMode="External"/><Relationship Id="rId944" Type="http://schemas.openxmlformats.org/officeDocument/2006/relationships/hyperlink" Target="https://www.researchgate.net/publication/385922518_Assessment_of_the_Precision_and_Accuracy_of_At-Home_Multi-Test_Water_Quality_Test_Strips" TargetMode="External"/><Relationship Id="rId1367" Type="http://schemas.openxmlformats.org/officeDocument/2006/relationships/hyperlink" Target="https://doi.org/10.1002/jpln.202200199" TargetMode="External"/><Relationship Id="rId73" Type="http://schemas.openxmlformats.org/officeDocument/2006/relationships/hyperlink" Target="https://doi.org/10.1111/j.1365-2929.2006.02418.x" TargetMode="External"/><Relationship Id="rId169" Type="http://schemas.openxmlformats.org/officeDocument/2006/relationships/hyperlink" Target="https://hub.jncc.gov.uk/assets/121b1d65-866a-47c9-ab71-7088c706770c" TargetMode="External"/><Relationship Id="rId376" Type="http://schemas.openxmlformats.org/officeDocument/2006/relationships/hyperlink" Target="https://hub.jncc.gov.uk/assets/121b1d65-866a-47c9-ab71-7088c706770c" TargetMode="External"/><Relationship Id="rId583" Type="http://schemas.openxmlformats.org/officeDocument/2006/relationships/hyperlink" Target="https://doi.org/10.1016/j.marpol.2024.106238" TargetMode="External"/><Relationship Id="rId790" Type="http://schemas.openxmlformats.org/officeDocument/2006/relationships/hyperlink" Target="https://doi.org/10.1111/2041-210X.13113" TargetMode="External"/><Relationship Id="rId804" Type="http://schemas.openxmlformats.org/officeDocument/2006/relationships/hyperlink" Target="http://dx.doi.org/10.1093/jof/109.5.267" TargetMode="External"/><Relationship Id="rId1227" Type="http://schemas.openxmlformats.org/officeDocument/2006/relationships/hyperlink" Target="http://dx.doi.org/10.1007/978-90-481-8859-8_6" TargetMode="External"/><Relationship Id="rId4" Type="http://schemas.openxmlformats.org/officeDocument/2006/relationships/hyperlink" Target="https://doi.org/10.1111/j.1365-2929.2006.02418.x" TargetMode="External"/><Relationship Id="rId236" Type="http://schemas.openxmlformats.org/officeDocument/2006/relationships/hyperlink" Target="https://doi.org/10.1111/1365-2664.13913" TargetMode="External"/><Relationship Id="rId443" Type="http://schemas.openxmlformats.org/officeDocument/2006/relationships/hyperlink" Target="https://doi.org/10.7717/peerj.17091" TargetMode="External"/><Relationship Id="rId650" Type="http://schemas.openxmlformats.org/officeDocument/2006/relationships/hyperlink" Target="https://doi.org/10.1111/j.1365-2929.2006.02418.x" TargetMode="External"/><Relationship Id="rId888" Type="http://schemas.openxmlformats.org/officeDocument/2006/relationships/hyperlink" Target="https://doi.org/10.1186/s40317-016-0105-8" TargetMode="External"/><Relationship Id="rId1073" Type="http://schemas.openxmlformats.org/officeDocument/2006/relationships/hyperlink" Target="https://doi.org/10.3390/f15111847" TargetMode="External"/><Relationship Id="rId1280" Type="http://schemas.openxmlformats.org/officeDocument/2006/relationships/hyperlink" Target="https://doi.org/10.1016/j.measurement.2022.111039" TargetMode="External"/><Relationship Id="rId303" Type="http://schemas.openxmlformats.org/officeDocument/2006/relationships/hyperlink" Target="https://www.slrconsulting.com/insights/the-pitfalls-of-nest-searches-a-call-for-smarter-bird-management/" TargetMode="External"/><Relationship Id="rId748" Type="http://schemas.openxmlformats.org/officeDocument/2006/relationships/hyperlink" Target="https://doi.org/10.1111/2041-210X.13113" TargetMode="External"/><Relationship Id="rId955" Type="http://schemas.openxmlformats.org/officeDocument/2006/relationships/hyperlink" Target="https://doi.org/10.1109/JSTARS.2013.2242845" TargetMode="External"/><Relationship Id="rId1140" Type="http://schemas.openxmlformats.org/officeDocument/2006/relationships/hyperlink" Target="https://doi.org/10.3390/rs15102621" TargetMode="External"/><Relationship Id="rId1378" Type="http://schemas.openxmlformats.org/officeDocument/2006/relationships/hyperlink" Target="https://doi.org/10.1016/j.agrformet.2012.11.008" TargetMode="External"/><Relationship Id="rId84" Type="http://schemas.openxmlformats.org/officeDocument/2006/relationships/hyperlink" Target="https://doi.org/10.1111/j.1365-2929.2006.02418.x" TargetMode="External"/><Relationship Id="rId387" Type="http://schemas.openxmlformats.org/officeDocument/2006/relationships/hyperlink" Target="https://doi.org/10.3996/082013-JFWM-057" TargetMode="External"/><Relationship Id="rId510" Type="http://schemas.openxmlformats.org/officeDocument/2006/relationships/hyperlink" Target="https://doi.org/10.1111/j.1365-2929.2006.02418.x" TargetMode="External"/><Relationship Id="rId594" Type="http://schemas.openxmlformats.org/officeDocument/2006/relationships/hyperlink" Target="https://businessofrecycling.wrap.ngo/recycling-guide/food-manufacturing/setting-up-recycling-for-your-food-or-drinks-manufacturing-business/how-to-conduct-a-waste-audit-for-the-food-and-drinks-manufacturing-sector" TargetMode="External"/><Relationship Id="rId608" Type="http://schemas.openxmlformats.org/officeDocument/2006/relationships/hyperlink" Target="https://doi.org/10.1111/j.1365-2929.2006.02418.x" TargetMode="External"/><Relationship Id="rId815" Type="http://schemas.openxmlformats.org/officeDocument/2006/relationships/hyperlink" Target="https://doi.org/10.1038/s41597-024-03750-x" TargetMode="External"/><Relationship Id="rId1238" Type="http://schemas.openxmlformats.org/officeDocument/2006/relationships/hyperlink" Target="https://www.hannainstruments.co.uk/groline-care-solutions/2038-soil-test-kit" TargetMode="External"/><Relationship Id="rId247" Type="http://schemas.openxmlformats.org/officeDocument/2006/relationships/hyperlink" Target="https://doi.org/10.1016/j.ecolind.2021.107551" TargetMode="External"/><Relationship Id="rId899" Type="http://schemas.openxmlformats.org/officeDocument/2006/relationships/hyperlink" Target="https://doi.org/10.1007/978-3-319-93284-2_7" TargetMode="External"/><Relationship Id="rId1000" Type="http://schemas.openxmlformats.org/officeDocument/2006/relationships/hyperlink" Target="https://doi.org/10.1111/2041-210X.14062" TargetMode="External"/><Relationship Id="rId1084" Type="http://schemas.openxmlformats.org/officeDocument/2006/relationships/hyperlink" Target="https://doi.org/10.3390/rs11232757" TargetMode="External"/><Relationship Id="rId1305" Type="http://schemas.openxmlformats.org/officeDocument/2006/relationships/hyperlink" Target="https://doi.org/10.3390/rs13112139" TargetMode="External"/><Relationship Id="rId107" Type="http://schemas.openxmlformats.org/officeDocument/2006/relationships/hyperlink" Target="https://doi.org/10.1111/j.1365-2929.2006.02418.x" TargetMode="External"/><Relationship Id="rId454" Type="http://schemas.openxmlformats.org/officeDocument/2006/relationships/hyperlink" Target="https://doi.org/10.1111/2041-210X.13113" TargetMode="External"/><Relationship Id="rId661" Type="http://schemas.openxmlformats.org/officeDocument/2006/relationships/hyperlink" Target="https://cleanair.london/app/uploads/14973_AnnexeA-UKdomesticsolidfuelsuseestimatespaper.pdf" TargetMode="External"/><Relationship Id="rId759" Type="http://schemas.openxmlformats.org/officeDocument/2006/relationships/hyperlink" Target="http://dx.doi.org/10.1658/1100-9233(2007)18%5b413:HRITMO%5d2.0.CO;2" TargetMode="External"/><Relationship Id="rId966" Type="http://schemas.openxmlformats.org/officeDocument/2006/relationships/hyperlink" Target="https://doi.org/10.1016/j.watres.2003.10.033" TargetMode="External"/><Relationship Id="rId1291" Type="http://schemas.openxmlformats.org/officeDocument/2006/relationships/hyperlink" Target="https://doi.org/10.3390/molecules27134323" TargetMode="External"/><Relationship Id="rId1389" Type="http://schemas.openxmlformats.org/officeDocument/2006/relationships/hyperlink" Target="https://doi.org/10.1016/j.atech.2025.100907" TargetMode="External"/><Relationship Id="rId11" Type="http://schemas.openxmlformats.org/officeDocument/2006/relationships/hyperlink" Target="https://doi.org/10.1111/j.1365-2929.2006.02418.x" TargetMode="External"/><Relationship Id="rId314" Type="http://schemas.openxmlformats.org/officeDocument/2006/relationships/hyperlink" Target="https://doi.org/10.1016/j.fishres.2007.01.012" TargetMode="External"/><Relationship Id="rId398" Type="http://schemas.openxmlformats.org/officeDocument/2006/relationships/hyperlink" Target="https://books.google.co.uk/books?hl=en&amp;lr=&amp;id=Ux_4CwAAQBAJ&amp;oi=fnd&amp;pg=PA227&amp;ots=XeKFWfJBKe&amp;sig=6Z_BCdMrKim9zHuv5-vb4gbG5-0&amp;redir_esc=y" TargetMode="External"/><Relationship Id="rId521" Type="http://schemas.openxmlformats.org/officeDocument/2006/relationships/hyperlink" Target="https://doi.org/10.1016/j.socnet.2020.12.010" TargetMode="External"/><Relationship Id="rId619" Type="http://schemas.openxmlformats.org/officeDocument/2006/relationships/hyperlink" Target="https://doi.org/10.1111/j.1365-2929.2006.02418.x" TargetMode="External"/><Relationship Id="rId1151" Type="http://schemas.openxmlformats.org/officeDocument/2006/relationships/hyperlink" Target="https://doi.org/10.1016/j.ufug.2017.12.001" TargetMode="External"/><Relationship Id="rId1249" Type="http://schemas.openxmlformats.org/officeDocument/2006/relationships/hyperlink" Target="https://e38surveysolutions.com/pages/drone-lidar-price-guide?srsltid=AfmBOoqP2BBX_uqOpQjfvvK-CF9WcYQ3LEum4a9H5RNpMJq5t444DshY" TargetMode="External"/><Relationship Id="rId95" Type="http://schemas.openxmlformats.org/officeDocument/2006/relationships/hyperlink" Target="https://doi.org/10.1111/j.1365-2929.2006.02418.x" TargetMode="External"/><Relationship Id="rId160" Type="http://schemas.openxmlformats.org/officeDocument/2006/relationships/hyperlink" Target="http://dx.doi.org/10.1658/1100-9233(2007)18%5b413:HRITMO%5d2.0.CO;2" TargetMode="External"/><Relationship Id="rId826" Type="http://schemas.openxmlformats.org/officeDocument/2006/relationships/hyperlink" Target="https://doi.org/10.1016/j.crope.2023.11.001" TargetMode="External"/><Relationship Id="rId1011" Type="http://schemas.openxmlformats.org/officeDocument/2006/relationships/hyperlink" Target="https://www.gov.wales/review-best-practice-soil-organic-carbon-monitoring" TargetMode="External"/><Relationship Id="rId1109" Type="http://schemas.openxmlformats.org/officeDocument/2006/relationships/hyperlink" Target="https://doi.org/10.4133/JEEG7.1.37" TargetMode="External"/><Relationship Id="rId258" Type="http://schemas.openxmlformats.org/officeDocument/2006/relationships/hyperlink" Target="https://doi.org/10.1111/j.1557-9263.2006.00043.x" TargetMode="External"/><Relationship Id="rId465" Type="http://schemas.openxmlformats.org/officeDocument/2006/relationships/hyperlink" Target="https://doi.org/10.1093/condor/104.1.59" TargetMode="External"/><Relationship Id="rId672" Type="http://schemas.openxmlformats.org/officeDocument/2006/relationships/hyperlink" Target="https://doi.org/10.1890/090153" TargetMode="External"/><Relationship Id="rId1095" Type="http://schemas.openxmlformats.org/officeDocument/2006/relationships/hyperlink" Target="https://doi.org/10.1016/j.jhydrol.2024.130852" TargetMode="External"/><Relationship Id="rId1316" Type="http://schemas.openxmlformats.org/officeDocument/2006/relationships/hyperlink" Target="https://doi.org/10.1016/j.rsase.2025.101548" TargetMode="External"/><Relationship Id="rId22" Type="http://schemas.openxmlformats.org/officeDocument/2006/relationships/hyperlink" Target="https://doi.org/10.1111/j.1365-2929.2006.02418.x" TargetMode="External"/><Relationship Id="rId118" Type="http://schemas.openxmlformats.org/officeDocument/2006/relationships/hyperlink" Target="https://doi.org/10.1111/2041-210X.13113" TargetMode="External"/><Relationship Id="rId325" Type="http://schemas.openxmlformats.org/officeDocument/2006/relationships/hyperlink" Target="https://doi.org/10.1111/2041-210X.13113" TargetMode="External"/><Relationship Id="rId532" Type="http://schemas.openxmlformats.org/officeDocument/2006/relationships/hyperlink" Target="https://doi.org/10.1016/j.ijproman.2008.04.002" TargetMode="External"/><Relationship Id="rId977" Type="http://schemas.openxmlformats.org/officeDocument/2006/relationships/hyperlink" Target="https://doi.org/10.3390/w11050981" TargetMode="External"/><Relationship Id="rId1162" Type="http://schemas.openxmlformats.org/officeDocument/2006/relationships/hyperlink" Target="https://doi.org/10.1080/10106049.2024.2390512" TargetMode="External"/><Relationship Id="rId171" Type="http://schemas.openxmlformats.org/officeDocument/2006/relationships/hyperlink" Target="https://doi.org/10.1111/icad.12328" TargetMode="External"/><Relationship Id="rId837" Type="http://schemas.openxmlformats.org/officeDocument/2006/relationships/hyperlink" Target="https://doi.org/10.1016/j.ecoinf.2017.01.005" TargetMode="External"/><Relationship Id="rId1022" Type="http://schemas.openxmlformats.org/officeDocument/2006/relationships/hyperlink" Target="https://doi.org/10.1016/S1002-0160(18)60034-7" TargetMode="External"/><Relationship Id="rId269" Type="http://schemas.openxmlformats.org/officeDocument/2006/relationships/hyperlink" Target="https://doi.org/10.3389/fmars.2020.00272" TargetMode="External"/><Relationship Id="rId476" Type="http://schemas.openxmlformats.org/officeDocument/2006/relationships/hyperlink" Target="https://doi.org/10.3389/fmars.2021.636902" TargetMode="External"/><Relationship Id="rId683" Type="http://schemas.openxmlformats.org/officeDocument/2006/relationships/hyperlink" Target="https://www.gov.wales/review-best-practice-soil-organic-carbon-monitoring" TargetMode="External"/><Relationship Id="rId890" Type="http://schemas.openxmlformats.org/officeDocument/2006/relationships/hyperlink" Target="https://doi.org/10.1098/rsos.231152" TargetMode="External"/><Relationship Id="rId904" Type="http://schemas.openxmlformats.org/officeDocument/2006/relationships/hyperlink" Target="https://doi.org/10.1007/978-3-319-93284-2_7" TargetMode="External"/><Relationship Id="rId1327" Type="http://schemas.openxmlformats.org/officeDocument/2006/relationships/hyperlink" Target="https://www.researchgate.net/publication/330262373_Money_To_Burn_Do_you_Know_What_is_Costs_to_Run_your_Atomic_Spectroscopy_instrumentation" TargetMode="External"/><Relationship Id="rId33" Type="http://schemas.openxmlformats.org/officeDocument/2006/relationships/hyperlink" Target="https://doi.org/10.1111/j.1365-2929.2006.02418.x" TargetMode="External"/><Relationship Id="rId129" Type="http://schemas.openxmlformats.org/officeDocument/2006/relationships/hyperlink" Target="https://hub.jncc.gov.uk/assets/121b1d65-866a-47c9-ab71-7088c706770c" TargetMode="External"/><Relationship Id="rId336" Type="http://schemas.openxmlformats.org/officeDocument/2006/relationships/hyperlink" Target="https://doi.org/10.1093/condor/104.1.59" TargetMode="External"/><Relationship Id="rId543" Type="http://schemas.openxmlformats.org/officeDocument/2006/relationships/hyperlink" Target="https://doi.org/10.1016/j.jenvman.2020.111773" TargetMode="External"/><Relationship Id="rId988" Type="http://schemas.openxmlformats.org/officeDocument/2006/relationships/hyperlink" Target="https://www.mdpi.com/2073-4441/11/5/981" TargetMode="External"/><Relationship Id="rId1173" Type="http://schemas.openxmlformats.org/officeDocument/2006/relationships/hyperlink" Target="https://doi.org/10.1111/2041-210X.13113" TargetMode="External"/><Relationship Id="rId1380" Type="http://schemas.openxmlformats.org/officeDocument/2006/relationships/hyperlink" Target="https://doi.org/10.1016/j.agrformet.2003.12.001" TargetMode="External"/><Relationship Id="rId182" Type="http://schemas.openxmlformats.org/officeDocument/2006/relationships/hyperlink" Target="https://doi.org/10.7717/peerj.3940" TargetMode="External"/><Relationship Id="rId403" Type="http://schemas.openxmlformats.org/officeDocument/2006/relationships/hyperlink" Target="https://doi.org/10.1002/2688-8319.12378" TargetMode="External"/><Relationship Id="rId750" Type="http://schemas.openxmlformats.org/officeDocument/2006/relationships/hyperlink" Target="https://doi.org/10.1016/j.actao.2020.103667" TargetMode="External"/><Relationship Id="rId848" Type="http://schemas.openxmlformats.org/officeDocument/2006/relationships/hyperlink" Target="http://dx.doi.org/10.1658/1100-9233(2007)18%5b413:HRITMO%5d2.0.CO;2" TargetMode="External"/><Relationship Id="rId1033" Type="http://schemas.openxmlformats.org/officeDocument/2006/relationships/hyperlink" Target="https://doi.org/10.1016/j.jhydrol.2012.06.021" TargetMode="External"/><Relationship Id="rId487" Type="http://schemas.openxmlformats.org/officeDocument/2006/relationships/hyperlink" Target="https://doi.org/10.1111/2041-210X.13101" TargetMode="External"/><Relationship Id="rId610" Type="http://schemas.openxmlformats.org/officeDocument/2006/relationships/hyperlink" Target="https://doi.org/10.1111/j.1365-2929.2006.02418.x" TargetMode="External"/><Relationship Id="rId694" Type="http://schemas.openxmlformats.org/officeDocument/2006/relationships/hyperlink" Target="https://apps.worldagroforestry.org/soc/3.2.%20Cost-error%20analysis.html" TargetMode="External"/><Relationship Id="rId708" Type="http://schemas.openxmlformats.org/officeDocument/2006/relationships/hyperlink" Target="https://doi.org/10.1111/2041-210X.13113" TargetMode="External"/><Relationship Id="rId915" Type="http://schemas.openxmlformats.org/officeDocument/2006/relationships/hyperlink" Target="https://doi.org/10.1111/2041-210X.12598" TargetMode="External"/><Relationship Id="rId1240" Type="http://schemas.openxmlformats.org/officeDocument/2006/relationships/hyperlink" Target="http://dx.doi.org/10.30880/jst.2022.14.02.004" TargetMode="External"/><Relationship Id="rId1338" Type="http://schemas.openxmlformats.org/officeDocument/2006/relationships/hyperlink" Target="https://doi.org/10.1093/aob/mcaf093" TargetMode="External"/><Relationship Id="rId347" Type="http://schemas.openxmlformats.org/officeDocument/2006/relationships/hyperlink" Target="https://doi.org/10.3389/fmars.2021.636902" TargetMode="External"/><Relationship Id="rId999" Type="http://schemas.openxmlformats.org/officeDocument/2006/relationships/hyperlink" Target="https://appliedecologistsblog.com/2023/09/01/cheap-microclimate-sensor-networks-in-the-wild/" TargetMode="External"/><Relationship Id="rId1100" Type="http://schemas.openxmlformats.org/officeDocument/2006/relationships/hyperlink" Target="https://doi.org/10.1002/esp.1497" TargetMode="External"/><Relationship Id="rId1184" Type="http://schemas.openxmlformats.org/officeDocument/2006/relationships/hyperlink" Target="https://doi.org/10.1016/j.ufug.2017.12.001" TargetMode="External"/><Relationship Id="rId44" Type="http://schemas.openxmlformats.org/officeDocument/2006/relationships/hyperlink" Target="https://doi.org/10.1111/j.1365-2929.2006.02418.x" TargetMode="External"/><Relationship Id="rId554" Type="http://schemas.openxmlformats.org/officeDocument/2006/relationships/hyperlink" Target="https://doi.org/10.1016/j.ijproman.2008.04.002" TargetMode="External"/><Relationship Id="rId761" Type="http://schemas.openxmlformats.org/officeDocument/2006/relationships/hyperlink" Target="https://doi.org/10.3390/f15111847" TargetMode="External"/><Relationship Id="rId859" Type="http://schemas.openxmlformats.org/officeDocument/2006/relationships/hyperlink" Target="https://doi.org/10.1111/2041-210X.13369" TargetMode="External"/><Relationship Id="rId1391" Type="http://schemas.openxmlformats.org/officeDocument/2006/relationships/hyperlink" Target="https://doi.org/10.1016/j.agrformet.2012.11.008" TargetMode="External"/><Relationship Id="rId193" Type="http://schemas.openxmlformats.org/officeDocument/2006/relationships/hyperlink" Target="https://doi.org/10.7717/peerj.17091" TargetMode="External"/><Relationship Id="rId207" Type="http://schemas.openxmlformats.org/officeDocument/2006/relationships/hyperlink" Target="https://hub.jncc.gov.uk/assets/121b1d65-866a-47c9-ab71-7088c706770c" TargetMode="External"/><Relationship Id="rId414" Type="http://schemas.openxmlformats.org/officeDocument/2006/relationships/hyperlink" Target="http://dx.doi.org/10.1658/1100-9233(2007)18%5b413:HRITMO%5d2.0.CO;2" TargetMode="External"/><Relationship Id="rId498" Type="http://schemas.openxmlformats.org/officeDocument/2006/relationships/hyperlink" Target="https://doi.org/10.1111/j.1365-2929.2006.02418.x" TargetMode="External"/><Relationship Id="rId621" Type="http://schemas.openxmlformats.org/officeDocument/2006/relationships/hyperlink" Target="https://doi.org/10.1111/j.1365-2929.2006.02418.x" TargetMode="External"/><Relationship Id="rId1044" Type="http://schemas.openxmlformats.org/officeDocument/2006/relationships/hyperlink" Target="https://doi.org/10.3390/su141811538" TargetMode="External"/><Relationship Id="rId1251" Type="http://schemas.openxmlformats.org/officeDocument/2006/relationships/hyperlink" Target="http://dx.doi.org/10.1093/jof/109.5.267" TargetMode="External"/><Relationship Id="rId1349" Type="http://schemas.openxmlformats.org/officeDocument/2006/relationships/hyperlink" Target="https://doi.org/10.1002/2688-8319.12378" TargetMode="External"/><Relationship Id="rId260" Type="http://schemas.openxmlformats.org/officeDocument/2006/relationships/hyperlink" Target="https://www.slrconsulting.com/insights/the-pitfalls-of-nest-searches-a-call-for-smarter-bird-management/" TargetMode="External"/><Relationship Id="rId719" Type="http://schemas.openxmlformats.org/officeDocument/2006/relationships/hyperlink" Target="http://dx.doi.org/10.1658/1100-9233(2007)18%5b413:HRITMO%5d2.0.CO;2" TargetMode="External"/><Relationship Id="rId926" Type="http://schemas.openxmlformats.org/officeDocument/2006/relationships/hyperlink" Target="https://doi.org/10.1111/1755-0998.13543" TargetMode="External"/><Relationship Id="rId1111" Type="http://schemas.openxmlformats.org/officeDocument/2006/relationships/hyperlink" Target="https://sandhurstinstruments.co.uk/product/dip-meters/" TargetMode="External"/><Relationship Id="rId55" Type="http://schemas.openxmlformats.org/officeDocument/2006/relationships/hyperlink" Target="https://doi.org/10.1111/j.1365-2929.2006.02418.x" TargetMode="External"/><Relationship Id="rId120" Type="http://schemas.openxmlformats.org/officeDocument/2006/relationships/hyperlink" Target="https://doi.org/10.1016/j.actao.2020.103667" TargetMode="External"/><Relationship Id="rId358" Type="http://schemas.openxmlformats.org/officeDocument/2006/relationships/hyperlink" Target="https://doi.org/10.1111/jzo.12945" TargetMode="External"/><Relationship Id="rId565" Type="http://schemas.openxmlformats.org/officeDocument/2006/relationships/hyperlink" Target="https://doi.org/10.1007/s40974-025-00369-5" TargetMode="External"/><Relationship Id="rId772" Type="http://schemas.openxmlformats.org/officeDocument/2006/relationships/hyperlink" Target="https://doi.org/10.3390/f11020241" TargetMode="External"/><Relationship Id="rId1195" Type="http://schemas.openxmlformats.org/officeDocument/2006/relationships/hyperlink" Target="https://doi.org/10.1016/j.crope.2023.11.001" TargetMode="External"/><Relationship Id="rId1209" Type="http://schemas.openxmlformats.org/officeDocument/2006/relationships/hyperlink" Target="https://www.gov.wales/review-best-practice-soil-organic-carbon-monitoring" TargetMode="External"/><Relationship Id="rId218" Type="http://schemas.openxmlformats.org/officeDocument/2006/relationships/hyperlink" Target="https://doi.org/10.3996/082013-JFWM-057" TargetMode="External"/><Relationship Id="rId425" Type="http://schemas.openxmlformats.org/officeDocument/2006/relationships/hyperlink" Target="https://doi.org/10.1002/rse2.209" TargetMode="External"/><Relationship Id="rId632" Type="http://schemas.openxmlformats.org/officeDocument/2006/relationships/hyperlink" Target="https://doi.org/10.1111/j.1365-2929.2006.02418.x" TargetMode="External"/><Relationship Id="rId1055" Type="http://schemas.openxmlformats.org/officeDocument/2006/relationships/hyperlink" Target="https://doi.org/10.1016/j.catena.2017.12.008" TargetMode="External"/><Relationship Id="rId1262" Type="http://schemas.openxmlformats.org/officeDocument/2006/relationships/hyperlink" Target="https://doi.org/10.5194/essd-14-823-2022" TargetMode="External"/><Relationship Id="rId271" Type="http://schemas.openxmlformats.org/officeDocument/2006/relationships/hyperlink" Target="https://doi.org/10.1016/j.fishres.2007.01.012" TargetMode="External"/><Relationship Id="rId937" Type="http://schemas.openxmlformats.org/officeDocument/2006/relationships/hyperlink" Target="https://doi.org/10.1111/1755-0998.12934" TargetMode="External"/><Relationship Id="rId1122" Type="http://schemas.openxmlformats.org/officeDocument/2006/relationships/hyperlink" Target="https://doi.org/10.3390/f11020241" TargetMode="External"/><Relationship Id="rId66" Type="http://schemas.openxmlformats.org/officeDocument/2006/relationships/hyperlink" Target="https://doi.org/10.1111/j.1365-2929.2006.02418.x" TargetMode="External"/><Relationship Id="rId131" Type="http://schemas.openxmlformats.org/officeDocument/2006/relationships/hyperlink" Target="https://doi.org/10.1016/j.biocon.2020.108545" TargetMode="External"/><Relationship Id="rId369" Type="http://schemas.openxmlformats.org/officeDocument/2006/relationships/hyperlink" Target="https://doi.org/10.3390/f15111847" TargetMode="External"/><Relationship Id="rId576" Type="http://schemas.openxmlformats.org/officeDocument/2006/relationships/hyperlink" Target="https://doi.org/10.1007/s11077-020-09382-3" TargetMode="External"/><Relationship Id="rId783" Type="http://schemas.openxmlformats.org/officeDocument/2006/relationships/hyperlink" Target="https://doi.org/10.1016/j.ufug.2017.12.001" TargetMode="External"/><Relationship Id="rId990" Type="http://schemas.openxmlformats.org/officeDocument/2006/relationships/hyperlink" Target="https://doi.org/10.2166/nh.2015.109" TargetMode="External"/><Relationship Id="rId229" Type="http://schemas.openxmlformats.org/officeDocument/2006/relationships/hyperlink" Target="https://doi.org/10.3389/fmars.2020.00272" TargetMode="External"/><Relationship Id="rId436" Type="http://schemas.openxmlformats.org/officeDocument/2006/relationships/hyperlink" Target="https://doi.org/10.1016/j.ecolind.2008.11.011" TargetMode="External"/><Relationship Id="rId643" Type="http://schemas.openxmlformats.org/officeDocument/2006/relationships/hyperlink" Target="https://doi.org/10.1111/j.1365-2929.2006.02418.x" TargetMode="External"/><Relationship Id="rId1066" Type="http://schemas.openxmlformats.org/officeDocument/2006/relationships/hyperlink" Target="https://doi.org/10.1139/cjss-2016-0019" TargetMode="External"/><Relationship Id="rId1273" Type="http://schemas.openxmlformats.org/officeDocument/2006/relationships/hyperlink" Target="http://dx.doi.org/10.9734/AJEE/2017/36987" TargetMode="External"/><Relationship Id="rId850" Type="http://schemas.openxmlformats.org/officeDocument/2006/relationships/hyperlink" Target="https://doi.org/10.1109/JSTARS.2017.2711482" TargetMode="External"/><Relationship Id="rId948" Type="http://schemas.openxmlformats.org/officeDocument/2006/relationships/hyperlink" Target="https://doi.org/10.1080/09064710.2014.966751" TargetMode="External"/><Relationship Id="rId1133" Type="http://schemas.openxmlformats.org/officeDocument/2006/relationships/hyperlink" Target="https://doi.org/10.1016/j.ufug.2017.12.001" TargetMode="External"/><Relationship Id="rId77" Type="http://schemas.openxmlformats.org/officeDocument/2006/relationships/hyperlink" Target="https://doi.org/10.1111/j.1365-2929.2006.02418.x" TargetMode="External"/><Relationship Id="rId282" Type="http://schemas.openxmlformats.org/officeDocument/2006/relationships/hyperlink" Target="https://doi.org/10.1111/2041-210X.13113" TargetMode="External"/><Relationship Id="rId503" Type="http://schemas.openxmlformats.org/officeDocument/2006/relationships/hyperlink" Target="https://doi.org/10.1111/j.1365-2929.2006.02418.x" TargetMode="External"/><Relationship Id="rId587" Type="http://schemas.openxmlformats.org/officeDocument/2006/relationships/hyperlink" Target="https://doi.org/10.1016/j.marpol.2024.106238" TargetMode="External"/><Relationship Id="rId710" Type="http://schemas.openxmlformats.org/officeDocument/2006/relationships/hyperlink" Target="https://doi.org/10.1016/j.actao.2020.103667" TargetMode="External"/><Relationship Id="rId808" Type="http://schemas.openxmlformats.org/officeDocument/2006/relationships/hyperlink" Target="https://doi.org/10.1016/j.agrformet.2019.01.024" TargetMode="External"/><Relationship Id="rId1340" Type="http://schemas.openxmlformats.org/officeDocument/2006/relationships/hyperlink" Target="https://doi.org/10.1111/j.1365-2929.2006.02418.x" TargetMode="External"/><Relationship Id="rId8" Type="http://schemas.openxmlformats.org/officeDocument/2006/relationships/hyperlink" Target="https://doi.org/10.1111/j.1365-2929.2006.02418.x" TargetMode="External"/><Relationship Id="rId142" Type="http://schemas.openxmlformats.org/officeDocument/2006/relationships/hyperlink" Target="https://doi.org/10.1016/j.ecolind.2021.108305" TargetMode="External"/><Relationship Id="rId447" Type="http://schemas.openxmlformats.org/officeDocument/2006/relationships/hyperlink" Target="https://doi.org/10.1111/1365-2664.13913" TargetMode="External"/><Relationship Id="rId794" Type="http://schemas.openxmlformats.org/officeDocument/2006/relationships/hyperlink" Target="https://doi.org/10.3390/f11020241" TargetMode="External"/><Relationship Id="rId1077" Type="http://schemas.openxmlformats.org/officeDocument/2006/relationships/hyperlink" Target="https://doi.org/10.3390/f15111847" TargetMode="External"/><Relationship Id="rId1200" Type="http://schemas.openxmlformats.org/officeDocument/2006/relationships/hyperlink" Target="https://doi.org/10.1890/090153" TargetMode="External"/><Relationship Id="rId654" Type="http://schemas.openxmlformats.org/officeDocument/2006/relationships/hyperlink" Target="https://doi.org/10.1111/j.1365-2929.2006.02418.x" TargetMode="External"/><Relationship Id="rId861" Type="http://schemas.openxmlformats.org/officeDocument/2006/relationships/hyperlink" Target="https://doi.org/10.1098/rstb.2010.0087" TargetMode="External"/><Relationship Id="rId959" Type="http://schemas.openxmlformats.org/officeDocument/2006/relationships/hyperlink" Target="https://doi.org/10.1016/0167-7012(94)90026-4" TargetMode="External"/><Relationship Id="rId1284" Type="http://schemas.openxmlformats.org/officeDocument/2006/relationships/hyperlink" Target="https://www.forestresearch.gov.uk/services/plant-tree-soil-and-water-testing/chemical-analysis-laboratory/" TargetMode="External"/><Relationship Id="rId293" Type="http://schemas.openxmlformats.org/officeDocument/2006/relationships/hyperlink" Target="https://hub.jncc.gov.uk/assets/121b1d65-866a-47c9-ab71-7088c706770c" TargetMode="External"/><Relationship Id="rId307" Type="http://schemas.openxmlformats.org/officeDocument/2006/relationships/hyperlink" Target="https://doi.org/10.7717/peerj.3940" TargetMode="External"/><Relationship Id="rId514" Type="http://schemas.openxmlformats.org/officeDocument/2006/relationships/hyperlink" Target="https://doi.org/10.1002/widm.1256" TargetMode="External"/><Relationship Id="rId721" Type="http://schemas.openxmlformats.org/officeDocument/2006/relationships/hyperlink" Target="https://doi.org/10.3390/f15111847" TargetMode="External"/><Relationship Id="rId1144" Type="http://schemas.openxmlformats.org/officeDocument/2006/relationships/hyperlink" Target="http://dx.doi.org/10.1658/1100-9233(2007)18%5b413:HRITMO%5d2.0.CO;2" TargetMode="External"/><Relationship Id="rId1351" Type="http://schemas.openxmlformats.org/officeDocument/2006/relationships/hyperlink" Target="https://doi.org/10.1002/jpln.202200199" TargetMode="External"/><Relationship Id="rId88" Type="http://schemas.openxmlformats.org/officeDocument/2006/relationships/hyperlink" Target="https://doi.org/10.1111/j.1365-2929.2006.02418.x" TargetMode="External"/><Relationship Id="rId153" Type="http://schemas.openxmlformats.org/officeDocument/2006/relationships/hyperlink" Target="http://dx.doi.org/10.1071/WR15029" TargetMode="External"/><Relationship Id="rId360" Type="http://schemas.openxmlformats.org/officeDocument/2006/relationships/hyperlink" Target="https://doi.org/10.1002/2688-8319.12378" TargetMode="External"/><Relationship Id="rId598" Type="http://schemas.openxmlformats.org/officeDocument/2006/relationships/hyperlink" Target="https://businessofrecycling.wrap.ngo/recycling-guide/food-manufacturing/setting-up-recycling-for-your-food-or-drinks-manufacturing-business/how-to-conduct-a-waste-audit-for-the-food-and-drinks-manufacturing-sector" TargetMode="External"/><Relationship Id="rId819" Type="http://schemas.openxmlformats.org/officeDocument/2006/relationships/hyperlink" Target="https://doi.org/10.1016/j.agrformet.2019.01.024" TargetMode="External"/><Relationship Id="rId1004" Type="http://schemas.openxmlformats.org/officeDocument/2006/relationships/hyperlink" Target="https://www.gov.wales/review-best-practice-soil-organic-carbon-monitoring" TargetMode="External"/><Relationship Id="rId1211" Type="http://schemas.openxmlformats.org/officeDocument/2006/relationships/hyperlink" Target="https://www.gov.wales/review-best-practice-soil-organic-carbon-monitoring" TargetMode="External"/><Relationship Id="rId220" Type="http://schemas.openxmlformats.org/officeDocument/2006/relationships/hyperlink" Target="https://doi.org/10.1016/j.ecolind.2021.108305" TargetMode="External"/><Relationship Id="rId458" Type="http://schemas.openxmlformats.org/officeDocument/2006/relationships/hyperlink" Target="https://doi.org/10.1016/j.ecolind.2021.107551" TargetMode="External"/><Relationship Id="rId665" Type="http://schemas.openxmlformats.org/officeDocument/2006/relationships/hyperlink" Target="https://www.ons.gov.uk/explore-local-statistics/" TargetMode="External"/><Relationship Id="rId872" Type="http://schemas.openxmlformats.org/officeDocument/2006/relationships/hyperlink" Target="https://doi.org/10.1098/rsos.231152" TargetMode="External"/><Relationship Id="rId1088" Type="http://schemas.openxmlformats.org/officeDocument/2006/relationships/hyperlink" Target="https://doi.org/10.1038/s41597-024-03750-x" TargetMode="External"/><Relationship Id="rId1295" Type="http://schemas.openxmlformats.org/officeDocument/2006/relationships/hyperlink" Target="https://doi.org/10.1007/978-981-15-0671-0_5" TargetMode="External"/><Relationship Id="rId1309" Type="http://schemas.openxmlformats.org/officeDocument/2006/relationships/hyperlink" Target="https://doi.org/10.3390/f14091852" TargetMode="External"/><Relationship Id="rId15" Type="http://schemas.openxmlformats.org/officeDocument/2006/relationships/hyperlink" Target="https://doi.org/10.1111/j.1365-2929.2006.02418.x" TargetMode="External"/><Relationship Id="rId318" Type="http://schemas.openxmlformats.org/officeDocument/2006/relationships/hyperlink" Target="https://doi.org/10.7717/peerj.17091" TargetMode="External"/><Relationship Id="rId525" Type="http://schemas.openxmlformats.org/officeDocument/2006/relationships/hyperlink" Target="https://doi.org/10.1016/j.actao.2020.103667" TargetMode="External"/><Relationship Id="rId732" Type="http://schemas.openxmlformats.org/officeDocument/2006/relationships/hyperlink" Target="https://doi.org/10.1111/2041-210X.13113" TargetMode="External"/><Relationship Id="rId1155" Type="http://schemas.openxmlformats.org/officeDocument/2006/relationships/hyperlink" Target="https://doi.org/10.1109/JSTARS.2017.2711482" TargetMode="External"/><Relationship Id="rId1362" Type="http://schemas.openxmlformats.org/officeDocument/2006/relationships/hyperlink" Target="https://doi.org/10.1016/j.agrformet.2012.11.008" TargetMode="External"/><Relationship Id="rId99" Type="http://schemas.openxmlformats.org/officeDocument/2006/relationships/hyperlink" Target="https://doi.org/10.1111/j.1365-2929.2006.02418.x" TargetMode="External"/><Relationship Id="rId164" Type="http://schemas.openxmlformats.org/officeDocument/2006/relationships/hyperlink" Target="http://dx.doi.org/10.1658/1100-9233(2007)18%5b413:HRITMO%5d2.0.CO;2" TargetMode="External"/><Relationship Id="rId371" Type="http://schemas.openxmlformats.org/officeDocument/2006/relationships/hyperlink" Target="http://dx.doi.org/10.1658/1100-9233(2007)18%5b413:HRITMO%5d2.0.CO;2" TargetMode="External"/><Relationship Id="rId1015" Type="http://schemas.openxmlformats.org/officeDocument/2006/relationships/hyperlink" Target="https://www.gov.wales/review-best-practice-soil-organic-carbon-monitoring" TargetMode="External"/><Relationship Id="rId1222" Type="http://schemas.openxmlformats.org/officeDocument/2006/relationships/hyperlink" Target="https://apps.worldagroforestry.org/soc/3.2.%20Cost-error%20analysis.html" TargetMode="External"/><Relationship Id="rId469" Type="http://schemas.openxmlformats.org/officeDocument/2006/relationships/hyperlink" Target="https://doi.org/10.1111/j.1557-9263.2006.00043.x" TargetMode="External"/><Relationship Id="rId676" Type="http://schemas.openxmlformats.org/officeDocument/2006/relationships/hyperlink" Target="https://doi.org/10.1890/090153" TargetMode="External"/><Relationship Id="rId883" Type="http://schemas.openxmlformats.org/officeDocument/2006/relationships/hyperlink" Target="https://doi.org/10.1002/wsb.697" TargetMode="External"/><Relationship Id="rId1099" Type="http://schemas.openxmlformats.org/officeDocument/2006/relationships/hyperlink" Target="https://doi.org/10.1111/1752-1688.13053" TargetMode="External"/><Relationship Id="rId26" Type="http://schemas.openxmlformats.org/officeDocument/2006/relationships/hyperlink" Target="https://doi.org/10.1111/j.1365-2929.2006.02418.x" TargetMode="External"/><Relationship Id="rId231" Type="http://schemas.openxmlformats.org/officeDocument/2006/relationships/hyperlink" Target="http://dx.doi.org/10.1071/WR15029" TargetMode="External"/><Relationship Id="rId329" Type="http://schemas.openxmlformats.org/officeDocument/2006/relationships/hyperlink" Target="https://doi.org/10.1016/j.ecolind.2021.107551" TargetMode="External"/><Relationship Id="rId536" Type="http://schemas.openxmlformats.org/officeDocument/2006/relationships/hyperlink" Target="https://doi.org/10.1016/j.ijproman.2008.04.002" TargetMode="External"/><Relationship Id="rId1166" Type="http://schemas.openxmlformats.org/officeDocument/2006/relationships/hyperlink" Target="https://doi.org/10.1016/j.rse.2012.10.017" TargetMode="External"/><Relationship Id="rId1373" Type="http://schemas.openxmlformats.org/officeDocument/2006/relationships/hyperlink" Target="https://doi.org/10.1016/j.atech.2025.100907" TargetMode="External"/><Relationship Id="rId175" Type="http://schemas.openxmlformats.org/officeDocument/2006/relationships/hyperlink" Target="https://doi.org/10.1002/rse2.209" TargetMode="External"/><Relationship Id="rId743" Type="http://schemas.openxmlformats.org/officeDocument/2006/relationships/hyperlink" Target="http://dx.doi.org/10.1658/1100-9233(2007)18%5b413:HRITMO%5d2.0.CO;2" TargetMode="External"/><Relationship Id="rId950" Type="http://schemas.openxmlformats.org/officeDocument/2006/relationships/hyperlink" Target="https://doi.org/10.3389/fmars.2019.00773" TargetMode="External"/><Relationship Id="rId1026" Type="http://schemas.openxmlformats.org/officeDocument/2006/relationships/hyperlink" Target="https://doi.org/10.3390/molecules27134323" TargetMode="External"/><Relationship Id="rId382" Type="http://schemas.openxmlformats.org/officeDocument/2006/relationships/hyperlink" Target="https://doi.org/10.1002/rse2.209" TargetMode="External"/><Relationship Id="rId603" Type="http://schemas.openxmlformats.org/officeDocument/2006/relationships/hyperlink" Target="https://www.businesswaste.co.uk/waste-management-audit/" TargetMode="External"/><Relationship Id="rId687" Type="http://schemas.openxmlformats.org/officeDocument/2006/relationships/hyperlink" Target="https://www.gov.wales/review-best-practice-soil-organic-carbon-monitoring" TargetMode="External"/><Relationship Id="rId810" Type="http://schemas.openxmlformats.org/officeDocument/2006/relationships/hyperlink" Target="https://doi.org/10.1016/j.agrformet.2019.01.024" TargetMode="External"/><Relationship Id="rId908" Type="http://schemas.openxmlformats.org/officeDocument/2006/relationships/hyperlink" Target="https://doi.org/10.1098/rsos.231152" TargetMode="External"/><Relationship Id="rId1233" Type="http://schemas.openxmlformats.org/officeDocument/2006/relationships/hyperlink" Target="https://doi.org/10.1155/2018/1324751" TargetMode="External"/><Relationship Id="rId242" Type="http://schemas.openxmlformats.org/officeDocument/2006/relationships/hyperlink" Target="http://dx.doi.org/10.1658/1100-9233(2007)18%5b413:HRITMO%5d2.0.CO;2" TargetMode="External"/><Relationship Id="rId894" Type="http://schemas.openxmlformats.org/officeDocument/2006/relationships/hyperlink" Target="https://doi.org/10.1111/1365-2664.13913" TargetMode="External"/><Relationship Id="rId1177" Type="http://schemas.openxmlformats.org/officeDocument/2006/relationships/hyperlink" Target="https://doi.org/10.1111/2041-210X.13113" TargetMode="External"/><Relationship Id="rId1300" Type="http://schemas.openxmlformats.org/officeDocument/2006/relationships/hyperlink" Target="https://doi.org/10.1016/j.marpol.2017.01.009" TargetMode="External"/><Relationship Id="rId37" Type="http://schemas.openxmlformats.org/officeDocument/2006/relationships/hyperlink" Target="https://doi.org/10.1111/j.1365-2929.2006.02418.x" TargetMode="External"/><Relationship Id="rId102" Type="http://schemas.openxmlformats.org/officeDocument/2006/relationships/hyperlink" Target="https://doi.org/10.1111/j.1365-2929.2006.02418.x" TargetMode="External"/><Relationship Id="rId547" Type="http://schemas.openxmlformats.org/officeDocument/2006/relationships/hyperlink" Target="https://doi.org/10.1016/j.jenvman.2020.111773" TargetMode="External"/><Relationship Id="rId754" Type="http://schemas.openxmlformats.org/officeDocument/2006/relationships/hyperlink" Target="https://doi.org/10.1016/j.actao.2020.103667" TargetMode="External"/><Relationship Id="rId961" Type="http://schemas.openxmlformats.org/officeDocument/2006/relationships/hyperlink" Target="https://www.researchgate.net/publication/230710519_Comparison_of_three_methods_for_Chlorophyll_determination_Spectrophotometry_and_Fluorimetry_in_samples_containing_pigment_mixtures_and_spectrophotometry_in_samples_with_separate_pigments_through_High_" TargetMode="External"/><Relationship Id="rId1384" Type="http://schemas.openxmlformats.org/officeDocument/2006/relationships/hyperlink" Target="https://doi.org/10.1016/j.agrformet.2003.12.001" TargetMode="External"/><Relationship Id="rId90" Type="http://schemas.openxmlformats.org/officeDocument/2006/relationships/hyperlink" Target="https://doi.org/10.1111/j.1365-2929.2006.02418.x" TargetMode="External"/><Relationship Id="rId186" Type="http://schemas.openxmlformats.org/officeDocument/2006/relationships/hyperlink" Target="https://doi.org/10.1016/j.ecolind.2008.11.011" TargetMode="External"/><Relationship Id="rId393" Type="http://schemas.openxmlformats.org/officeDocument/2006/relationships/hyperlink" Target="https://doi.org/10.1016/j.ecolind.2008.11.011" TargetMode="External"/><Relationship Id="rId407" Type="http://schemas.openxmlformats.org/officeDocument/2006/relationships/hyperlink" Target="https://doi.org/10.1111/2041-210X.13113" TargetMode="External"/><Relationship Id="rId614" Type="http://schemas.openxmlformats.org/officeDocument/2006/relationships/hyperlink" Target="https://doi.org/10.1111/j.1365-2929.2006.02418.x" TargetMode="External"/><Relationship Id="rId821" Type="http://schemas.openxmlformats.org/officeDocument/2006/relationships/hyperlink" Target="https://doi.org/10.1016/j.agrformet.2019.01.024" TargetMode="External"/><Relationship Id="rId1037" Type="http://schemas.openxmlformats.org/officeDocument/2006/relationships/hyperlink" Target="https://doi.org/10.1016/j.jhydrol.2012.06.021" TargetMode="External"/><Relationship Id="rId1244" Type="http://schemas.openxmlformats.org/officeDocument/2006/relationships/hyperlink" Target="https://doi.org/10.3390/rs13112139" TargetMode="External"/><Relationship Id="rId253" Type="http://schemas.openxmlformats.org/officeDocument/2006/relationships/hyperlink" Target="https://doi.org/10.1111/icad.12328" TargetMode="External"/><Relationship Id="rId460" Type="http://schemas.openxmlformats.org/officeDocument/2006/relationships/hyperlink" Target="https://hub.jncc.gov.uk/assets/121b1d65-866a-47c9-ab71-7088c706770c" TargetMode="External"/><Relationship Id="rId698" Type="http://schemas.openxmlformats.org/officeDocument/2006/relationships/hyperlink" Target="https://doi.org/10.1002/2688-8319.12378" TargetMode="External"/><Relationship Id="rId919" Type="http://schemas.openxmlformats.org/officeDocument/2006/relationships/hyperlink" Target="https://doi.org/10.1111/1755-0998.12934" TargetMode="External"/><Relationship Id="rId1090" Type="http://schemas.openxmlformats.org/officeDocument/2006/relationships/hyperlink" Target="http://dx.doi.org/10.1093/jof/109.5.267" TargetMode="External"/><Relationship Id="rId1104" Type="http://schemas.openxmlformats.org/officeDocument/2006/relationships/hyperlink" Target="https://doi.org/10.1111/1752-1688.13053" TargetMode="External"/><Relationship Id="rId1311" Type="http://schemas.openxmlformats.org/officeDocument/2006/relationships/hyperlink" Target="https://doi.org/10.3390/s16081310" TargetMode="External"/><Relationship Id="rId48" Type="http://schemas.openxmlformats.org/officeDocument/2006/relationships/hyperlink" Target="https://doi.org/10.1111/j.1365-2929.2006.02418.x" TargetMode="External"/><Relationship Id="rId113" Type="http://schemas.openxmlformats.org/officeDocument/2006/relationships/hyperlink" Target="https://doi.org/10.1007/s13280-015-0713-1" TargetMode="External"/><Relationship Id="rId320" Type="http://schemas.openxmlformats.org/officeDocument/2006/relationships/hyperlink" Target="https://doi.org/10.1111/2041-210X.13101" TargetMode="External"/><Relationship Id="rId558" Type="http://schemas.openxmlformats.org/officeDocument/2006/relationships/hyperlink" Target="https://doi.org/10.1111/conl.12161" TargetMode="External"/><Relationship Id="rId765" Type="http://schemas.openxmlformats.org/officeDocument/2006/relationships/hyperlink" Target="https://doi.org/10.3390/f15111847" TargetMode="External"/><Relationship Id="rId972" Type="http://schemas.openxmlformats.org/officeDocument/2006/relationships/hyperlink" Target="https://doi.org/10.1371/journal.pone.0175042" TargetMode="External"/><Relationship Id="rId1188" Type="http://schemas.openxmlformats.org/officeDocument/2006/relationships/hyperlink" Target="https://doi.org/10.5194/essd-14-823-2022" TargetMode="External"/><Relationship Id="rId1395" Type="http://schemas.openxmlformats.org/officeDocument/2006/relationships/hyperlink" Target="https://www.picarro.com/environmental/methane_soil_flux_estimates_using_mobile_and_high_precision_cavity_ringdown" TargetMode="External"/><Relationship Id="rId197" Type="http://schemas.openxmlformats.org/officeDocument/2006/relationships/hyperlink" Target="https://doi.org/10.3390/f15111847" TargetMode="External"/><Relationship Id="rId418" Type="http://schemas.openxmlformats.org/officeDocument/2006/relationships/hyperlink" Target="https://hub.jncc.gov.uk/assets/121b1d65-866a-47c9-ab71-7088c706770c" TargetMode="External"/><Relationship Id="rId625" Type="http://schemas.openxmlformats.org/officeDocument/2006/relationships/hyperlink" Target="https://doi.org/10.1111/j.1365-2929.2006.02418.x" TargetMode="External"/><Relationship Id="rId832" Type="http://schemas.openxmlformats.org/officeDocument/2006/relationships/hyperlink" Target="https://doi.org/10.1109/JSTARS.2017.2711482" TargetMode="External"/><Relationship Id="rId1048" Type="http://schemas.openxmlformats.org/officeDocument/2006/relationships/hyperlink" Target="https://doi.org/10.3390/rs16132390" TargetMode="External"/><Relationship Id="rId1255" Type="http://schemas.openxmlformats.org/officeDocument/2006/relationships/hyperlink" Target="https://doi.org/10.1016/j.apgeog.2023.102900" TargetMode="External"/><Relationship Id="rId264" Type="http://schemas.openxmlformats.org/officeDocument/2006/relationships/hyperlink" Target="https://doi.org/10.7717/peerj.3940" TargetMode="External"/><Relationship Id="rId471" Type="http://schemas.openxmlformats.org/officeDocument/2006/relationships/hyperlink" Target="https://www.slrconsulting.com/insights/the-pitfalls-of-nest-searches-a-call-for-smarter-bird-management/" TargetMode="External"/><Relationship Id="rId1115" Type="http://schemas.openxmlformats.org/officeDocument/2006/relationships/hyperlink" Target="https://doi.org/10.3390/f15111847" TargetMode="External"/><Relationship Id="rId1322" Type="http://schemas.openxmlformats.org/officeDocument/2006/relationships/hyperlink" Target="https://doi.org/10.1080/00103624.2024.2334255" TargetMode="External"/><Relationship Id="rId59" Type="http://schemas.openxmlformats.org/officeDocument/2006/relationships/hyperlink" Target="https://doi.org/10.1111/j.1365-2929.2006.02418.x" TargetMode="External"/><Relationship Id="rId124" Type="http://schemas.openxmlformats.org/officeDocument/2006/relationships/hyperlink" Target="https://doi.org/10.1016/j.actao.2020.103667" TargetMode="External"/><Relationship Id="rId569" Type="http://schemas.openxmlformats.org/officeDocument/2006/relationships/hyperlink" Target="https://doi.org/10.1016/j.marpol.2024.106238" TargetMode="External"/><Relationship Id="rId776" Type="http://schemas.openxmlformats.org/officeDocument/2006/relationships/hyperlink" Target="https://doi.org/10.3390/rs11232757" TargetMode="External"/><Relationship Id="rId983" Type="http://schemas.openxmlformats.org/officeDocument/2006/relationships/hyperlink" Target="https://doi.org/10.3390/s24123926" TargetMode="External"/><Relationship Id="rId1199" Type="http://schemas.openxmlformats.org/officeDocument/2006/relationships/hyperlink" Target="https://doi.org/10.1093/aob/mcr102" TargetMode="External"/><Relationship Id="rId331" Type="http://schemas.openxmlformats.org/officeDocument/2006/relationships/hyperlink" Target="https://hub.jncc.gov.uk/assets/121b1d65-866a-47c9-ab71-7088c706770c" TargetMode="External"/><Relationship Id="rId429" Type="http://schemas.openxmlformats.org/officeDocument/2006/relationships/hyperlink" Target="https://doi.org/10.3996/082013-JFWM-057" TargetMode="External"/><Relationship Id="rId636" Type="http://schemas.openxmlformats.org/officeDocument/2006/relationships/hyperlink" Target="https://doi.org/10.1111/j.1365-2929.2006.02418.x" TargetMode="External"/><Relationship Id="rId1059" Type="http://schemas.openxmlformats.org/officeDocument/2006/relationships/hyperlink" Target="https://doi.org/10.1016/j.jhydrol.2012.06.021" TargetMode="External"/><Relationship Id="rId1266" Type="http://schemas.openxmlformats.org/officeDocument/2006/relationships/hyperlink" Target="https://sandhurstinstruments.co.uk/product/dip-meters/" TargetMode="External"/><Relationship Id="rId843" Type="http://schemas.openxmlformats.org/officeDocument/2006/relationships/hyperlink" Target="https://doi.org/10.1016/j.actao.2020.103667" TargetMode="External"/><Relationship Id="rId1126" Type="http://schemas.openxmlformats.org/officeDocument/2006/relationships/hyperlink" Target="https://doi.org/10.3390/rs11232757" TargetMode="External"/><Relationship Id="rId275" Type="http://schemas.openxmlformats.org/officeDocument/2006/relationships/hyperlink" Target="https://doi.org/10.7717/peerj.17091" TargetMode="External"/><Relationship Id="rId482" Type="http://schemas.openxmlformats.org/officeDocument/2006/relationships/hyperlink" Target="https://doi.org/10.1016/j.fishres.2007.01.012" TargetMode="External"/><Relationship Id="rId703" Type="http://schemas.openxmlformats.org/officeDocument/2006/relationships/hyperlink" Target="http://dx.doi.org/10.1658/1100-9233(2007)18%5b413:HRITMO%5d2.0.CO;2" TargetMode="External"/><Relationship Id="rId910" Type="http://schemas.openxmlformats.org/officeDocument/2006/relationships/hyperlink" Target="https://doi.org/10.1007/s10021-025-00972-x" TargetMode="External"/><Relationship Id="rId1333" Type="http://schemas.openxmlformats.org/officeDocument/2006/relationships/hyperlink" Target="https://doi.org/10.3390/rs17152593" TargetMode="External"/><Relationship Id="rId135" Type="http://schemas.openxmlformats.org/officeDocument/2006/relationships/hyperlink" Target="https://doi.org/10.1080/01584197.2020.1726186" TargetMode="External"/><Relationship Id="rId342" Type="http://schemas.openxmlformats.org/officeDocument/2006/relationships/hyperlink" Target="https://www.slrconsulting.com/insights/the-pitfalls-of-nest-searches-a-call-for-smarter-bird-management/" TargetMode="External"/><Relationship Id="rId787" Type="http://schemas.openxmlformats.org/officeDocument/2006/relationships/hyperlink" Target="https://doi.org/10.3390/f15111847" TargetMode="External"/><Relationship Id="rId994" Type="http://schemas.openxmlformats.org/officeDocument/2006/relationships/hyperlink" Target="https://doi.org/10.3390/w16010018" TargetMode="External"/><Relationship Id="rId202" Type="http://schemas.openxmlformats.org/officeDocument/2006/relationships/hyperlink" Target="https://doi.org/10.1016/j.actao.2020.103667" TargetMode="External"/><Relationship Id="rId647" Type="http://schemas.openxmlformats.org/officeDocument/2006/relationships/hyperlink" Target="https://doi.org/10.1111/j.1365-2929.2006.02418.x" TargetMode="External"/><Relationship Id="rId854" Type="http://schemas.openxmlformats.org/officeDocument/2006/relationships/hyperlink" Target="https://doi.org/10.1016/j.ecoinf.2017.01.005" TargetMode="External"/><Relationship Id="rId1277" Type="http://schemas.openxmlformats.org/officeDocument/2006/relationships/hyperlink" Target="https://www.scientificlabs.co.uk/segment/hydrometers" TargetMode="External"/><Relationship Id="rId286" Type="http://schemas.openxmlformats.org/officeDocument/2006/relationships/hyperlink" Target="https://doi.org/10.1111/2041-210X.13113" TargetMode="External"/><Relationship Id="rId493" Type="http://schemas.openxmlformats.org/officeDocument/2006/relationships/hyperlink" Target="https://doi.org/10.1111/j.1365-2929.2006.02418.x" TargetMode="External"/><Relationship Id="rId507" Type="http://schemas.openxmlformats.org/officeDocument/2006/relationships/hyperlink" Target="https://doi.org/10.1111/j.1365-2929.2006.02418.x" TargetMode="External"/><Relationship Id="rId714" Type="http://schemas.openxmlformats.org/officeDocument/2006/relationships/hyperlink" Target="https://doi.org/10.1016/j.actao.2020.103667" TargetMode="External"/><Relationship Id="rId921" Type="http://schemas.openxmlformats.org/officeDocument/2006/relationships/hyperlink" Target="https://doi.org/10.1111/2041-210X.12598" TargetMode="External"/><Relationship Id="rId1137" Type="http://schemas.openxmlformats.org/officeDocument/2006/relationships/hyperlink" Target="https://doi.org/10.5194/essd-14-823-2022" TargetMode="External"/><Relationship Id="rId1344" Type="http://schemas.openxmlformats.org/officeDocument/2006/relationships/hyperlink" Target="https://doi.org/10.1002/2688-8319.12378" TargetMode="External"/><Relationship Id="rId50" Type="http://schemas.openxmlformats.org/officeDocument/2006/relationships/hyperlink" Target="https://doi.org/10.1111/j.1365-2929.2006.02418.x" TargetMode="External"/><Relationship Id="rId146" Type="http://schemas.openxmlformats.org/officeDocument/2006/relationships/hyperlink" Target="https://doi.org/10.1371/journal.pone.0121333" TargetMode="External"/><Relationship Id="rId353" Type="http://schemas.openxmlformats.org/officeDocument/2006/relationships/hyperlink" Target="https://doi.org/10.1016/j.fishres.2007.01.012" TargetMode="External"/><Relationship Id="rId560" Type="http://schemas.openxmlformats.org/officeDocument/2006/relationships/hyperlink" Target="https://doi.org/10.1016/j.apgeog.2023.102900" TargetMode="External"/><Relationship Id="rId798" Type="http://schemas.openxmlformats.org/officeDocument/2006/relationships/hyperlink" Target="https://doi.org/10.3390/rs11232757" TargetMode="External"/><Relationship Id="rId1190" Type="http://schemas.openxmlformats.org/officeDocument/2006/relationships/hyperlink" Target="https://doi.org/10.3390/f11020241" TargetMode="External"/><Relationship Id="rId1204" Type="http://schemas.openxmlformats.org/officeDocument/2006/relationships/hyperlink" Target="https://doi.org/10.1890/090153" TargetMode="External"/><Relationship Id="rId213" Type="http://schemas.openxmlformats.org/officeDocument/2006/relationships/hyperlink" Target="https://doi.org/10.1080/01584197.2020.1726186" TargetMode="External"/><Relationship Id="rId420" Type="http://schemas.openxmlformats.org/officeDocument/2006/relationships/hyperlink" Target="https://doi.org/10.1016/j.biocon.2020.108545" TargetMode="External"/><Relationship Id="rId658" Type="http://schemas.openxmlformats.org/officeDocument/2006/relationships/hyperlink" Target="https://www.energy.gov.au/business/energy-management-business/1-understand-your-energy-use/conduct-energy-audit" TargetMode="External"/><Relationship Id="rId865" Type="http://schemas.openxmlformats.org/officeDocument/2006/relationships/hyperlink" Target="https://doi.org/10.1002/wsb.697" TargetMode="External"/><Relationship Id="rId1050" Type="http://schemas.openxmlformats.org/officeDocument/2006/relationships/hyperlink" Target="https://doi.org/10.3390/drones9040305" TargetMode="External"/><Relationship Id="rId1288" Type="http://schemas.openxmlformats.org/officeDocument/2006/relationships/hyperlink" Target="https://www.google.com/url?sa=t&amp;source=web&amp;rct=j&amp;opi=89978449&amp;url=https://openknowledge.fao.org/server/api/core/bitstreams/207cecad-05ab-4c24-9041-c8e9330ebb75/content" TargetMode="External"/><Relationship Id="rId297" Type="http://schemas.openxmlformats.org/officeDocument/2006/relationships/hyperlink" Target="https://doi.org/10.1093/condor/104.1.59" TargetMode="External"/><Relationship Id="rId518" Type="http://schemas.openxmlformats.org/officeDocument/2006/relationships/hyperlink" Target="https://doi.org/10.1002/widm.1256" TargetMode="External"/><Relationship Id="rId725" Type="http://schemas.openxmlformats.org/officeDocument/2006/relationships/hyperlink" Target="https://doi.org/10.3390/f15111847" TargetMode="External"/><Relationship Id="rId932" Type="http://schemas.openxmlformats.org/officeDocument/2006/relationships/hyperlink" Target="https://doi.org/10.1111/1755-0998.13543" TargetMode="External"/><Relationship Id="rId1148" Type="http://schemas.openxmlformats.org/officeDocument/2006/relationships/hyperlink" Target="http://dx.doi.org/10.1658/1100-9233(2007)18%5b413:HRITMO%5d2.0.CO;2" TargetMode="External"/><Relationship Id="rId1355" Type="http://schemas.openxmlformats.org/officeDocument/2006/relationships/hyperlink" Target="https://doi.org/10.1002/jpln.202200199" TargetMode="External"/><Relationship Id="rId157" Type="http://schemas.openxmlformats.org/officeDocument/2006/relationships/hyperlink" Target="https://doi.org/10.1111/2041-210X.13113" TargetMode="External"/><Relationship Id="rId364" Type="http://schemas.openxmlformats.org/officeDocument/2006/relationships/hyperlink" Target="https://doi.org/10.1111/2041-210X.13113" TargetMode="External"/><Relationship Id="rId1008" Type="http://schemas.openxmlformats.org/officeDocument/2006/relationships/hyperlink" Target="https://doi.org/10.1890/090153" TargetMode="External"/><Relationship Id="rId1215" Type="http://schemas.openxmlformats.org/officeDocument/2006/relationships/hyperlink" Target="https://www.gov.wales/review-best-practice-soil-organic-carbon-monitoring" TargetMode="External"/><Relationship Id="rId61" Type="http://schemas.openxmlformats.org/officeDocument/2006/relationships/hyperlink" Target="https://doi.org/10.1111/j.1365-2929.2006.02418.x" TargetMode="External"/><Relationship Id="rId571" Type="http://schemas.openxmlformats.org/officeDocument/2006/relationships/hyperlink" Target="https://doi.org/10.1016/j.marpol.2024.106238" TargetMode="External"/><Relationship Id="rId669" Type="http://schemas.openxmlformats.org/officeDocument/2006/relationships/hyperlink" Target="https://www.ons.gov.uk/explore-local-statistics/" TargetMode="External"/><Relationship Id="rId876" Type="http://schemas.openxmlformats.org/officeDocument/2006/relationships/hyperlink" Target="https://doi.org/10.1111/1365-2664.13913" TargetMode="External"/><Relationship Id="rId1299" Type="http://schemas.openxmlformats.org/officeDocument/2006/relationships/hyperlink" Target="https://doi.org/10.1111/conl.12161" TargetMode="External"/><Relationship Id="rId19" Type="http://schemas.openxmlformats.org/officeDocument/2006/relationships/hyperlink" Target="https://doi.org/10.1111/j.1365-2929.2006.02418.x" TargetMode="External"/><Relationship Id="rId224" Type="http://schemas.openxmlformats.org/officeDocument/2006/relationships/hyperlink" Target="https://doi.org/10.1371/journal.pone.0121333" TargetMode="External"/><Relationship Id="rId431" Type="http://schemas.openxmlformats.org/officeDocument/2006/relationships/hyperlink" Target="https://doi.org/10.1016/j.ecolind.2021.108305" TargetMode="External"/><Relationship Id="rId529" Type="http://schemas.openxmlformats.org/officeDocument/2006/relationships/hyperlink" Target="https://doi.org/10.1016/j.actao.2020.103667" TargetMode="External"/><Relationship Id="rId736" Type="http://schemas.openxmlformats.org/officeDocument/2006/relationships/hyperlink" Target="https://doi.org/10.1111/2041-210X.13113" TargetMode="External"/><Relationship Id="rId1061" Type="http://schemas.openxmlformats.org/officeDocument/2006/relationships/hyperlink" Target="https://doi.org/10.1016/j.jhydrol.2012.06.021" TargetMode="External"/><Relationship Id="rId1159" Type="http://schemas.openxmlformats.org/officeDocument/2006/relationships/hyperlink" Target="https://doi.org/10.3390/rs13112139" TargetMode="External"/><Relationship Id="rId1366" Type="http://schemas.openxmlformats.org/officeDocument/2006/relationships/hyperlink" Target="https://doi.org/10.1016/j.agrformet.2012.11.008" TargetMode="External"/><Relationship Id="rId168" Type="http://schemas.openxmlformats.org/officeDocument/2006/relationships/hyperlink" Target="https://hub.jncc.gov.uk/assets/121b1d65-866a-47c9-ab71-7088c706770c" TargetMode="External"/><Relationship Id="rId943" Type="http://schemas.openxmlformats.org/officeDocument/2006/relationships/hyperlink" Target="https://www.bellflowsystems.co.uk/en/environmental-monitoring/water-quality-monitoring/multi-parameter-water-quality-sondes/?sortBy=p.price&amp;sortOrder=asc" TargetMode="External"/><Relationship Id="rId1019" Type="http://schemas.openxmlformats.org/officeDocument/2006/relationships/hyperlink" Target="https://doi.org/10.1016/S1002-0160(18)60034-7" TargetMode="External"/><Relationship Id="rId72" Type="http://schemas.openxmlformats.org/officeDocument/2006/relationships/hyperlink" Target="https://doi.org/10.1111/j.1365-2929.2006.02418.x" TargetMode="External"/><Relationship Id="rId375" Type="http://schemas.openxmlformats.org/officeDocument/2006/relationships/hyperlink" Target="https://hub.jncc.gov.uk/assets/121b1d65-866a-47c9-ab71-7088c706770c" TargetMode="External"/><Relationship Id="rId582" Type="http://schemas.openxmlformats.org/officeDocument/2006/relationships/hyperlink" Target="https://doi.org/10.1007/s11077-020-09382-3" TargetMode="External"/><Relationship Id="rId803" Type="http://schemas.openxmlformats.org/officeDocument/2006/relationships/hyperlink" Target="https://doi.org/10.1080/10106049.2024.2390512" TargetMode="External"/><Relationship Id="rId1226" Type="http://schemas.openxmlformats.org/officeDocument/2006/relationships/hyperlink" Target="https://www.forestresearch.gov.uk/services/plant-tree-soil-and-water-testing/chemical-analysis-laboratory/" TargetMode="External"/><Relationship Id="rId3" Type="http://schemas.openxmlformats.org/officeDocument/2006/relationships/hyperlink" Target="https://doi.org/10.1111/j.1365-2929.2006.02418.x" TargetMode="External"/><Relationship Id="rId235" Type="http://schemas.openxmlformats.org/officeDocument/2006/relationships/hyperlink" Target="https://doi.org/10.1002/2688-8319.12378" TargetMode="External"/><Relationship Id="rId442" Type="http://schemas.openxmlformats.org/officeDocument/2006/relationships/hyperlink" Target="http://dx.doi.org/10.1071/WR15029" TargetMode="External"/><Relationship Id="rId887" Type="http://schemas.openxmlformats.org/officeDocument/2006/relationships/hyperlink" Target="https://doi.org/10.1371/journal.pone.0007324" TargetMode="External"/><Relationship Id="rId1072" Type="http://schemas.openxmlformats.org/officeDocument/2006/relationships/hyperlink" Target="https://doi.org/10.1111/2041-210X.13113" TargetMode="External"/><Relationship Id="rId302" Type="http://schemas.openxmlformats.org/officeDocument/2006/relationships/hyperlink" Target="https://doi.org/10.1080/00063657.2015.1013523" TargetMode="External"/><Relationship Id="rId747" Type="http://schemas.openxmlformats.org/officeDocument/2006/relationships/hyperlink" Target="http://dx.doi.org/10.1658/1100-9233(2007)18%5b413:HRITMO%5d2.0.CO;2" TargetMode="External"/><Relationship Id="rId954" Type="http://schemas.openxmlformats.org/officeDocument/2006/relationships/hyperlink" Target="https://www.bellflowsystems.co.uk/en/environmental-monitoring/water-quality-monitoring/multi-parameter-water-quality-sondes/?sortBy=p.price&amp;sortOrder=asc" TargetMode="External"/><Relationship Id="rId1377" Type="http://schemas.openxmlformats.org/officeDocument/2006/relationships/hyperlink" Target="https://doi.org/10.1016/j.atech.2025.100907" TargetMode="External"/><Relationship Id="rId83" Type="http://schemas.openxmlformats.org/officeDocument/2006/relationships/hyperlink" Target="https://doi.org/10.1111/j.1365-2929.2006.02418.x" TargetMode="External"/><Relationship Id="rId179" Type="http://schemas.openxmlformats.org/officeDocument/2006/relationships/hyperlink" Target="https://doi.org/10.3996/082013-JFWM-057" TargetMode="External"/><Relationship Id="rId386" Type="http://schemas.openxmlformats.org/officeDocument/2006/relationships/hyperlink" Target="https://doi.org/10.3996/082013-JFWM-057" TargetMode="External"/><Relationship Id="rId593" Type="http://schemas.openxmlformats.org/officeDocument/2006/relationships/hyperlink" Target="https://www.businesswaste.co.uk/waste-management-audit/" TargetMode="External"/><Relationship Id="rId607" Type="http://schemas.openxmlformats.org/officeDocument/2006/relationships/hyperlink" Target="https://doi.org/10.1111/j.1365-2929.2006.02418.x" TargetMode="External"/><Relationship Id="rId814" Type="http://schemas.openxmlformats.org/officeDocument/2006/relationships/hyperlink" Target="https://doi.org/10.1016/j.agrformet.2019.01.024" TargetMode="External"/><Relationship Id="rId1237" Type="http://schemas.openxmlformats.org/officeDocument/2006/relationships/hyperlink" Target="https://www.forestresearch.gov.uk/services/plant-tree-soil-and-water-testing/chemical-analysis-laboratory/" TargetMode="External"/><Relationship Id="rId246" Type="http://schemas.openxmlformats.org/officeDocument/2006/relationships/hyperlink" Target="http://dx.doi.org/10.1658/1100-9233(2007)18%5b413:HRITMO%5d2.0.CO;2" TargetMode="External"/><Relationship Id="rId453" Type="http://schemas.openxmlformats.org/officeDocument/2006/relationships/hyperlink" Target="http://dx.doi.org/10.1658/1100-9233(2007)18%5b413:HRITMO%5d2.0.CO;2" TargetMode="External"/><Relationship Id="rId660" Type="http://schemas.openxmlformats.org/officeDocument/2006/relationships/hyperlink" Target="https://www.peclights.com/shop/circuit-protection/sub-prepayment-meters?srsltid=AfmBOopx6QWGo-3I8PX4u_IPZ9EGMAFDPwgCWYZ2q3Jgpzov1EZtUphr" TargetMode="External"/><Relationship Id="rId898" Type="http://schemas.openxmlformats.org/officeDocument/2006/relationships/hyperlink" Target="https://doi.org/10.1371/journal.pone.0199617" TargetMode="External"/><Relationship Id="rId1083" Type="http://schemas.openxmlformats.org/officeDocument/2006/relationships/hyperlink" Target="https://doi.org/10.3390/f11020241" TargetMode="External"/><Relationship Id="rId1290" Type="http://schemas.openxmlformats.org/officeDocument/2006/relationships/hyperlink" Target="https://www.google.com/url?sa=t&amp;source=web&amp;rct=j&amp;opi=89978449&amp;url=https://openknowledge.fao.org/server/api/core/bitstreams/207cecad-05ab-4c24-9041-c8e9330ebb75/content" TargetMode="External"/><Relationship Id="rId1304" Type="http://schemas.openxmlformats.org/officeDocument/2006/relationships/hyperlink" Target="https://doi.org/10.1016/j.crope.2023.11.001" TargetMode="External"/><Relationship Id="rId106" Type="http://schemas.openxmlformats.org/officeDocument/2006/relationships/hyperlink" Target="https://doi.org/10.1111/j.1365-2929.2006.02418.x" TargetMode="External"/><Relationship Id="rId313" Type="http://schemas.openxmlformats.org/officeDocument/2006/relationships/hyperlink" Target="https://www.researchgate.net/publication/236593622_Field_comparison_of_transect_stationary_point_count_and_visual_fast_count_methods_for_visual_assessment_of_fish_assemblages_of_rocky_habitats_in_Madeira" TargetMode="External"/><Relationship Id="rId758" Type="http://schemas.openxmlformats.org/officeDocument/2006/relationships/hyperlink" Target="https://doi.org/10.1016/j.actao.2020.103667" TargetMode="External"/><Relationship Id="rId965" Type="http://schemas.openxmlformats.org/officeDocument/2006/relationships/hyperlink" Target="https://doi.org/10.1016/j.watres.2003.10.033" TargetMode="External"/><Relationship Id="rId1150" Type="http://schemas.openxmlformats.org/officeDocument/2006/relationships/hyperlink" Target="https://doi.org/10.5194/essd-14-823-2022" TargetMode="External"/><Relationship Id="rId1388" Type="http://schemas.openxmlformats.org/officeDocument/2006/relationships/hyperlink" Target="https://doi.org/10.1016/j.agrformet.2003.12.001" TargetMode="External"/><Relationship Id="rId10" Type="http://schemas.openxmlformats.org/officeDocument/2006/relationships/hyperlink" Target="https://doi.org/10.1111/j.1365-2929.2006.02418.x" TargetMode="External"/><Relationship Id="rId94" Type="http://schemas.openxmlformats.org/officeDocument/2006/relationships/hyperlink" Target="https://doi.org/10.1111/j.1365-2929.2006.02418.x" TargetMode="External"/><Relationship Id="rId397" Type="http://schemas.openxmlformats.org/officeDocument/2006/relationships/hyperlink" Target="https://doi.org/10.3389/fmars.2020.00272" TargetMode="External"/><Relationship Id="rId520" Type="http://schemas.openxmlformats.org/officeDocument/2006/relationships/hyperlink" Target="https://doi.org/10.1002/widm.1256" TargetMode="External"/><Relationship Id="rId618" Type="http://schemas.openxmlformats.org/officeDocument/2006/relationships/hyperlink" Target="https://doi.org/10.1111/j.1365-2929.2006.02418.x" TargetMode="External"/><Relationship Id="rId825" Type="http://schemas.openxmlformats.org/officeDocument/2006/relationships/hyperlink" Target="https://doi.org/10.1016/j.fcr.2017.05.025" TargetMode="External"/><Relationship Id="rId1248" Type="http://schemas.openxmlformats.org/officeDocument/2006/relationships/hyperlink" Target="https://doi.org/10.1016/j.ufug.2017.12.001" TargetMode="External"/><Relationship Id="rId257" Type="http://schemas.openxmlformats.org/officeDocument/2006/relationships/hyperlink" Target="https://doi.org/10.1002/rse2.209" TargetMode="External"/><Relationship Id="rId464" Type="http://schemas.openxmlformats.org/officeDocument/2006/relationships/hyperlink" Target="https://doi.org/10.1111/icad.12328" TargetMode="External"/><Relationship Id="rId1010" Type="http://schemas.openxmlformats.org/officeDocument/2006/relationships/hyperlink" Target="https://www.gov.wales/review-best-practice-soil-organic-carbon-monitoring" TargetMode="External"/><Relationship Id="rId1094" Type="http://schemas.openxmlformats.org/officeDocument/2006/relationships/hyperlink" Target="https://doi.org/10.1016/j.jhydrol.2024.130852" TargetMode="External"/><Relationship Id="rId1108" Type="http://schemas.openxmlformats.org/officeDocument/2006/relationships/hyperlink" Target="https://doi.org/10.3390/su141811538" TargetMode="External"/><Relationship Id="rId1315" Type="http://schemas.openxmlformats.org/officeDocument/2006/relationships/hyperlink" Target="https://doi.org/10.3390/rs16010030" TargetMode="External"/><Relationship Id="rId117" Type="http://schemas.openxmlformats.org/officeDocument/2006/relationships/hyperlink" Target="https://doi.org/10.1111/2041-210X.13101" TargetMode="External"/><Relationship Id="rId671" Type="http://schemas.openxmlformats.org/officeDocument/2006/relationships/hyperlink" Target="https://www.ons.gov.uk/explore-local-statistics/" TargetMode="External"/><Relationship Id="rId769" Type="http://schemas.openxmlformats.org/officeDocument/2006/relationships/hyperlink" Target="https://doi.org/10.3390/f15111847" TargetMode="External"/><Relationship Id="rId976" Type="http://schemas.openxmlformats.org/officeDocument/2006/relationships/hyperlink" Target="https://doi.org/10.3390/w11050981" TargetMode="External"/><Relationship Id="rId324" Type="http://schemas.openxmlformats.org/officeDocument/2006/relationships/hyperlink" Target="http://dx.doi.org/10.1658/1100-9233(2007)18%5b413:HRITMO%5d2.0.CO;2" TargetMode="External"/><Relationship Id="rId531" Type="http://schemas.openxmlformats.org/officeDocument/2006/relationships/hyperlink" Target="https://doi.org/10.1016/j.jenvman.2020.111773" TargetMode="External"/><Relationship Id="rId629" Type="http://schemas.openxmlformats.org/officeDocument/2006/relationships/hyperlink" Target="https://doi.org/10.1111/j.1365-2929.2006.02418.x" TargetMode="External"/><Relationship Id="rId1161" Type="http://schemas.openxmlformats.org/officeDocument/2006/relationships/hyperlink" Target="https://doi.org/10.3390/rs11232757" TargetMode="External"/><Relationship Id="rId1259" Type="http://schemas.openxmlformats.org/officeDocument/2006/relationships/hyperlink" Target="https://doi.org/10.1111/1365-2656.13945" TargetMode="External"/><Relationship Id="rId836" Type="http://schemas.openxmlformats.org/officeDocument/2006/relationships/hyperlink" Target="https://doi.org/10.1016/j.ecoinf.2017.01.005" TargetMode="External"/><Relationship Id="rId1021" Type="http://schemas.openxmlformats.org/officeDocument/2006/relationships/hyperlink" Target="https://doi.org/10.1016/S1002-0160(18)60034-7" TargetMode="External"/><Relationship Id="rId1119" Type="http://schemas.openxmlformats.org/officeDocument/2006/relationships/hyperlink" Target="https://doi.org/10.3390/f15111847" TargetMode="External"/><Relationship Id="rId903" Type="http://schemas.openxmlformats.org/officeDocument/2006/relationships/hyperlink" Target="https://doi.org/10.1016/B978-0-12-802213-9.00026-2" TargetMode="External"/><Relationship Id="rId1326" Type="http://schemas.openxmlformats.org/officeDocument/2006/relationships/hyperlink" Target="https://doi.org/10.1007/s10661-022-10707-3" TargetMode="External"/><Relationship Id="rId32" Type="http://schemas.openxmlformats.org/officeDocument/2006/relationships/hyperlink" Target="https://doi.org/10.1111/j.1365-2929.2006.02418.x" TargetMode="External"/><Relationship Id="rId181" Type="http://schemas.openxmlformats.org/officeDocument/2006/relationships/hyperlink" Target="https://doi.org/10.1016/j.ecolind.2021.108305" TargetMode="External"/><Relationship Id="rId279" Type="http://schemas.openxmlformats.org/officeDocument/2006/relationships/hyperlink" Target="https://doi.org/10.1111/1365-2664.13913" TargetMode="External"/><Relationship Id="rId486" Type="http://schemas.openxmlformats.org/officeDocument/2006/relationships/hyperlink" Target="https://doi.org/10.1080/09524622.2023.2290715" TargetMode="External"/><Relationship Id="rId693" Type="http://schemas.openxmlformats.org/officeDocument/2006/relationships/hyperlink" Target="https://apps.worldagroforestry.org/soc/3.2.%20Cost-error%20analysis.html" TargetMode="External"/><Relationship Id="rId139" Type="http://schemas.openxmlformats.org/officeDocument/2006/relationships/hyperlink" Target="https://www.slrconsulting.com/insights/the-pitfalls-of-nest-searches-a-call-for-smarter-bird-management/" TargetMode="External"/><Relationship Id="rId346" Type="http://schemas.openxmlformats.org/officeDocument/2006/relationships/hyperlink" Target="https://doi.org/10.7717/peerj.3940" TargetMode="External"/><Relationship Id="rId553" Type="http://schemas.openxmlformats.org/officeDocument/2006/relationships/hyperlink" Target="https://doi.org/10.1016/j.jenvman.2020.111773" TargetMode="External"/><Relationship Id="rId760" Type="http://schemas.openxmlformats.org/officeDocument/2006/relationships/hyperlink" Target="https://doi.org/10.1111/2041-210X.13113" TargetMode="External"/><Relationship Id="rId998" Type="http://schemas.openxmlformats.org/officeDocument/2006/relationships/hyperlink" Target="https://doi.org/10.1111/2041-210X.14062" TargetMode="External"/><Relationship Id="rId1183" Type="http://schemas.openxmlformats.org/officeDocument/2006/relationships/hyperlink" Target="http://dx.doi.org/10.1093/jof/109.5.267" TargetMode="External"/><Relationship Id="rId1390" Type="http://schemas.openxmlformats.org/officeDocument/2006/relationships/hyperlink" Target="https://doi.org/10.1016/j.agrformet.2012.11.008" TargetMode="External"/><Relationship Id="rId206" Type="http://schemas.openxmlformats.org/officeDocument/2006/relationships/hyperlink" Target="https://hub.jncc.gov.uk/assets/121b1d65-866a-47c9-ab71-7088c706770c" TargetMode="External"/><Relationship Id="rId413" Type="http://schemas.openxmlformats.org/officeDocument/2006/relationships/hyperlink" Target="https://doi.org/10.1016/j.actao.2020.103667" TargetMode="External"/><Relationship Id="rId858" Type="http://schemas.openxmlformats.org/officeDocument/2006/relationships/hyperlink" Target="https://doi.org/10.1016/j.jag.2019.03.014" TargetMode="External"/><Relationship Id="rId1043" Type="http://schemas.openxmlformats.org/officeDocument/2006/relationships/hyperlink" Target="https://doi.org/10.3390/su141811538" TargetMode="External"/><Relationship Id="rId620" Type="http://schemas.openxmlformats.org/officeDocument/2006/relationships/hyperlink" Target="https://doi.org/10.1111/j.1365-2929.2006.02418.x" TargetMode="External"/><Relationship Id="rId718" Type="http://schemas.openxmlformats.org/officeDocument/2006/relationships/hyperlink" Target="https://doi.org/10.1016/j.actao.2020.103667" TargetMode="External"/><Relationship Id="rId925" Type="http://schemas.openxmlformats.org/officeDocument/2006/relationships/hyperlink" Target="https://doi.org/10.1111/1755-0998.12934" TargetMode="External"/><Relationship Id="rId1250" Type="http://schemas.openxmlformats.org/officeDocument/2006/relationships/hyperlink" Target="https://doi.org/10.1080/10106049.2024.2390512" TargetMode="External"/><Relationship Id="rId1348" Type="http://schemas.openxmlformats.org/officeDocument/2006/relationships/hyperlink" Target="https://doi.org/10.1007/s13280-015-0713-1" TargetMode="External"/><Relationship Id="rId1110" Type="http://schemas.openxmlformats.org/officeDocument/2006/relationships/hyperlink" Target="https://www.sccssurvey.co.uk/distance-measuring/dip-meters-tools.html" TargetMode="External"/><Relationship Id="rId1208" Type="http://schemas.openxmlformats.org/officeDocument/2006/relationships/hyperlink" Target="https://doi.org/10.1890/090153" TargetMode="External"/><Relationship Id="rId54" Type="http://schemas.openxmlformats.org/officeDocument/2006/relationships/hyperlink" Target="https://doi.org/10.1111/j.1365-2929.2006.02418.x" TargetMode="External"/><Relationship Id="rId270" Type="http://schemas.openxmlformats.org/officeDocument/2006/relationships/hyperlink" Target="https://www.researchgate.net/publication/236593622_Field_comparison_of_transect_stationary_point_count_and_visual_fast_count_methods_for_visual_assessment_of_fish_assemblages_of_rocky_habitats_in_Madeira" TargetMode="External"/><Relationship Id="rId130" Type="http://schemas.openxmlformats.org/officeDocument/2006/relationships/hyperlink" Target="https://hub.jncc.gov.uk/assets/121b1d65-866a-47c9-ab71-7088c706770c" TargetMode="External"/><Relationship Id="rId368" Type="http://schemas.openxmlformats.org/officeDocument/2006/relationships/hyperlink" Target="https://doi.org/10.1111/2041-210X.13113" TargetMode="External"/><Relationship Id="rId575" Type="http://schemas.openxmlformats.org/officeDocument/2006/relationships/hyperlink" Target="https://doi.org/10.1016/j.marpol.2024.106238" TargetMode="External"/><Relationship Id="rId782" Type="http://schemas.openxmlformats.org/officeDocument/2006/relationships/hyperlink" Target="http://dx.doi.org/10.1093/jof/109.5.267" TargetMode="External"/><Relationship Id="rId228" Type="http://schemas.openxmlformats.org/officeDocument/2006/relationships/hyperlink" Target="https://doi.org/10.1016/j.fishres.2007.01.012" TargetMode="External"/><Relationship Id="rId435" Type="http://schemas.openxmlformats.org/officeDocument/2006/relationships/hyperlink" Target="https://doi.org/10.1371/journal.pone.0121333" TargetMode="External"/><Relationship Id="rId642" Type="http://schemas.openxmlformats.org/officeDocument/2006/relationships/hyperlink" Target="https://doi.org/10.1111/j.1365-2929.2006.02418.x" TargetMode="External"/><Relationship Id="rId1065" Type="http://schemas.openxmlformats.org/officeDocument/2006/relationships/hyperlink" Target="https://doi.org/10.1016/j.geoderma.2014.01.027" TargetMode="External"/><Relationship Id="rId1272" Type="http://schemas.openxmlformats.org/officeDocument/2006/relationships/hyperlink" Target="http://dx.doi.org/10.9734/AJEE/2017/36987" TargetMode="External"/><Relationship Id="rId502" Type="http://schemas.openxmlformats.org/officeDocument/2006/relationships/hyperlink" Target="https://doi.org/10.1111/j.1365-2929.2006.02418.x" TargetMode="External"/><Relationship Id="rId947" Type="http://schemas.openxmlformats.org/officeDocument/2006/relationships/hyperlink" Target="https://www.bellflowsystems.co.uk/en/environmental-monitoring/water-quality-monitoring/multi-parameter-water-quality-sondes/?sortBy=p.price&amp;sortOrder=asc" TargetMode="External"/><Relationship Id="rId1132" Type="http://schemas.openxmlformats.org/officeDocument/2006/relationships/hyperlink" Target="http://dx.doi.org/10.1093/jof/109.5.267" TargetMode="External"/><Relationship Id="rId76" Type="http://schemas.openxmlformats.org/officeDocument/2006/relationships/hyperlink" Target="https://doi.org/10.1111/j.1365-2929.2006.02418.x" TargetMode="External"/><Relationship Id="rId807" Type="http://schemas.openxmlformats.org/officeDocument/2006/relationships/hyperlink" Target="https://doi.org/10.1109/JSTARS.2017.2711482" TargetMode="External"/><Relationship Id="rId292" Type="http://schemas.openxmlformats.org/officeDocument/2006/relationships/hyperlink" Target="https://hub.jncc.gov.uk/assets/121b1d65-866a-47c9-ab71-7088c706770c" TargetMode="External"/><Relationship Id="rId597" Type="http://schemas.openxmlformats.org/officeDocument/2006/relationships/hyperlink" Target="https://businessofrecycling.wrap.ngo/recycling-guide/food-manufacturing/setting-up-recycling-for-your-food-or-drinks-manufacturing-business/how-to-conduct-a-waste-audit-for-the-food-and-drinks-manufacturing-sector" TargetMode="External"/><Relationship Id="rId152" Type="http://schemas.openxmlformats.org/officeDocument/2006/relationships/hyperlink" Target="https://books.google.co.uk/books?hl=en&amp;lr=&amp;id=Ux_4CwAAQBAJ&amp;oi=fnd&amp;pg=PA227&amp;ots=XeKFWfJBKe&amp;sig=6Z_BCdMrKim9zHuv5-vb4gbG5-0&amp;redir_esc=y" TargetMode="External"/><Relationship Id="rId457" Type="http://schemas.openxmlformats.org/officeDocument/2006/relationships/hyperlink" Target="http://dx.doi.org/10.1658/1100-9233(2007)18%5b413:HRITMO%5d2.0.CO;2" TargetMode="External"/><Relationship Id="rId1087" Type="http://schemas.openxmlformats.org/officeDocument/2006/relationships/hyperlink" Target="https://e38surveysolutions.com/pages/drone-lidar-price-guide?srsltid=AfmBOoqP2BBX_uqOpQjfvvK-CF9WcYQ3LEum4a9H5RNpMJq5t444DshY" TargetMode="External"/><Relationship Id="rId1294" Type="http://schemas.openxmlformats.org/officeDocument/2006/relationships/hyperlink" Target="https://www.forestresearch.gov.uk/services/plant-tree-soil-and-water-testing/chemical-analysis-laboratory/" TargetMode="External"/><Relationship Id="rId664" Type="http://schemas.openxmlformats.org/officeDocument/2006/relationships/hyperlink" Target="https://www.ons.gov.uk/explore-local-statistics/" TargetMode="External"/><Relationship Id="rId871" Type="http://schemas.openxmlformats.org/officeDocument/2006/relationships/hyperlink" Target="https://doi.org/10.1016/j.cub.2022.05.032" TargetMode="External"/><Relationship Id="rId969" Type="http://schemas.openxmlformats.org/officeDocument/2006/relationships/hyperlink" Target="https://www.bellflowsystems.co.uk/en/environmental-monitoring/water-quality-monitoring/multi-parameter-water-quality-sondes/?sortBy=p.price&amp;sortOrder=asc" TargetMode="External"/><Relationship Id="rId317" Type="http://schemas.openxmlformats.org/officeDocument/2006/relationships/hyperlink" Target="http://dx.doi.org/10.1071/WR15029" TargetMode="External"/><Relationship Id="rId524" Type="http://schemas.openxmlformats.org/officeDocument/2006/relationships/hyperlink" Target="https://doi.org/10.3390/f15111847" TargetMode="External"/><Relationship Id="rId731" Type="http://schemas.openxmlformats.org/officeDocument/2006/relationships/hyperlink" Target="http://dx.doi.org/10.1658/1100-9233(2007)18%5b413:HRITMO%5d2.0.CO;2" TargetMode="External"/><Relationship Id="rId1154" Type="http://schemas.openxmlformats.org/officeDocument/2006/relationships/hyperlink" Target="https://doi.org/10.1016/j.ufug.2017.12.001" TargetMode="External"/><Relationship Id="rId1361" Type="http://schemas.openxmlformats.org/officeDocument/2006/relationships/hyperlink" Target="https://doi.org/10.1016/j.atech.2025.100907" TargetMode="External"/><Relationship Id="rId98" Type="http://schemas.openxmlformats.org/officeDocument/2006/relationships/hyperlink" Target="https://doi.org/10.1111/j.1365-2929.2006.02418.x" TargetMode="External"/><Relationship Id="rId829" Type="http://schemas.openxmlformats.org/officeDocument/2006/relationships/hyperlink" Target="https://doi.org/10.3390/rs13112139" TargetMode="External"/><Relationship Id="rId1014" Type="http://schemas.openxmlformats.org/officeDocument/2006/relationships/hyperlink" Target="https://www.gov.wales/review-best-practice-soil-organic-carbon-monitoring" TargetMode="External"/><Relationship Id="rId1221" Type="http://schemas.openxmlformats.org/officeDocument/2006/relationships/hyperlink" Target="https://apps.worldagroforestry.org/soc/3.2.%20Cost-error%20analysis.html" TargetMode="External"/><Relationship Id="rId1319" Type="http://schemas.openxmlformats.org/officeDocument/2006/relationships/hyperlink" Target="https://doi.org/10.1002/2688-8319.12378" TargetMode="External"/><Relationship Id="rId25" Type="http://schemas.openxmlformats.org/officeDocument/2006/relationships/hyperlink" Target="https://doi.org/10.1111/j.1365-2929.2006.02418.x" TargetMode="External"/><Relationship Id="rId174" Type="http://schemas.openxmlformats.org/officeDocument/2006/relationships/hyperlink" Target="https://doi.org/10.1080/01584197.2020.1726186" TargetMode="External"/><Relationship Id="rId381" Type="http://schemas.openxmlformats.org/officeDocument/2006/relationships/hyperlink" Target="https://doi.org/10.1080/01584197.2020.1726186" TargetMode="External"/><Relationship Id="rId241" Type="http://schemas.openxmlformats.org/officeDocument/2006/relationships/hyperlink" Target="https://doi.org/10.1016/j.actao.2020.103667" TargetMode="External"/><Relationship Id="rId479" Type="http://schemas.openxmlformats.org/officeDocument/2006/relationships/hyperlink" Target="https://doi.org/10.1016/j.ecolind.2008.11.011" TargetMode="External"/><Relationship Id="rId686" Type="http://schemas.openxmlformats.org/officeDocument/2006/relationships/hyperlink" Target="https://www.gov.wales/review-best-practice-soil-organic-carbon-monitoring" TargetMode="External"/><Relationship Id="rId893" Type="http://schemas.openxmlformats.org/officeDocument/2006/relationships/hyperlink" Target="https://doi.org/10.1002/2688-8319.12378" TargetMode="External"/><Relationship Id="rId339" Type="http://schemas.openxmlformats.org/officeDocument/2006/relationships/hyperlink" Target="https://doi.org/10.1002/rse2.209" TargetMode="External"/><Relationship Id="rId546" Type="http://schemas.openxmlformats.org/officeDocument/2006/relationships/hyperlink" Target="https://doi.org/10.1016/j.ijproman.2008.04.002" TargetMode="External"/><Relationship Id="rId753" Type="http://schemas.openxmlformats.org/officeDocument/2006/relationships/hyperlink" Target="https://doi.org/10.3390/f15111847" TargetMode="External"/><Relationship Id="rId1176" Type="http://schemas.openxmlformats.org/officeDocument/2006/relationships/hyperlink" Target="http://dx.doi.org/10.1658/1100-9233(2007)18%5b413:HRITMO%5d2.0.CO;2" TargetMode="External"/><Relationship Id="rId1383" Type="http://schemas.openxmlformats.org/officeDocument/2006/relationships/hyperlink" Target="https://doi.org/10.1002/jpln.202200199" TargetMode="External"/><Relationship Id="rId101" Type="http://schemas.openxmlformats.org/officeDocument/2006/relationships/hyperlink" Target="https://doi.org/10.1111/j.1365-2929.2006.02418.x" TargetMode="External"/><Relationship Id="rId406" Type="http://schemas.openxmlformats.org/officeDocument/2006/relationships/hyperlink" Target="https://doi.org/10.1111/2041-210X.13101" TargetMode="External"/><Relationship Id="rId960" Type="http://schemas.openxmlformats.org/officeDocument/2006/relationships/hyperlink" Target="https://books.google.com/books?hl=en&amp;lr=&amp;id=B40eAQAAIAAJ&amp;oi=fnd&amp;pg=PA269&amp;dq=chlorophyll+flourometry+spectrophotometry+chromatography&amp;ots=tSUeMdEbOd&amp;sig=XhG0tW1r8-UY5n9-OiZXtMsW4Kk" TargetMode="External"/><Relationship Id="rId1036" Type="http://schemas.openxmlformats.org/officeDocument/2006/relationships/hyperlink" Target="https://doi.org/10.1016/j.jhydrol.2012.06.021" TargetMode="External"/><Relationship Id="rId1243" Type="http://schemas.openxmlformats.org/officeDocument/2006/relationships/hyperlink" Target="https://doi.org/10.3390/f11020241" TargetMode="External"/><Relationship Id="rId613" Type="http://schemas.openxmlformats.org/officeDocument/2006/relationships/hyperlink" Target="https://doi.org/10.1111/j.1365-2929.2006.02418.x" TargetMode="External"/><Relationship Id="rId820" Type="http://schemas.openxmlformats.org/officeDocument/2006/relationships/hyperlink" Target="https://doi.org/10.1038/s41597-024-03750-x" TargetMode="External"/><Relationship Id="rId918" Type="http://schemas.openxmlformats.org/officeDocument/2006/relationships/hyperlink" Target="https://doi.org/10.1111/2041-210X.12598" TargetMode="External"/><Relationship Id="rId1103" Type="http://schemas.openxmlformats.org/officeDocument/2006/relationships/hyperlink" Target="https://doi.org/10.1109/CWTM.2015.7098135" TargetMode="External"/><Relationship Id="rId1310" Type="http://schemas.openxmlformats.org/officeDocument/2006/relationships/hyperlink" Target="https://doi.org/10.3390/rs17152593" TargetMode="External"/><Relationship Id="rId47" Type="http://schemas.openxmlformats.org/officeDocument/2006/relationships/hyperlink" Target="https://doi.org/10.1111/j.1365-2929.2006.02418.x" TargetMode="External"/><Relationship Id="rId196" Type="http://schemas.openxmlformats.org/officeDocument/2006/relationships/hyperlink" Target="https://doi.org/10.1111/2041-210X.13113" TargetMode="External"/><Relationship Id="rId263" Type="http://schemas.openxmlformats.org/officeDocument/2006/relationships/hyperlink" Target="https://doi.org/10.1016/j.ecolind.2021.108305" TargetMode="External"/><Relationship Id="rId470" Type="http://schemas.openxmlformats.org/officeDocument/2006/relationships/hyperlink" Target="https://doi.org/10.1080/00063657.2015.1013523" TargetMode="External"/><Relationship Id="rId123" Type="http://schemas.openxmlformats.org/officeDocument/2006/relationships/hyperlink" Target="https://doi.org/10.3390/f15111847" TargetMode="External"/><Relationship Id="rId330" Type="http://schemas.openxmlformats.org/officeDocument/2006/relationships/hyperlink" Target="https://doi.org/10.1016/j.ecolind.2021.107551" TargetMode="External"/><Relationship Id="rId568" Type="http://schemas.openxmlformats.org/officeDocument/2006/relationships/hyperlink" Target="https://doi.org/10.1007/s11077-020-09382-3" TargetMode="External"/><Relationship Id="rId775" Type="http://schemas.openxmlformats.org/officeDocument/2006/relationships/hyperlink" Target="https://doi.org/10.3390/f11020241" TargetMode="External"/><Relationship Id="rId982" Type="http://schemas.openxmlformats.org/officeDocument/2006/relationships/hyperlink" Target="https://www.forestresearch.gov.uk/services/plant-tree-soil-and-water-testing/chemical-analysis-laboratory/" TargetMode="External"/><Relationship Id="rId1198" Type="http://schemas.openxmlformats.org/officeDocument/2006/relationships/hyperlink" Target="https://doi.org/10.1016/j.mex.2020.101192" TargetMode="External"/><Relationship Id="rId428" Type="http://schemas.openxmlformats.org/officeDocument/2006/relationships/hyperlink" Target="https://www.slrconsulting.com/insights/the-pitfalls-of-nest-searches-a-call-for-smarter-bird-management/" TargetMode="External"/><Relationship Id="rId635" Type="http://schemas.openxmlformats.org/officeDocument/2006/relationships/hyperlink" Target="https://doi.org/10.1111/j.1365-2929.2006.02418.x" TargetMode="External"/><Relationship Id="rId842" Type="http://schemas.openxmlformats.org/officeDocument/2006/relationships/hyperlink" Target="https://doi.org/10.3390/f15111847" TargetMode="External"/><Relationship Id="rId1058" Type="http://schemas.openxmlformats.org/officeDocument/2006/relationships/hyperlink" Target="https://doi.org/10.1016/j.rsase.2017.10.005" TargetMode="External"/><Relationship Id="rId1265" Type="http://schemas.openxmlformats.org/officeDocument/2006/relationships/hyperlink" Target="https://www.sccssurvey.co.uk/distance-measuring/dip-meters-tools.html" TargetMode="External"/><Relationship Id="rId702" Type="http://schemas.openxmlformats.org/officeDocument/2006/relationships/hyperlink" Target="https://doi.org/10.1016/j.actao.2020.103667" TargetMode="External"/><Relationship Id="rId1125" Type="http://schemas.openxmlformats.org/officeDocument/2006/relationships/hyperlink" Target="https://doi.org/10.3390/f11020241" TargetMode="External"/><Relationship Id="rId1332" Type="http://schemas.openxmlformats.org/officeDocument/2006/relationships/hyperlink" Target="https://www.dronesdirect.co.uk/p/cp.en.00000415.01/dji-mavic-3-thermal-enterprise-drone" TargetMode="External"/><Relationship Id="rId69" Type="http://schemas.openxmlformats.org/officeDocument/2006/relationships/hyperlink" Target="https://doi.org/10.1111/j.1365-2929.2006.02418.x" TargetMode="External"/><Relationship Id="rId285" Type="http://schemas.openxmlformats.org/officeDocument/2006/relationships/hyperlink" Target="http://dx.doi.org/10.1658/1100-9233(2007)18%5b413:HRITMO%5d2.0.CO;2" TargetMode="External"/><Relationship Id="rId492" Type="http://schemas.openxmlformats.org/officeDocument/2006/relationships/hyperlink" Target="https://doi.org/10.1111/j.1365-2929.2006.02418.x" TargetMode="External"/><Relationship Id="rId797" Type="http://schemas.openxmlformats.org/officeDocument/2006/relationships/hyperlink" Target="https://doi.org/10.3390/f11020241" TargetMode="External"/><Relationship Id="rId145" Type="http://schemas.openxmlformats.org/officeDocument/2006/relationships/hyperlink" Target="https://doi.org/10.1016/j.jembe.2007.06.028" TargetMode="External"/><Relationship Id="rId352" Type="http://schemas.openxmlformats.org/officeDocument/2006/relationships/hyperlink" Target="https://www.researchgate.net/publication/236593622_Field_comparison_of_transect_stationary_point_count_and_visual_fast_count_methods_for_visual_assessment_of_fish_assemblages_of_rocky_habitats_in_Madeira" TargetMode="External"/><Relationship Id="rId1287" Type="http://schemas.openxmlformats.org/officeDocument/2006/relationships/hyperlink" Target="https://reefcasa.com/hydrometer-vs-refractometer-which-is-better-for-a-saltwater-aquarium/?srsltid=AfmBOoqVofV4tGq0cxBukbENZ1s7nCGAJmSJJe-SBzi7zAvFyWMfpYgw" TargetMode="External"/><Relationship Id="rId212" Type="http://schemas.openxmlformats.org/officeDocument/2006/relationships/hyperlink" Target="https://doi.org/10.1080/00063657.2011.586415" TargetMode="External"/><Relationship Id="rId657" Type="http://schemas.openxmlformats.org/officeDocument/2006/relationships/hyperlink" Target="https://www.energy.gov.au/business/energy-management-business/1-understand-your-energy-use/conduct-energy-audit" TargetMode="External"/><Relationship Id="rId864" Type="http://schemas.openxmlformats.org/officeDocument/2006/relationships/hyperlink" Target="https://doi.org/10.2326/osj.24.69" TargetMode="External"/><Relationship Id="rId517" Type="http://schemas.openxmlformats.org/officeDocument/2006/relationships/hyperlink" Target="https://doi.org/10.1016/j.socnet.2020.12.010" TargetMode="External"/><Relationship Id="rId724" Type="http://schemas.openxmlformats.org/officeDocument/2006/relationships/hyperlink" Target="https://doi.org/10.1111/2041-210X.13113" TargetMode="External"/><Relationship Id="rId931" Type="http://schemas.openxmlformats.org/officeDocument/2006/relationships/hyperlink" Target="https://doi.org/10.1111/1755-0998.12934" TargetMode="External"/><Relationship Id="rId1147" Type="http://schemas.openxmlformats.org/officeDocument/2006/relationships/hyperlink" Target="https://doi.org/10.1016/j.actao.2020.103667" TargetMode="External"/><Relationship Id="rId1354" Type="http://schemas.openxmlformats.org/officeDocument/2006/relationships/hyperlink" Target="https://doi.org/10.1016/j.agrformet.2012.11.008" TargetMode="External"/><Relationship Id="rId60" Type="http://schemas.openxmlformats.org/officeDocument/2006/relationships/hyperlink" Target="https://doi.org/10.1111/j.1365-2929.2006.02418.x" TargetMode="External"/><Relationship Id="rId1007" Type="http://schemas.openxmlformats.org/officeDocument/2006/relationships/hyperlink" Target="https://doi.org/10.1890/090153" TargetMode="External"/><Relationship Id="rId1214" Type="http://schemas.openxmlformats.org/officeDocument/2006/relationships/hyperlink" Target="https://www.gov.wales/review-best-practice-soil-organic-carbon-monitoring" TargetMode="External"/><Relationship Id="rId18" Type="http://schemas.openxmlformats.org/officeDocument/2006/relationships/hyperlink" Target="https://doi.org/10.1111/j.1365-2929.2006.02418.x" TargetMode="External"/><Relationship Id="rId167" Type="http://schemas.openxmlformats.org/officeDocument/2006/relationships/hyperlink" Target="https://hub.jncc.gov.uk/assets/121b1d65-866a-47c9-ab71-7088c706770c" TargetMode="External"/><Relationship Id="rId374" Type="http://schemas.openxmlformats.org/officeDocument/2006/relationships/hyperlink" Target="https://hub.jncc.gov.uk/assets/121b1d65-866a-47c9-ab71-7088c706770c" TargetMode="External"/><Relationship Id="rId581" Type="http://schemas.openxmlformats.org/officeDocument/2006/relationships/hyperlink" Target="https://doi.org/10.1016/j.marpol.2024.106238" TargetMode="External"/><Relationship Id="rId234" Type="http://schemas.openxmlformats.org/officeDocument/2006/relationships/hyperlink" Target="https://doi.org/10.1007/s13280-015-0713-1" TargetMode="External"/><Relationship Id="rId679" Type="http://schemas.openxmlformats.org/officeDocument/2006/relationships/hyperlink" Target="https://doi.org/10.1890/090153" TargetMode="External"/><Relationship Id="rId886" Type="http://schemas.openxmlformats.org/officeDocument/2006/relationships/hyperlink" Target="https://doi.org/10.1007/978-3-319-93284-2_7" TargetMode="External"/><Relationship Id="rId2" Type="http://schemas.openxmlformats.org/officeDocument/2006/relationships/hyperlink" Target="https://doi.org/10.1111/j.1365-2929.2006.02418.x" TargetMode="External"/><Relationship Id="rId441" Type="http://schemas.openxmlformats.org/officeDocument/2006/relationships/hyperlink" Target="https://books.google.co.uk/books?hl=en&amp;lr=&amp;id=Ux_4CwAAQBAJ&amp;oi=fnd&amp;pg=PA227&amp;ots=XeKFWfJBKe&amp;sig=6Z_BCdMrKim9zHuv5-vb4gbG5-0&amp;redir_esc=y" TargetMode="External"/><Relationship Id="rId539" Type="http://schemas.openxmlformats.org/officeDocument/2006/relationships/hyperlink" Target="https://doi.org/10.1016/j.jenvman.2020.111773" TargetMode="External"/><Relationship Id="rId746" Type="http://schemas.openxmlformats.org/officeDocument/2006/relationships/hyperlink" Target="https://doi.org/10.1016/j.actao.2020.103667" TargetMode="External"/><Relationship Id="rId1071" Type="http://schemas.openxmlformats.org/officeDocument/2006/relationships/hyperlink" Target="https://doi.org/10.1038/s41597-024-03750-x" TargetMode="External"/><Relationship Id="rId1169" Type="http://schemas.openxmlformats.org/officeDocument/2006/relationships/hyperlink" Target="https://doi.org/10.1016/j.mex.2020.101192" TargetMode="External"/><Relationship Id="rId1376" Type="http://schemas.openxmlformats.org/officeDocument/2006/relationships/hyperlink" Target="https://doi.org/10.1016/j.agrformet.2003.12.001" TargetMode="External"/><Relationship Id="rId301" Type="http://schemas.openxmlformats.org/officeDocument/2006/relationships/hyperlink" Target="https://doi.org/10.1111/j.1557-9263.2006.00043.x" TargetMode="External"/><Relationship Id="rId953" Type="http://schemas.openxmlformats.org/officeDocument/2006/relationships/hyperlink" Target="https://www.simplexhealth.co.uk/product/river-pollution-testing-ammonia-nitrate-phosphate-lab-test/" TargetMode="External"/><Relationship Id="rId1029" Type="http://schemas.openxmlformats.org/officeDocument/2006/relationships/hyperlink" Target="https://doi.org/10.1016/j.microc.2023.109465" TargetMode="External"/><Relationship Id="rId1236" Type="http://schemas.openxmlformats.org/officeDocument/2006/relationships/hyperlink" Target="https://www.alsglobal.se/en/package/environment_1/soil-slusge-and-sediment_1/other-analyses_4/kjeldahl-nitrogen-in-soil-sludge-and-sediment_3315" TargetMode="External"/><Relationship Id="rId82" Type="http://schemas.openxmlformats.org/officeDocument/2006/relationships/hyperlink" Target="https://doi.org/10.1111/j.1365-2929.2006.02418.x" TargetMode="External"/><Relationship Id="rId606" Type="http://schemas.openxmlformats.org/officeDocument/2006/relationships/hyperlink" Target="https://doi.org/10.1111/j.1365-2929.2006.02418.x" TargetMode="External"/><Relationship Id="rId813" Type="http://schemas.openxmlformats.org/officeDocument/2006/relationships/hyperlink" Target="https://doi.org/10.1038/s41597-024-03750-x" TargetMode="External"/><Relationship Id="rId1303" Type="http://schemas.openxmlformats.org/officeDocument/2006/relationships/hyperlink" Target="https://doi.org/10.3390/rs13112139" TargetMode="External"/><Relationship Id="rId189" Type="http://schemas.openxmlformats.org/officeDocument/2006/relationships/hyperlink" Target="https://doi.org/10.1016/j.fishres.2007.01.012" TargetMode="External"/><Relationship Id="rId396" Type="http://schemas.openxmlformats.org/officeDocument/2006/relationships/hyperlink" Target="https://doi.org/10.1016/j.fishres.2007.01.012" TargetMode="External"/><Relationship Id="rId256" Type="http://schemas.openxmlformats.org/officeDocument/2006/relationships/hyperlink" Target="https://doi.org/10.1080/01584197.2020.1726186" TargetMode="External"/><Relationship Id="rId463" Type="http://schemas.openxmlformats.org/officeDocument/2006/relationships/hyperlink" Target="https://doi.org/10.1016/j.biocon.2020.108545" TargetMode="External"/><Relationship Id="rId670" Type="http://schemas.openxmlformats.org/officeDocument/2006/relationships/hyperlink" Target="https://www.ons.gov.uk/explore-local-statistics/" TargetMode="External"/><Relationship Id="rId1093" Type="http://schemas.openxmlformats.org/officeDocument/2006/relationships/hyperlink" Target="https://doi.org/10.1109/JSTARS.2017.2711482" TargetMode="External"/><Relationship Id="rId116" Type="http://schemas.openxmlformats.org/officeDocument/2006/relationships/hyperlink" Target="https://doi.org/10.1080/09524622.2023.2290715" TargetMode="External"/><Relationship Id="rId323" Type="http://schemas.openxmlformats.org/officeDocument/2006/relationships/hyperlink" Target="https://doi.org/10.1016/j.actao.2020.103667" TargetMode="External"/><Relationship Id="rId530" Type="http://schemas.openxmlformats.org/officeDocument/2006/relationships/hyperlink" Target="http://dx.doi.org/10.1658/1100-9233(2007)18%5b413:HRITMO%5d2.0.CO;2" TargetMode="External"/><Relationship Id="rId768" Type="http://schemas.openxmlformats.org/officeDocument/2006/relationships/hyperlink" Target="https://doi.org/10.1111/2041-210X.13113" TargetMode="External"/><Relationship Id="rId975" Type="http://schemas.openxmlformats.org/officeDocument/2006/relationships/hyperlink" Target="https://doi.org/10.2166/nh.2015.109" TargetMode="External"/><Relationship Id="rId1160" Type="http://schemas.openxmlformats.org/officeDocument/2006/relationships/hyperlink" Target="https://doi.org/10.3390/f11020241" TargetMode="External"/><Relationship Id="rId1398" Type="http://schemas.openxmlformats.org/officeDocument/2006/relationships/hyperlink" Target="https://www.picarro.com/products/gas-scouter-g4301?utm_source=chatgpt.com" TargetMode="External"/><Relationship Id="rId628" Type="http://schemas.openxmlformats.org/officeDocument/2006/relationships/hyperlink" Target="https://doi.org/10.1111/j.1365-2929.2006.02418.x" TargetMode="External"/><Relationship Id="rId835" Type="http://schemas.openxmlformats.org/officeDocument/2006/relationships/hyperlink" Target="https://doi.org/10.1080/10106049.2024.2390512" TargetMode="External"/><Relationship Id="rId1258" Type="http://schemas.openxmlformats.org/officeDocument/2006/relationships/hyperlink" Target="https://doi.org/10.1007/s40974-025-00369-5" TargetMode="External"/><Relationship Id="rId1020" Type="http://schemas.openxmlformats.org/officeDocument/2006/relationships/hyperlink" Target="https://doi.org/10.1016/S1002-0160(18)60034-7" TargetMode="External"/><Relationship Id="rId1118" Type="http://schemas.openxmlformats.org/officeDocument/2006/relationships/hyperlink" Target="https://doi.org/10.1111/2041-210X.13113" TargetMode="External"/><Relationship Id="rId1325" Type="http://schemas.openxmlformats.org/officeDocument/2006/relationships/hyperlink" Target="https://doi.org/10.1016/j.matpr.2022.04.671" TargetMode="External"/><Relationship Id="rId902" Type="http://schemas.openxmlformats.org/officeDocument/2006/relationships/hyperlink" Target="https://doi.org/10.1098/rsos.221447" TargetMode="External"/><Relationship Id="rId31" Type="http://schemas.openxmlformats.org/officeDocument/2006/relationships/hyperlink" Target="https://doi.org/10.1111/j.1365-2929.2006.02418.x" TargetMode="External"/><Relationship Id="rId180" Type="http://schemas.openxmlformats.org/officeDocument/2006/relationships/hyperlink" Target="https://doi.org/10.3996/082013-JFWM-057" TargetMode="External"/><Relationship Id="rId278" Type="http://schemas.openxmlformats.org/officeDocument/2006/relationships/hyperlink" Target="https://doi.org/10.1002/2688-8319.12378" TargetMode="External"/><Relationship Id="rId485" Type="http://schemas.openxmlformats.org/officeDocument/2006/relationships/hyperlink" Target="http://dx.doi.org/10.1071/WR15029" TargetMode="External"/><Relationship Id="rId692" Type="http://schemas.openxmlformats.org/officeDocument/2006/relationships/hyperlink" Target="https://apps.worldagroforestry.org/soc/3.2.%20Cost-error%20analysis.html" TargetMode="External"/><Relationship Id="rId138" Type="http://schemas.openxmlformats.org/officeDocument/2006/relationships/hyperlink" Target="https://doi.org/10.1080/00063657.2015.1013523" TargetMode="External"/><Relationship Id="rId345" Type="http://schemas.openxmlformats.org/officeDocument/2006/relationships/hyperlink" Target="https://doi.org/10.1016/j.ecolind.2021.108305" TargetMode="External"/><Relationship Id="rId552" Type="http://schemas.openxmlformats.org/officeDocument/2006/relationships/hyperlink" Target="https://doi.org/10.1016/j.ijproman.2008.04.002" TargetMode="External"/><Relationship Id="rId997" Type="http://schemas.openxmlformats.org/officeDocument/2006/relationships/hyperlink" Target="https://appliedecologistsblog.com/2023/09/01/cheap-microclimate-sensor-networks-in-the-wild/" TargetMode="External"/><Relationship Id="rId1182" Type="http://schemas.openxmlformats.org/officeDocument/2006/relationships/hyperlink" Target="https://e38surveysolutions.com/pages/drone-lidar-price-guide?srsltid=AfmBOoqP2BBX_uqOpQjfvvK-CF9WcYQ3LEum4a9H5RNpMJq5t444DshY" TargetMode="External"/><Relationship Id="rId205" Type="http://schemas.openxmlformats.org/officeDocument/2006/relationships/hyperlink" Target="https://doi.org/10.1016/j.ecolind.2021.107551" TargetMode="External"/><Relationship Id="rId412" Type="http://schemas.openxmlformats.org/officeDocument/2006/relationships/hyperlink" Target="https://doi.org/10.3390/f15111847" TargetMode="External"/><Relationship Id="rId857" Type="http://schemas.openxmlformats.org/officeDocument/2006/relationships/hyperlink" Target="https://doi.org/10.5194/essd-14-823-2022" TargetMode="External"/><Relationship Id="rId1042" Type="http://schemas.openxmlformats.org/officeDocument/2006/relationships/hyperlink" Target="https://doi.org/10.3390/su141811538" TargetMode="External"/><Relationship Id="rId717" Type="http://schemas.openxmlformats.org/officeDocument/2006/relationships/hyperlink" Target="https://doi.org/10.3390/f15111847" TargetMode="External"/><Relationship Id="rId924" Type="http://schemas.openxmlformats.org/officeDocument/2006/relationships/hyperlink" Target="https://doi.org/10.1111/2041-210X.12598" TargetMode="External"/><Relationship Id="rId1347" Type="http://schemas.openxmlformats.org/officeDocument/2006/relationships/hyperlink" Target="https://doi.org/10.1111/jzo.12945" TargetMode="External"/><Relationship Id="rId53" Type="http://schemas.openxmlformats.org/officeDocument/2006/relationships/hyperlink" Target="https://doi.org/10.1111/j.1365-2929.2006.02418.x" TargetMode="External"/><Relationship Id="rId1207" Type="http://schemas.openxmlformats.org/officeDocument/2006/relationships/hyperlink" Target="https://doi.org/10.1890/090153" TargetMode="External"/><Relationship Id="rId367" Type="http://schemas.openxmlformats.org/officeDocument/2006/relationships/hyperlink" Target="http://dx.doi.org/10.1658/1100-9233(2007)18%5b413:HRITMO%5d2.0.CO;2" TargetMode="External"/><Relationship Id="rId574" Type="http://schemas.openxmlformats.org/officeDocument/2006/relationships/hyperlink" Target="https://doi.org/10.1007/s11077-020-09382-3" TargetMode="External"/><Relationship Id="rId227" Type="http://schemas.openxmlformats.org/officeDocument/2006/relationships/hyperlink" Target="https://www.researchgate.net/publication/236593622_Field_comparison_of_transect_stationary_point_count_and_visual_fast_count_methods_for_visual_assessment_of_fish_assemblages_of_rocky_habitats_in_Madeira" TargetMode="External"/><Relationship Id="rId781" Type="http://schemas.openxmlformats.org/officeDocument/2006/relationships/hyperlink" Target="https://doi.org/10.1080/10106049.2024.2390512" TargetMode="External"/><Relationship Id="rId879" Type="http://schemas.openxmlformats.org/officeDocument/2006/relationships/hyperlink" Target="https://doi.org/10.1098/rstb.2010.0087" TargetMode="External"/><Relationship Id="rId434" Type="http://schemas.openxmlformats.org/officeDocument/2006/relationships/hyperlink" Target="https://doi.org/10.1016/j.jembe.2007.06.028" TargetMode="External"/><Relationship Id="rId641" Type="http://schemas.openxmlformats.org/officeDocument/2006/relationships/hyperlink" Target="https://doi.org/10.1111/j.1365-2929.2006.02418.x" TargetMode="External"/><Relationship Id="rId739" Type="http://schemas.openxmlformats.org/officeDocument/2006/relationships/hyperlink" Target="http://dx.doi.org/10.1658/1100-9233(2007)18%5b413:HRITMO%5d2.0.CO;2" TargetMode="External"/><Relationship Id="rId1064" Type="http://schemas.openxmlformats.org/officeDocument/2006/relationships/hyperlink" Target="https://doi.org/10.1016/j.geoderma.2014.01.027" TargetMode="External"/><Relationship Id="rId1271" Type="http://schemas.openxmlformats.org/officeDocument/2006/relationships/hyperlink" Target="http://dx.doi.org/10.9734/AJEE/2017/36987" TargetMode="External"/><Relationship Id="rId1369" Type="http://schemas.openxmlformats.org/officeDocument/2006/relationships/hyperlink" Target="https://doi.org/10.1016/j.atech.2025.100907" TargetMode="External"/><Relationship Id="rId501" Type="http://schemas.openxmlformats.org/officeDocument/2006/relationships/hyperlink" Target="https://doi.org/10.1111/j.1365-2929.2006.02418.x" TargetMode="External"/><Relationship Id="rId946" Type="http://schemas.openxmlformats.org/officeDocument/2006/relationships/hyperlink" Target="https://www.bellflowsystems.co.uk/w/water-quality-sensors/?sortBy=p.price&amp;sortOrder=asc" TargetMode="External"/><Relationship Id="rId1131" Type="http://schemas.openxmlformats.org/officeDocument/2006/relationships/hyperlink" Target="https://doi.org/10.1080/10106049.2024.2390512" TargetMode="External"/><Relationship Id="rId1229" Type="http://schemas.openxmlformats.org/officeDocument/2006/relationships/hyperlink" Target="https://doi.org/10.1080/01904167.2021.1884702" TargetMode="External"/><Relationship Id="rId75" Type="http://schemas.openxmlformats.org/officeDocument/2006/relationships/hyperlink" Target="https://doi.org/10.1111/j.1365-2929.2006.02418.x" TargetMode="External"/><Relationship Id="rId806" Type="http://schemas.openxmlformats.org/officeDocument/2006/relationships/hyperlink" Target="https://doi.org/10.1109/JSTARS.2017.2711482" TargetMode="External"/><Relationship Id="rId291" Type="http://schemas.openxmlformats.org/officeDocument/2006/relationships/hyperlink" Target="https://doi.org/10.1016/j.ecolind.2021.107551" TargetMode="External"/><Relationship Id="rId151" Type="http://schemas.openxmlformats.org/officeDocument/2006/relationships/hyperlink" Target="https://doi.org/10.3389/fmars.2020.00272" TargetMode="External"/><Relationship Id="rId389" Type="http://schemas.openxmlformats.org/officeDocument/2006/relationships/hyperlink" Target="https://doi.org/10.7717/peerj.3940" TargetMode="External"/><Relationship Id="rId596" Type="http://schemas.openxmlformats.org/officeDocument/2006/relationships/hyperlink" Target="https://businessofrecycling.wrap.ngo/recycling-guide/food-manufacturing/setting-up-recycling-for-your-food-or-drinks-manufacturing-business/how-to-conduct-a-waste-audit-for-the-food-and-drinks-manufacturing-sector" TargetMode="External"/><Relationship Id="rId249" Type="http://schemas.openxmlformats.org/officeDocument/2006/relationships/hyperlink" Target="https://hub.jncc.gov.uk/assets/121b1d65-866a-47c9-ab71-7088c706770c" TargetMode="External"/><Relationship Id="rId456" Type="http://schemas.openxmlformats.org/officeDocument/2006/relationships/hyperlink" Target="https://doi.org/10.1016/j.actao.2020.103667" TargetMode="External"/><Relationship Id="rId663" Type="http://schemas.openxmlformats.org/officeDocument/2006/relationships/hyperlink" Target="https://www.ons.gov.uk/explore-local-statistics/" TargetMode="External"/><Relationship Id="rId870" Type="http://schemas.openxmlformats.org/officeDocument/2006/relationships/hyperlink" Target="https://doi.org/10.1186/s40317-016-0105-8" TargetMode="External"/><Relationship Id="rId1086" Type="http://schemas.openxmlformats.org/officeDocument/2006/relationships/hyperlink" Target="https://doi.org/10.1016/j.ufug.2017.12.001" TargetMode="External"/><Relationship Id="rId1293" Type="http://schemas.openxmlformats.org/officeDocument/2006/relationships/hyperlink" Target="https://www.forestresearch.gov.uk/services/plant-tree-soil-and-water-testing/chemical-analysis-laboratory/" TargetMode="External"/><Relationship Id="rId109" Type="http://schemas.openxmlformats.org/officeDocument/2006/relationships/hyperlink" Target="https://doi.org/10.1111/j.1365-2929.2006.02418.x" TargetMode="External"/><Relationship Id="rId316" Type="http://schemas.openxmlformats.org/officeDocument/2006/relationships/hyperlink" Target="https://books.google.co.uk/books?hl=en&amp;lr=&amp;id=Ux_4CwAAQBAJ&amp;oi=fnd&amp;pg=PA227&amp;ots=XeKFWfJBKe&amp;sig=6Z_BCdMrKim9zHuv5-vb4gbG5-0&amp;redir_esc=y" TargetMode="External"/><Relationship Id="rId523" Type="http://schemas.openxmlformats.org/officeDocument/2006/relationships/hyperlink" Target="https://doi.org/10.1111/2041-210X.13113" TargetMode="External"/><Relationship Id="rId968" Type="http://schemas.openxmlformats.org/officeDocument/2006/relationships/hyperlink" Target="https://doi.org/10.1371/journal.pone.0175042" TargetMode="External"/><Relationship Id="rId1153" Type="http://schemas.openxmlformats.org/officeDocument/2006/relationships/hyperlink" Target="http://dx.doi.org/10.1093/jof/109.5.267" TargetMode="External"/><Relationship Id="rId97" Type="http://schemas.openxmlformats.org/officeDocument/2006/relationships/hyperlink" Target="https://doi.org/10.1111/j.1365-2929.2006.02418.x" TargetMode="External"/><Relationship Id="rId730" Type="http://schemas.openxmlformats.org/officeDocument/2006/relationships/hyperlink" Target="https://doi.org/10.1016/j.actao.2020.103667" TargetMode="External"/><Relationship Id="rId828" Type="http://schemas.openxmlformats.org/officeDocument/2006/relationships/hyperlink" Target="https://doi.org/10.1016/j.crope.2023.11.001" TargetMode="External"/><Relationship Id="rId1013" Type="http://schemas.openxmlformats.org/officeDocument/2006/relationships/hyperlink" Target="https://www.gov.wales/review-best-practice-soil-organic-carbon-monitoring" TargetMode="External"/><Relationship Id="rId1360" Type="http://schemas.openxmlformats.org/officeDocument/2006/relationships/hyperlink" Target="https://doi.org/10.1016/j.agrformet.2003.12.001" TargetMode="External"/><Relationship Id="rId1220" Type="http://schemas.openxmlformats.org/officeDocument/2006/relationships/hyperlink" Target="https://apps.worldagroforestry.org/soc/3.2.%20Cost-error%20analysis.html" TargetMode="External"/><Relationship Id="rId1318" Type="http://schemas.openxmlformats.org/officeDocument/2006/relationships/hyperlink" Target="https://doi.org/10.1007/s13280-015-0713-1" TargetMode="External"/><Relationship Id="rId24" Type="http://schemas.openxmlformats.org/officeDocument/2006/relationships/hyperlink" Target="https://doi.org/10.1111/j.1365-2929.2006.02418.x" TargetMode="External"/><Relationship Id="rId173" Type="http://schemas.openxmlformats.org/officeDocument/2006/relationships/hyperlink" Target="https://doi.org/10.1080/00063657.2011.586415" TargetMode="External"/><Relationship Id="rId380" Type="http://schemas.openxmlformats.org/officeDocument/2006/relationships/hyperlink" Target="https://doi.org/10.1080/00063657.2011.586415" TargetMode="External"/><Relationship Id="rId240" Type="http://schemas.openxmlformats.org/officeDocument/2006/relationships/hyperlink" Target="https://doi.org/10.3390/f15111847" TargetMode="External"/><Relationship Id="rId478" Type="http://schemas.openxmlformats.org/officeDocument/2006/relationships/hyperlink" Target="https://doi.org/10.1371/journal.pone.0121333" TargetMode="External"/><Relationship Id="rId685" Type="http://schemas.openxmlformats.org/officeDocument/2006/relationships/hyperlink" Target="https://www.gov.wales/review-best-practice-soil-organic-carbon-monitoring" TargetMode="External"/><Relationship Id="rId892" Type="http://schemas.openxmlformats.org/officeDocument/2006/relationships/hyperlink" Target="https://doi.org/10.1007/s13280-015-0713-1" TargetMode="External"/><Relationship Id="rId100" Type="http://schemas.openxmlformats.org/officeDocument/2006/relationships/hyperlink" Target="https://doi.org/10.1111/j.1365-2929.2006.02418.x" TargetMode="External"/><Relationship Id="rId338" Type="http://schemas.openxmlformats.org/officeDocument/2006/relationships/hyperlink" Target="https://doi.org/10.1080/01584197.2020.1726186" TargetMode="External"/><Relationship Id="rId545" Type="http://schemas.openxmlformats.org/officeDocument/2006/relationships/hyperlink" Target="https://doi.org/10.1016/j.jenvman.2020.111773" TargetMode="External"/><Relationship Id="rId752" Type="http://schemas.openxmlformats.org/officeDocument/2006/relationships/hyperlink" Target="https://doi.org/10.1111/2041-210X.13113" TargetMode="External"/><Relationship Id="rId1175" Type="http://schemas.openxmlformats.org/officeDocument/2006/relationships/hyperlink" Target="https://doi.org/10.1016/j.actao.2020.103667" TargetMode="External"/><Relationship Id="rId1382" Type="http://schemas.openxmlformats.org/officeDocument/2006/relationships/hyperlink" Target="https://doi.org/10.1016/j.agrformet.2012.11.008" TargetMode="External"/><Relationship Id="rId405" Type="http://schemas.openxmlformats.org/officeDocument/2006/relationships/hyperlink" Target="https://doi.org/10.1080/09524622.2023.2290715" TargetMode="External"/><Relationship Id="rId612" Type="http://schemas.openxmlformats.org/officeDocument/2006/relationships/hyperlink" Target="https://doi.org/10.1111/j.1365-2929.2006.02418.x" TargetMode="External"/><Relationship Id="rId1035" Type="http://schemas.openxmlformats.org/officeDocument/2006/relationships/hyperlink" Target="https://doi.org/10.1016/j.jhydrol.2012.06.021" TargetMode="External"/><Relationship Id="rId1242" Type="http://schemas.openxmlformats.org/officeDocument/2006/relationships/hyperlink" Target="https://doi.org/10.1038/s41597-024-03750-x" TargetMode="External"/><Relationship Id="rId917" Type="http://schemas.openxmlformats.org/officeDocument/2006/relationships/hyperlink" Target="https://doi.org/10.1111/1755-0998.13543" TargetMode="External"/><Relationship Id="rId1102" Type="http://schemas.openxmlformats.org/officeDocument/2006/relationships/hyperlink" Target="https://findit.dtu.dk/en/catalog/673e63159cfa3627a8916cc3" TargetMode="External"/><Relationship Id="rId46" Type="http://schemas.openxmlformats.org/officeDocument/2006/relationships/hyperlink" Target="https://doi.org/10.1111/j.1365-2929.2006.02418.x" TargetMode="External"/><Relationship Id="rId195" Type="http://schemas.openxmlformats.org/officeDocument/2006/relationships/hyperlink" Target="https://doi.org/10.1111/2041-210X.13101" TargetMode="External"/><Relationship Id="rId262" Type="http://schemas.openxmlformats.org/officeDocument/2006/relationships/hyperlink" Target="https://doi.org/10.3996/082013-JFWM-057" TargetMode="External"/><Relationship Id="rId567" Type="http://schemas.openxmlformats.org/officeDocument/2006/relationships/hyperlink" Target="https://doi.org/10.1016/j.marpol.2024.106238" TargetMode="External"/><Relationship Id="rId1197" Type="http://schemas.openxmlformats.org/officeDocument/2006/relationships/hyperlink" Target="https://doi.org/10.1016/j.rse.2012.10.01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1CD05-C42B-1340-916E-E3319C311599}">
  <dimension ref="A1:AM225"/>
  <sheetViews>
    <sheetView zoomScale="85" zoomScaleNormal="85" workbookViewId="0"/>
  </sheetViews>
  <sheetFormatPr baseColWidth="10" defaultColWidth="8.83203125" defaultRowHeight="15" outlineLevelCol="1"/>
  <cols>
    <col min="1" max="1" width="7" style="27" bestFit="1" customWidth="1"/>
    <col min="2" max="2" width="9.33203125" style="27" customWidth="1"/>
    <col min="3" max="3" width="12.6640625" style="39" customWidth="1"/>
    <col min="4" max="4" width="34.1640625" style="27" customWidth="1"/>
    <col min="5" max="5" width="16.6640625" style="27" customWidth="1"/>
    <col min="6" max="7" width="9.1640625" style="27" bestFit="1" customWidth="1"/>
    <col min="8" max="8" width="11.5" style="27" customWidth="1"/>
    <col min="9" max="9" width="12.5" style="27" customWidth="1"/>
    <col min="10" max="10" width="10.6640625" style="27" customWidth="1"/>
    <col min="11" max="11" width="9.1640625" style="27" customWidth="1"/>
    <col min="12" max="15" width="9.1640625" style="27" customWidth="1" outlineLevel="1"/>
    <col min="16" max="16" width="9.1640625" style="27" bestFit="1" customWidth="1"/>
    <col min="17" max="19" width="9.1640625" style="27" customWidth="1" outlineLevel="1"/>
    <col min="20" max="20" width="9.1640625" style="27" bestFit="1" customWidth="1"/>
    <col min="21" max="22" width="9.1640625" style="27" customWidth="1" outlineLevel="1"/>
    <col min="23" max="23" width="9.1640625" style="27" bestFit="1" customWidth="1"/>
    <col min="24" max="26" width="9.1640625" style="27" customWidth="1" outlineLevel="1"/>
    <col min="27" max="27" width="9.1640625" style="27" bestFit="1" customWidth="1"/>
    <col min="28" max="29" width="9.1640625" style="27" customWidth="1" outlineLevel="1"/>
    <col min="30" max="30" width="9.1640625" style="27" bestFit="1" customWidth="1"/>
    <col min="31" max="32" width="9.1640625" style="27" customWidth="1" outlineLevel="1"/>
    <col min="33" max="33" width="9.1640625" style="27" bestFit="1" customWidth="1"/>
    <col min="34" max="37" width="9.1640625" style="27" customWidth="1" outlineLevel="1"/>
    <col min="38" max="16384" width="8.83203125" style="27"/>
  </cols>
  <sheetData>
    <row r="1" spans="1:39" ht="173">
      <c r="A1" s="5" t="s">
        <v>1657</v>
      </c>
      <c r="B1" s="5" t="s">
        <v>0</v>
      </c>
      <c r="C1" s="6" t="s">
        <v>1686</v>
      </c>
      <c r="D1" s="7" t="s">
        <v>1685</v>
      </c>
      <c r="E1" s="7" t="s">
        <v>1</v>
      </c>
      <c r="F1" s="8" t="s">
        <v>2</v>
      </c>
      <c r="G1" s="8" t="s">
        <v>3</v>
      </c>
      <c r="H1" s="8" t="s">
        <v>4</v>
      </c>
      <c r="I1" s="8" t="s">
        <v>5</v>
      </c>
      <c r="J1" s="8" t="s">
        <v>6</v>
      </c>
      <c r="K1" s="9" t="s">
        <v>1678</v>
      </c>
      <c r="L1" s="10" t="s">
        <v>1658</v>
      </c>
      <c r="M1" s="10" t="s">
        <v>1659</v>
      </c>
      <c r="N1" s="10" t="s">
        <v>1660</v>
      </c>
      <c r="O1" s="10" t="s">
        <v>1661</v>
      </c>
      <c r="P1" s="11" t="s">
        <v>1679</v>
      </c>
      <c r="Q1" s="12" t="s">
        <v>1662</v>
      </c>
      <c r="R1" s="12" t="s">
        <v>1663</v>
      </c>
      <c r="S1" s="12" t="s">
        <v>1664</v>
      </c>
      <c r="T1" s="13" t="s">
        <v>1680</v>
      </c>
      <c r="U1" s="14" t="s">
        <v>1665</v>
      </c>
      <c r="V1" s="15" t="s">
        <v>1666</v>
      </c>
      <c r="W1" s="16" t="s">
        <v>1681</v>
      </c>
      <c r="X1" s="17" t="s">
        <v>1667</v>
      </c>
      <c r="Y1" s="18" t="s">
        <v>1668</v>
      </c>
      <c r="Z1" s="18" t="s">
        <v>1669</v>
      </c>
      <c r="AA1" s="19" t="s">
        <v>1682</v>
      </c>
      <c r="AB1" s="20" t="s">
        <v>1670</v>
      </c>
      <c r="AC1" s="21" t="s">
        <v>1671</v>
      </c>
      <c r="AD1" s="22" t="s">
        <v>1683</v>
      </c>
      <c r="AE1" s="23" t="s">
        <v>1672</v>
      </c>
      <c r="AF1" s="23" t="s">
        <v>1673</v>
      </c>
      <c r="AG1" s="24" t="s">
        <v>1684</v>
      </c>
      <c r="AH1" s="25" t="s">
        <v>1674</v>
      </c>
      <c r="AI1" s="25" t="s">
        <v>1675</v>
      </c>
      <c r="AJ1" s="25" t="s">
        <v>1676</v>
      </c>
      <c r="AK1" s="25" t="s">
        <v>1677</v>
      </c>
      <c r="AL1" s="26" t="s">
        <v>7</v>
      </c>
      <c r="AM1" s="26" t="s">
        <v>8</v>
      </c>
    </row>
    <row r="2" spans="1:39" ht="15" customHeight="1">
      <c r="A2" s="27">
        <v>1</v>
      </c>
      <c r="B2" s="28" t="s">
        <v>9</v>
      </c>
      <c r="C2" s="29" t="s">
        <v>10</v>
      </c>
      <c r="D2" s="30" t="s">
        <v>11</v>
      </c>
      <c r="E2" s="28" t="s">
        <v>12</v>
      </c>
      <c r="F2" s="28" t="s">
        <v>13</v>
      </c>
      <c r="G2" s="28" t="s">
        <v>14</v>
      </c>
      <c r="H2" s="28" t="s">
        <v>13</v>
      </c>
      <c r="I2" s="28"/>
      <c r="J2" s="28"/>
      <c r="K2" s="31" t="s">
        <v>13</v>
      </c>
      <c r="L2" s="31" t="s">
        <v>15</v>
      </c>
      <c r="M2" s="31" t="s">
        <v>16</v>
      </c>
      <c r="N2" s="31" t="s">
        <v>16</v>
      </c>
      <c r="O2" s="31" t="s">
        <v>16</v>
      </c>
      <c r="P2" s="32" t="s">
        <v>16</v>
      </c>
      <c r="Q2" s="32" t="s">
        <v>16</v>
      </c>
      <c r="R2" s="32" t="s">
        <v>16</v>
      </c>
      <c r="S2" s="32" t="s">
        <v>16</v>
      </c>
      <c r="T2" s="33" t="s">
        <v>16</v>
      </c>
      <c r="U2" s="33" t="s">
        <v>16</v>
      </c>
      <c r="V2" s="33" t="s">
        <v>16</v>
      </c>
      <c r="W2" s="34" t="s">
        <v>13</v>
      </c>
      <c r="X2" s="34" t="s">
        <v>15</v>
      </c>
      <c r="Y2" s="34" t="s">
        <v>16</v>
      </c>
      <c r="Z2" s="34" t="s">
        <v>16</v>
      </c>
      <c r="AA2" s="35" t="s">
        <v>16</v>
      </c>
      <c r="AB2" s="35" t="s">
        <v>16</v>
      </c>
      <c r="AC2" s="35" t="s">
        <v>16</v>
      </c>
      <c r="AD2" s="36" t="s">
        <v>16</v>
      </c>
      <c r="AE2" s="36" t="s">
        <v>16</v>
      </c>
      <c r="AF2" s="36" t="s">
        <v>16</v>
      </c>
      <c r="AG2" s="37" t="s">
        <v>13</v>
      </c>
      <c r="AH2" s="37" t="s">
        <v>16</v>
      </c>
      <c r="AI2" s="37" t="s">
        <v>16</v>
      </c>
      <c r="AJ2" s="37" t="s">
        <v>13</v>
      </c>
      <c r="AK2" s="37" t="s">
        <v>16</v>
      </c>
      <c r="AL2" s="38">
        <f>COUNTIF(K2,"x")+(COUNTIF(P2,"x")+COUNTIF(T2,"x")+COUNTIF(W2,"x")+COUNTIF(AA2,"x")+COUNTIF(AD2,"x")+COUNTIF(AG2,"x"))</f>
        <v>3</v>
      </c>
      <c r="AM2" s="38">
        <f>COUNTIF(L2:O2,"x")+(COUNTIF(Q2:S2,"x")+COUNTIF(U2:V2,"x")+COUNTIF(X2:Z2,"x")+COUNTIF(AB2:AC2,"x")+COUNTIF(AE2:AF2,"x")+COUNTIF(AH2:AK2,"x"))</f>
        <v>1</v>
      </c>
    </row>
    <row r="3" spans="1:39" ht="15" customHeight="1">
      <c r="A3" s="27">
        <v>2</v>
      </c>
      <c r="B3" s="28" t="s">
        <v>9</v>
      </c>
      <c r="C3" s="29" t="s">
        <v>10</v>
      </c>
      <c r="D3" s="28" t="s">
        <v>17</v>
      </c>
      <c r="E3" s="28" t="s">
        <v>12</v>
      </c>
      <c r="F3" s="28" t="s">
        <v>13</v>
      </c>
      <c r="G3" s="28" t="s">
        <v>14</v>
      </c>
      <c r="H3" s="28" t="s">
        <v>13</v>
      </c>
      <c r="I3" s="28"/>
      <c r="J3" s="28"/>
      <c r="K3" s="31" t="s">
        <v>13</v>
      </c>
      <c r="L3" s="31" t="s">
        <v>13</v>
      </c>
      <c r="M3" s="31" t="s">
        <v>16</v>
      </c>
      <c r="N3" s="31" t="s">
        <v>16</v>
      </c>
      <c r="O3" s="31" t="s">
        <v>16</v>
      </c>
      <c r="P3" s="32" t="s">
        <v>16</v>
      </c>
      <c r="Q3" s="32" t="s">
        <v>16</v>
      </c>
      <c r="R3" s="32" t="s">
        <v>16</v>
      </c>
      <c r="S3" s="32" t="s">
        <v>16</v>
      </c>
      <c r="T3" s="33" t="s">
        <v>16</v>
      </c>
      <c r="U3" s="33" t="s">
        <v>16</v>
      </c>
      <c r="V3" s="33" t="s">
        <v>16</v>
      </c>
      <c r="W3" s="34" t="s">
        <v>13</v>
      </c>
      <c r="X3" s="34" t="s">
        <v>18</v>
      </c>
      <c r="Y3" s="34" t="s">
        <v>16</v>
      </c>
      <c r="Z3" s="34" t="s">
        <v>16</v>
      </c>
      <c r="AA3" s="35" t="s">
        <v>16</v>
      </c>
      <c r="AB3" s="35" t="s">
        <v>16</v>
      </c>
      <c r="AC3" s="35" t="s">
        <v>16</v>
      </c>
      <c r="AD3" s="36" t="s">
        <v>16</v>
      </c>
      <c r="AE3" s="36" t="s">
        <v>16</v>
      </c>
      <c r="AF3" s="36" t="s">
        <v>16</v>
      </c>
      <c r="AG3" s="37" t="s">
        <v>13</v>
      </c>
      <c r="AH3" s="37" t="s">
        <v>16</v>
      </c>
      <c r="AI3" s="37" t="s">
        <v>16</v>
      </c>
      <c r="AJ3" s="37" t="s">
        <v>16</v>
      </c>
      <c r="AK3" s="37" t="s">
        <v>16</v>
      </c>
      <c r="AL3" s="38">
        <f t="shared" ref="AL3:AL66" si="0">COUNTIF(K3,"x")+(COUNTIF(P3,"x")+COUNTIF(T3,"x")+COUNTIF(W3,"x")+COUNTIF(AA3,"x")+COUNTIF(AD3,"x")+COUNTIF(AG3,"x"))</f>
        <v>3</v>
      </c>
      <c r="AM3" s="38">
        <f t="shared" ref="AM3:AM66" si="1">COUNTIF(L3:O3,"x")+(COUNTIF(Q3:S3,"x")+COUNTIF(U3:V3,"x")+COUNTIF(X3:Z3,"x")+COUNTIF(AB3:AC3,"x")+COUNTIF(AE3:AF3,"x")+COUNTIF(AH3:AK3,"x"))</f>
        <v>1</v>
      </c>
    </row>
    <row r="4" spans="1:39" ht="15" customHeight="1">
      <c r="A4" s="27">
        <v>3</v>
      </c>
      <c r="B4" s="28" t="s">
        <v>9</v>
      </c>
      <c r="C4" s="29" t="s">
        <v>10</v>
      </c>
      <c r="D4" s="28" t="s">
        <v>19</v>
      </c>
      <c r="E4" s="28" t="s">
        <v>12</v>
      </c>
      <c r="F4" s="28" t="s">
        <v>13</v>
      </c>
      <c r="G4" s="28"/>
      <c r="H4" s="28"/>
      <c r="I4" s="28"/>
      <c r="J4" s="28"/>
      <c r="K4" s="31" t="s">
        <v>13</v>
      </c>
      <c r="L4" s="31" t="s">
        <v>13</v>
      </c>
      <c r="M4" s="31" t="s">
        <v>16</v>
      </c>
      <c r="N4" s="31" t="s">
        <v>16</v>
      </c>
      <c r="O4" s="31" t="s">
        <v>16</v>
      </c>
      <c r="P4" s="32" t="s">
        <v>16</v>
      </c>
      <c r="Q4" s="32" t="s">
        <v>16</v>
      </c>
      <c r="R4" s="32" t="s">
        <v>16</v>
      </c>
      <c r="S4" s="32" t="s">
        <v>16</v>
      </c>
      <c r="T4" s="33" t="s">
        <v>16</v>
      </c>
      <c r="U4" s="33" t="s">
        <v>16</v>
      </c>
      <c r="V4" s="33" t="s">
        <v>16</v>
      </c>
      <c r="W4" s="34" t="s">
        <v>13</v>
      </c>
      <c r="X4" s="34" t="s">
        <v>18</v>
      </c>
      <c r="Y4" s="34" t="s">
        <v>16</v>
      </c>
      <c r="Z4" s="34" t="s">
        <v>16</v>
      </c>
      <c r="AA4" s="35" t="s">
        <v>16</v>
      </c>
      <c r="AB4" s="35" t="s">
        <v>16</v>
      </c>
      <c r="AC4" s="35" t="s">
        <v>16</v>
      </c>
      <c r="AD4" s="36" t="s">
        <v>16</v>
      </c>
      <c r="AE4" s="36" t="s">
        <v>16</v>
      </c>
      <c r="AF4" s="36" t="s">
        <v>16</v>
      </c>
      <c r="AG4" s="37" t="s">
        <v>13</v>
      </c>
      <c r="AH4" s="37" t="s">
        <v>16</v>
      </c>
      <c r="AI4" s="37" t="s">
        <v>16</v>
      </c>
      <c r="AJ4" s="37" t="s">
        <v>16</v>
      </c>
      <c r="AK4" s="37" t="s">
        <v>16</v>
      </c>
      <c r="AL4" s="38">
        <f t="shared" si="0"/>
        <v>3</v>
      </c>
      <c r="AM4" s="38">
        <f t="shared" si="1"/>
        <v>1</v>
      </c>
    </row>
    <row r="5" spans="1:39" ht="15" customHeight="1">
      <c r="A5" s="27">
        <v>4</v>
      </c>
      <c r="B5" s="28" t="s">
        <v>9</v>
      </c>
      <c r="C5" s="29" t="s">
        <v>10</v>
      </c>
      <c r="D5" s="28" t="s">
        <v>20</v>
      </c>
      <c r="E5" s="28" t="s">
        <v>21</v>
      </c>
      <c r="F5" s="28" t="s">
        <v>13</v>
      </c>
      <c r="G5" s="28"/>
      <c r="H5" s="28" t="s">
        <v>13</v>
      </c>
      <c r="I5" s="28"/>
      <c r="J5" s="28"/>
      <c r="K5" s="31" t="s">
        <v>13</v>
      </c>
      <c r="L5" s="31" t="s">
        <v>13</v>
      </c>
      <c r="M5" s="31" t="s">
        <v>16</v>
      </c>
      <c r="N5" s="31" t="s">
        <v>16</v>
      </c>
      <c r="O5" s="31" t="s">
        <v>16</v>
      </c>
      <c r="P5" s="32" t="s">
        <v>16</v>
      </c>
      <c r="Q5" s="32" t="s">
        <v>16</v>
      </c>
      <c r="R5" s="32" t="s">
        <v>16</v>
      </c>
      <c r="S5" s="32" t="s">
        <v>16</v>
      </c>
      <c r="T5" s="33" t="s">
        <v>16</v>
      </c>
      <c r="U5" s="33" t="s">
        <v>16</v>
      </c>
      <c r="V5" s="33" t="s">
        <v>16</v>
      </c>
      <c r="W5" s="34" t="s">
        <v>13</v>
      </c>
      <c r="X5" s="34" t="s">
        <v>18</v>
      </c>
      <c r="Y5" s="34" t="s">
        <v>16</v>
      </c>
      <c r="Z5" s="34" t="s">
        <v>16</v>
      </c>
      <c r="AA5" s="35" t="s">
        <v>16</v>
      </c>
      <c r="AB5" s="35" t="s">
        <v>16</v>
      </c>
      <c r="AC5" s="35" t="s">
        <v>16</v>
      </c>
      <c r="AD5" s="36" t="s">
        <v>16</v>
      </c>
      <c r="AE5" s="36" t="s">
        <v>16</v>
      </c>
      <c r="AF5" s="36" t="s">
        <v>16</v>
      </c>
      <c r="AG5" s="37" t="s">
        <v>13</v>
      </c>
      <c r="AH5" s="37" t="s">
        <v>16</v>
      </c>
      <c r="AI5" s="37" t="s">
        <v>16</v>
      </c>
      <c r="AJ5" s="37" t="s">
        <v>16</v>
      </c>
      <c r="AK5" s="37" t="s">
        <v>16</v>
      </c>
      <c r="AL5" s="38">
        <f t="shared" si="0"/>
        <v>3</v>
      </c>
      <c r="AM5" s="38">
        <f t="shared" si="1"/>
        <v>1</v>
      </c>
    </row>
    <row r="6" spans="1:39" ht="15" customHeight="1">
      <c r="A6" s="27">
        <v>5</v>
      </c>
      <c r="B6" s="28" t="s">
        <v>9</v>
      </c>
      <c r="C6" s="29" t="s">
        <v>10</v>
      </c>
      <c r="D6" s="28" t="s">
        <v>22</v>
      </c>
      <c r="E6" s="28" t="s">
        <v>12</v>
      </c>
      <c r="F6" s="28" t="s">
        <v>13</v>
      </c>
      <c r="G6" s="28"/>
      <c r="H6" s="28"/>
      <c r="I6" s="28"/>
      <c r="J6" s="28"/>
      <c r="K6" s="31" t="s">
        <v>13</v>
      </c>
      <c r="L6" s="31" t="s">
        <v>16</v>
      </c>
      <c r="M6" s="31" t="s">
        <v>16</v>
      </c>
      <c r="N6" s="31" t="s">
        <v>16</v>
      </c>
      <c r="O6" s="31" t="s">
        <v>16</v>
      </c>
      <c r="P6" s="32" t="s">
        <v>16</v>
      </c>
      <c r="Q6" s="32" t="s">
        <v>16</v>
      </c>
      <c r="R6" s="32" t="s">
        <v>16</v>
      </c>
      <c r="S6" s="32" t="s">
        <v>16</v>
      </c>
      <c r="T6" s="33" t="s">
        <v>16</v>
      </c>
      <c r="U6" s="33" t="s">
        <v>16</v>
      </c>
      <c r="V6" s="33" t="s">
        <v>16</v>
      </c>
      <c r="W6" s="34" t="s">
        <v>16</v>
      </c>
      <c r="X6" s="34" t="s">
        <v>16</v>
      </c>
      <c r="Y6" s="34" t="s">
        <v>16</v>
      </c>
      <c r="Z6" s="34" t="s">
        <v>16</v>
      </c>
      <c r="AA6" s="35" t="s">
        <v>16</v>
      </c>
      <c r="AB6" s="35" t="s">
        <v>16</v>
      </c>
      <c r="AC6" s="35" t="s">
        <v>16</v>
      </c>
      <c r="AD6" s="36" t="s">
        <v>16</v>
      </c>
      <c r="AE6" s="36" t="s">
        <v>16</v>
      </c>
      <c r="AF6" s="36" t="s">
        <v>16</v>
      </c>
      <c r="AG6" s="37" t="s">
        <v>13</v>
      </c>
      <c r="AH6" s="37" t="s">
        <v>16</v>
      </c>
      <c r="AI6" s="37" t="s">
        <v>16</v>
      </c>
      <c r="AJ6" s="37" t="s">
        <v>16</v>
      </c>
      <c r="AK6" s="37" t="s">
        <v>16</v>
      </c>
      <c r="AL6" s="38">
        <f t="shared" si="0"/>
        <v>2</v>
      </c>
      <c r="AM6" s="38">
        <f t="shared" si="1"/>
        <v>0</v>
      </c>
    </row>
    <row r="7" spans="1:39" ht="15" customHeight="1">
      <c r="A7" s="27">
        <v>6</v>
      </c>
      <c r="B7" s="28" t="s">
        <v>9</v>
      </c>
      <c r="C7" s="29" t="s">
        <v>10</v>
      </c>
      <c r="D7" s="28" t="s">
        <v>23</v>
      </c>
      <c r="E7" s="28" t="s">
        <v>24</v>
      </c>
      <c r="F7" s="28" t="s">
        <v>13</v>
      </c>
      <c r="G7" s="28" t="s">
        <v>14</v>
      </c>
      <c r="H7" s="28"/>
      <c r="I7" s="28"/>
      <c r="J7" s="28"/>
      <c r="K7" s="31" t="s">
        <v>13</v>
      </c>
      <c r="L7" s="31" t="s">
        <v>18</v>
      </c>
      <c r="M7" s="31" t="s">
        <v>16</v>
      </c>
      <c r="N7" s="31" t="s">
        <v>16</v>
      </c>
      <c r="O7" s="31" t="s">
        <v>16</v>
      </c>
      <c r="P7" s="32" t="s">
        <v>16</v>
      </c>
      <c r="Q7" s="32" t="s">
        <v>16</v>
      </c>
      <c r="R7" s="32" t="s">
        <v>16</v>
      </c>
      <c r="S7" s="32" t="s">
        <v>16</v>
      </c>
      <c r="T7" s="33" t="s">
        <v>16</v>
      </c>
      <c r="U7" s="33" t="s">
        <v>16</v>
      </c>
      <c r="V7" s="33" t="s">
        <v>16</v>
      </c>
      <c r="W7" s="34" t="s">
        <v>13</v>
      </c>
      <c r="X7" s="34" t="s">
        <v>18</v>
      </c>
      <c r="Y7" s="34" t="s">
        <v>16</v>
      </c>
      <c r="Z7" s="34" t="s">
        <v>16</v>
      </c>
      <c r="AA7" s="35" t="s">
        <v>16</v>
      </c>
      <c r="AB7" s="35" t="s">
        <v>16</v>
      </c>
      <c r="AC7" s="35" t="s">
        <v>16</v>
      </c>
      <c r="AD7" s="36" t="s">
        <v>16</v>
      </c>
      <c r="AE7" s="36" t="s">
        <v>16</v>
      </c>
      <c r="AF7" s="36" t="s">
        <v>16</v>
      </c>
      <c r="AG7" s="37" t="s">
        <v>13</v>
      </c>
      <c r="AH7" s="37" t="s">
        <v>16</v>
      </c>
      <c r="AI7" s="37" t="s">
        <v>16</v>
      </c>
      <c r="AJ7" s="37" t="s">
        <v>13</v>
      </c>
      <c r="AK7" s="37" t="s">
        <v>16</v>
      </c>
      <c r="AL7" s="38">
        <f t="shared" si="0"/>
        <v>3</v>
      </c>
      <c r="AM7" s="38">
        <f t="shared" si="1"/>
        <v>1</v>
      </c>
    </row>
    <row r="8" spans="1:39" ht="15" customHeight="1">
      <c r="A8" s="27">
        <v>7</v>
      </c>
      <c r="B8" s="28" t="s">
        <v>9</v>
      </c>
      <c r="C8" s="29" t="s">
        <v>10</v>
      </c>
      <c r="D8" s="30" t="s">
        <v>25</v>
      </c>
      <c r="E8" s="28" t="s">
        <v>24</v>
      </c>
      <c r="F8" s="28" t="s">
        <v>13</v>
      </c>
      <c r="G8" s="28" t="s">
        <v>14</v>
      </c>
      <c r="H8" s="28"/>
      <c r="I8" s="28"/>
      <c r="J8" s="28"/>
      <c r="K8" s="31" t="s">
        <v>13</v>
      </c>
      <c r="L8" s="31" t="s">
        <v>15</v>
      </c>
      <c r="M8" s="31" t="s">
        <v>16</v>
      </c>
      <c r="N8" s="31" t="s">
        <v>16</v>
      </c>
      <c r="O8" s="31" t="s">
        <v>16</v>
      </c>
      <c r="P8" s="32" t="s">
        <v>16</v>
      </c>
      <c r="Q8" s="32" t="s">
        <v>16</v>
      </c>
      <c r="R8" s="32" t="s">
        <v>16</v>
      </c>
      <c r="S8" s="32" t="s">
        <v>16</v>
      </c>
      <c r="T8" s="33" t="s">
        <v>16</v>
      </c>
      <c r="U8" s="33" t="s">
        <v>16</v>
      </c>
      <c r="V8" s="33" t="s">
        <v>16</v>
      </c>
      <c r="W8" s="34" t="s">
        <v>13</v>
      </c>
      <c r="X8" s="34" t="s">
        <v>15</v>
      </c>
      <c r="Y8" s="34" t="s">
        <v>16</v>
      </c>
      <c r="Z8" s="34" t="s">
        <v>16</v>
      </c>
      <c r="AA8" s="35" t="s">
        <v>16</v>
      </c>
      <c r="AB8" s="35" t="s">
        <v>16</v>
      </c>
      <c r="AC8" s="35" t="s">
        <v>16</v>
      </c>
      <c r="AD8" s="36" t="s">
        <v>16</v>
      </c>
      <c r="AE8" s="36" t="s">
        <v>16</v>
      </c>
      <c r="AF8" s="36" t="s">
        <v>16</v>
      </c>
      <c r="AG8" s="37" t="s">
        <v>13</v>
      </c>
      <c r="AH8" s="37" t="s">
        <v>16</v>
      </c>
      <c r="AI8" s="37" t="s">
        <v>16</v>
      </c>
      <c r="AJ8" s="37" t="s">
        <v>13</v>
      </c>
      <c r="AK8" s="37" t="s">
        <v>16</v>
      </c>
      <c r="AL8" s="38">
        <f t="shared" si="0"/>
        <v>3</v>
      </c>
      <c r="AM8" s="38">
        <f t="shared" si="1"/>
        <v>1</v>
      </c>
    </row>
    <row r="9" spans="1:39" ht="15" customHeight="1">
      <c r="A9" s="27">
        <v>8</v>
      </c>
      <c r="B9" s="28" t="s">
        <v>9</v>
      </c>
      <c r="C9" s="29" t="s">
        <v>10</v>
      </c>
      <c r="D9" s="28" t="s">
        <v>26</v>
      </c>
      <c r="E9" s="28" t="s">
        <v>24</v>
      </c>
      <c r="F9" s="28" t="s">
        <v>13</v>
      </c>
      <c r="G9" s="28" t="s">
        <v>14</v>
      </c>
      <c r="H9" s="28"/>
      <c r="I9" s="28"/>
      <c r="J9" s="28"/>
      <c r="K9" s="31" t="s">
        <v>13</v>
      </c>
      <c r="L9" s="31" t="s">
        <v>18</v>
      </c>
      <c r="M9" s="31" t="s">
        <v>16</v>
      </c>
      <c r="N9" s="31" t="s">
        <v>16</v>
      </c>
      <c r="O9" s="31" t="s">
        <v>16</v>
      </c>
      <c r="P9" s="32" t="s">
        <v>16</v>
      </c>
      <c r="Q9" s="32" t="s">
        <v>16</v>
      </c>
      <c r="R9" s="32" t="s">
        <v>16</v>
      </c>
      <c r="S9" s="32" t="s">
        <v>16</v>
      </c>
      <c r="T9" s="33" t="s">
        <v>16</v>
      </c>
      <c r="U9" s="33" t="s">
        <v>16</v>
      </c>
      <c r="V9" s="33" t="s">
        <v>16</v>
      </c>
      <c r="W9" s="34" t="s">
        <v>13</v>
      </c>
      <c r="X9" s="34" t="s">
        <v>18</v>
      </c>
      <c r="Y9" s="34" t="s">
        <v>16</v>
      </c>
      <c r="Z9" s="34" t="s">
        <v>16</v>
      </c>
      <c r="AA9" s="35" t="s">
        <v>16</v>
      </c>
      <c r="AB9" s="35" t="s">
        <v>16</v>
      </c>
      <c r="AC9" s="35" t="s">
        <v>16</v>
      </c>
      <c r="AD9" s="36" t="s">
        <v>16</v>
      </c>
      <c r="AE9" s="36" t="s">
        <v>16</v>
      </c>
      <c r="AF9" s="36" t="s">
        <v>16</v>
      </c>
      <c r="AG9" s="37" t="s">
        <v>13</v>
      </c>
      <c r="AH9" s="37" t="s">
        <v>16</v>
      </c>
      <c r="AI9" s="37" t="s">
        <v>16</v>
      </c>
      <c r="AJ9" s="37" t="s">
        <v>16</v>
      </c>
      <c r="AK9" s="37" t="s">
        <v>16</v>
      </c>
      <c r="AL9" s="38">
        <f t="shared" si="0"/>
        <v>3</v>
      </c>
      <c r="AM9" s="38">
        <f t="shared" si="1"/>
        <v>0</v>
      </c>
    </row>
    <row r="10" spans="1:39" ht="15" customHeight="1">
      <c r="A10" s="27">
        <v>9</v>
      </c>
      <c r="B10" s="28" t="s">
        <v>9</v>
      </c>
      <c r="C10" s="29" t="s">
        <v>10</v>
      </c>
      <c r="D10" s="28" t="s">
        <v>27</v>
      </c>
      <c r="E10" s="28" t="s">
        <v>24</v>
      </c>
      <c r="F10" s="28" t="s">
        <v>13</v>
      </c>
      <c r="G10" s="28" t="s">
        <v>14</v>
      </c>
      <c r="H10" s="28" t="s">
        <v>13</v>
      </c>
      <c r="I10" s="28"/>
      <c r="J10" s="28"/>
      <c r="K10" s="31" t="s">
        <v>13</v>
      </c>
      <c r="L10" s="31" t="s">
        <v>18</v>
      </c>
      <c r="M10" s="31" t="s">
        <v>16</v>
      </c>
      <c r="N10" s="31" t="s">
        <v>16</v>
      </c>
      <c r="O10" s="31" t="s">
        <v>16</v>
      </c>
      <c r="P10" s="32" t="s">
        <v>16</v>
      </c>
      <c r="Q10" s="32" t="s">
        <v>16</v>
      </c>
      <c r="R10" s="32" t="s">
        <v>16</v>
      </c>
      <c r="S10" s="32" t="s">
        <v>16</v>
      </c>
      <c r="T10" s="33" t="s">
        <v>28</v>
      </c>
      <c r="U10" s="33" t="s">
        <v>28</v>
      </c>
      <c r="V10" s="33" t="s">
        <v>16</v>
      </c>
      <c r="W10" s="34" t="s">
        <v>13</v>
      </c>
      <c r="X10" s="34" t="s">
        <v>13</v>
      </c>
      <c r="Y10" s="34" t="s">
        <v>16</v>
      </c>
      <c r="Z10" s="34" t="s">
        <v>16</v>
      </c>
      <c r="AA10" s="35" t="s">
        <v>16</v>
      </c>
      <c r="AB10" s="35" t="s">
        <v>16</v>
      </c>
      <c r="AC10" s="35" t="s">
        <v>16</v>
      </c>
      <c r="AD10" s="36" t="s">
        <v>16</v>
      </c>
      <c r="AE10" s="36" t="s">
        <v>16</v>
      </c>
      <c r="AF10" s="36" t="s">
        <v>16</v>
      </c>
      <c r="AG10" s="37" t="s">
        <v>13</v>
      </c>
      <c r="AH10" s="37" t="s">
        <v>16</v>
      </c>
      <c r="AI10" s="37" t="s">
        <v>16</v>
      </c>
      <c r="AJ10" s="37" t="s">
        <v>13</v>
      </c>
      <c r="AK10" s="37" t="s">
        <v>16</v>
      </c>
      <c r="AL10" s="38">
        <f t="shared" si="0"/>
        <v>3</v>
      </c>
      <c r="AM10" s="38">
        <f t="shared" si="1"/>
        <v>2</v>
      </c>
    </row>
    <row r="11" spans="1:39" ht="15" customHeight="1">
      <c r="A11" s="27">
        <v>10</v>
      </c>
      <c r="B11" s="28" t="s">
        <v>9</v>
      </c>
      <c r="C11" s="29" t="s">
        <v>10</v>
      </c>
      <c r="D11" s="28" t="s">
        <v>29</v>
      </c>
      <c r="E11" s="28" t="s">
        <v>30</v>
      </c>
      <c r="F11" s="28" t="s">
        <v>13</v>
      </c>
      <c r="G11" s="28" t="s">
        <v>14</v>
      </c>
      <c r="H11" s="28" t="s">
        <v>13</v>
      </c>
      <c r="I11" s="28"/>
      <c r="J11" s="28"/>
      <c r="K11" s="31" t="s">
        <v>13</v>
      </c>
      <c r="L11" s="31" t="s">
        <v>18</v>
      </c>
      <c r="M11" s="31" t="s">
        <v>16</v>
      </c>
      <c r="N11" s="31" t="s">
        <v>16</v>
      </c>
      <c r="O11" s="31" t="s">
        <v>16</v>
      </c>
      <c r="P11" s="32" t="s">
        <v>16</v>
      </c>
      <c r="Q11" s="32" t="s">
        <v>16</v>
      </c>
      <c r="R11" s="32" t="s">
        <v>16</v>
      </c>
      <c r="S11" s="32" t="s">
        <v>16</v>
      </c>
      <c r="T11" s="33" t="s">
        <v>16</v>
      </c>
      <c r="U11" s="33" t="s">
        <v>16</v>
      </c>
      <c r="V11" s="33" t="s">
        <v>16</v>
      </c>
      <c r="W11" s="34" t="s">
        <v>13</v>
      </c>
      <c r="X11" s="34" t="s">
        <v>18</v>
      </c>
      <c r="Y11" s="34" t="s">
        <v>16</v>
      </c>
      <c r="Z11" s="34" t="s">
        <v>16</v>
      </c>
      <c r="AA11" s="35" t="s">
        <v>16</v>
      </c>
      <c r="AB11" s="35" t="s">
        <v>16</v>
      </c>
      <c r="AC11" s="35" t="s">
        <v>16</v>
      </c>
      <c r="AD11" s="36" t="s">
        <v>16</v>
      </c>
      <c r="AE11" s="36" t="s">
        <v>16</v>
      </c>
      <c r="AF11" s="36" t="s">
        <v>16</v>
      </c>
      <c r="AG11" s="37" t="s">
        <v>13</v>
      </c>
      <c r="AH11" s="37" t="s">
        <v>16</v>
      </c>
      <c r="AI11" s="37" t="s">
        <v>16</v>
      </c>
      <c r="AJ11" s="37" t="s">
        <v>16</v>
      </c>
      <c r="AK11" s="37" t="s">
        <v>16</v>
      </c>
      <c r="AL11" s="38">
        <f t="shared" si="0"/>
        <v>3</v>
      </c>
      <c r="AM11" s="38">
        <f t="shared" si="1"/>
        <v>0</v>
      </c>
    </row>
    <row r="12" spans="1:39" ht="15" customHeight="1">
      <c r="A12" s="27">
        <v>11</v>
      </c>
      <c r="B12" s="28" t="s">
        <v>9</v>
      </c>
      <c r="C12" s="29" t="s">
        <v>10</v>
      </c>
      <c r="D12" s="28" t="s">
        <v>31</v>
      </c>
      <c r="E12" s="28" t="s">
        <v>12</v>
      </c>
      <c r="F12" s="28" t="s">
        <v>13</v>
      </c>
      <c r="G12" s="28" t="s">
        <v>13</v>
      </c>
      <c r="H12" s="28" t="s">
        <v>13</v>
      </c>
      <c r="I12" s="28"/>
      <c r="J12" s="28"/>
      <c r="K12" s="31" t="s">
        <v>16</v>
      </c>
      <c r="L12" s="31" t="s">
        <v>16</v>
      </c>
      <c r="M12" s="31" t="s">
        <v>16</v>
      </c>
      <c r="N12" s="31" t="s">
        <v>16</v>
      </c>
      <c r="O12" s="31" t="s">
        <v>16</v>
      </c>
      <c r="P12" s="32" t="s">
        <v>16</v>
      </c>
      <c r="Q12" s="32" t="s">
        <v>16</v>
      </c>
      <c r="R12" s="32" t="s">
        <v>16</v>
      </c>
      <c r="S12" s="32" t="s">
        <v>16</v>
      </c>
      <c r="T12" s="33" t="s">
        <v>16</v>
      </c>
      <c r="U12" s="33" t="s">
        <v>16</v>
      </c>
      <c r="V12" s="33" t="s">
        <v>16</v>
      </c>
      <c r="W12" s="34" t="s">
        <v>13</v>
      </c>
      <c r="X12" s="34" t="s">
        <v>18</v>
      </c>
      <c r="Y12" s="34" t="s">
        <v>16</v>
      </c>
      <c r="Z12" s="34" t="s">
        <v>16</v>
      </c>
      <c r="AA12" s="35" t="s">
        <v>16</v>
      </c>
      <c r="AB12" s="35" t="s">
        <v>16</v>
      </c>
      <c r="AC12" s="35" t="s">
        <v>16</v>
      </c>
      <c r="AD12" s="36" t="s">
        <v>16</v>
      </c>
      <c r="AE12" s="36" t="s">
        <v>16</v>
      </c>
      <c r="AF12" s="36" t="s">
        <v>16</v>
      </c>
      <c r="AG12" s="37" t="s">
        <v>13</v>
      </c>
      <c r="AH12" s="37" t="s">
        <v>16</v>
      </c>
      <c r="AI12" s="37" t="s">
        <v>16</v>
      </c>
      <c r="AJ12" s="37" t="s">
        <v>13</v>
      </c>
      <c r="AK12" s="37" t="s">
        <v>16</v>
      </c>
      <c r="AL12" s="38">
        <f t="shared" si="0"/>
        <v>2</v>
      </c>
      <c r="AM12" s="38">
        <f t="shared" si="1"/>
        <v>1</v>
      </c>
    </row>
    <row r="13" spans="1:39" ht="15" customHeight="1">
      <c r="A13" s="27">
        <v>12</v>
      </c>
      <c r="B13" s="28" t="s">
        <v>9</v>
      </c>
      <c r="C13" s="29" t="s">
        <v>10</v>
      </c>
      <c r="D13" s="28" t="s">
        <v>32</v>
      </c>
      <c r="E13" s="28" t="s">
        <v>24</v>
      </c>
      <c r="F13" s="28" t="s">
        <v>13</v>
      </c>
      <c r="G13" s="28" t="s">
        <v>13</v>
      </c>
      <c r="H13" s="28"/>
      <c r="I13" s="28"/>
      <c r="J13" s="28"/>
      <c r="K13" s="31" t="s">
        <v>13</v>
      </c>
      <c r="L13" s="31" t="s">
        <v>13</v>
      </c>
      <c r="M13" s="31" t="s">
        <v>16</v>
      </c>
      <c r="N13" s="31" t="s">
        <v>16</v>
      </c>
      <c r="O13" s="31" t="s">
        <v>16</v>
      </c>
      <c r="P13" s="32" t="s">
        <v>16</v>
      </c>
      <c r="Q13" s="32" t="s">
        <v>16</v>
      </c>
      <c r="R13" s="32" t="s">
        <v>16</v>
      </c>
      <c r="S13" s="32" t="s">
        <v>16</v>
      </c>
      <c r="T13" s="33" t="s">
        <v>16</v>
      </c>
      <c r="U13" s="33" t="s">
        <v>16</v>
      </c>
      <c r="V13" s="33" t="s">
        <v>16</v>
      </c>
      <c r="W13" s="34" t="s">
        <v>13</v>
      </c>
      <c r="X13" s="34" t="s">
        <v>18</v>
      </c>
      <c r="Y13" s="34" t="s">
        <v>16</v>
      </c>
      <c r="Z13" s="34" t="s">
        <v>16</v>
      </c>
      <c r="AA13" s="35" t="s">
        <v>16</v>
      </c>
      <c r="AB13" s="35" t="s">
        <v>16</v>
      </c>
      <c r="AC13" s="35" t="s">
        <v>16</v>
      </c>
      <c r="AD13" s="36" t="s">
        <v>16</v>
      </c>
      <c r="AE13" s="36" t="s">
        <v>16</v>
      </c>
      <c r="AF13" s="36" t="s">
        <v>16</v>
      </c>
      <c r="AG13" s="37" t="s">
        <v>13</v>
      </c>
      <c r="AH13" s="37" t="s">
        <v>16</v>
      </c>
      <c r="AI13" s="37" t="s">
        <v>16</v>
      </c>
      <c r="AJ13" s="37" t="s">
        <v>16</v>
      </c>
      <c r="AK13" s="37" t="s">
        <v>16</v>
      </c>
      <c r="AL13" s="38">
        <f t="shared" si="0"/>
        <v>3</v>
      </c>
      <c r="AM13" s="38">
        <f t="shared" si="1"/>
        <v>1</v>
      </c>
    </row>
    <row r="14" spans="1:39" ht="15" customHeight="1">
      <c r="A14" s="27">
        <v>13</v>
      </c>
      <c r="B14" s="28" t="s">
        <v>9</v>
      </c>
      <c r="C14" s="29" t="s">
        <v>10</v>
      </c>
      <c r="D14" s="28" t="s">
        <v>33</v>
      </c>
      <c r="E14" s="28" t="s">
        <v>12</v>
      </c>
      <c r="F14" s="28" t="s">
        <v>13</v>
      </c>
      <c r="G14" s="28"/>
      <c r="H14" s="28" t="s">
        <v>14</v>
      </c>
      <c r="I14" s="28"/>
      <c r="J14" s="28"/>
      <c r="K14" s="31" t="s">
        <v>16</v>
      </c>
      <c r="L14" s="31" t="s">
        <v>16</v>
      </c>
      <c r="M14" s="31" t="s">
        <v>16</v>
      </c>
      <c r="N14" s="31" t="s">
        <v>16</v>
      </c>
      <c r="O14" s="31" t="s">
        <v>16</v>
      </c>
      <c r="P14" s="32" t="s">
        <v>16</v>
      </c>
      <c r="Q14" s="32" t="s">
        <v>16</v>
      </c>
      <c r="R14" s="32" t="s">
        <v>16</v>
      </c>
      <c r="S14" s="32" t="s">
        <v>16</v>
      </c>
      <c r="T14" s="33" t="s">
        <v>16</v>
      </c>
      <c r="U14" s="33" t="s">
        <v>16</v>
      </c>
      <c r="V14" s="33" t="s">
        <v>16</v>
      </c>
      <c r="W14" s="34" t="s">
        <v>16</v>
      </c>
      <c r="X14" s="34" t="s">
        <v>16</v>
      </c>
      <c r="Y14" s="34" t="s">
        <v>16</v>
      </c>
      <c r="Z14" s="34" t="s">
        <v>16</v>
      </c>
      <c r="AA14" s="35" t="s">
        <v>13</v>
      </c>
      <c r="AB14" s="35" t="s">
        <v>13</v>
      </c>
      <c r="AC14" s="35" t="s">
        <v>16</v>
      </c>
      <c r="AD14" s="36" t="s">
        <v>16</v>
      </c>
      <c r="AE14" s="36" t="s">
        <v>16</v>
      </c>
      <c r="AF14" s="36" t="s">
        <v>16</v>
      </c>
      <c r="AG14" s="37" t="s">
        <v>13</v>
      </c>
      <c r="AH14" s="37" t="s">
        <v>16</v>
      </c>
      <c r="AI14" s="37" t="s">
        <v>16</v>
      </c>
      <c r="AJ14" s="37" t="s">
        <v>13</v>
      </c>
      <c r="AK14" s="37" t="s">
        <v>16</v>
      </c>
      <c r="AL14" s="38">
        <f t="shared" si="0"/>
        <v>2</v>
      </c>
      <c r="AM14" s="38">
        <f t="shared" si="1"/>
        <v>2</v>
      </c>
    </row>
    <row r="15" spans="1:39" ht="15" customHeight="1">
      <c r="A15" s="27">
        <v>14</v>
      </c>
      <c r="B15" s="28" t="s">
        <v>9</v>
      </c>
      <c r="C15" s="29" t="s">
        <v>10</v>
      </c>
      <c r="D15" s="28" t="s">
        <v>34</v>
      </c>
      <c r="E15" s="28" t="s">
        <v>35</v>
      </c>
      <c r="F15" s="28" t="s">
        <v>13</v>
      </c>
      <c r="G15" s="28" t="s">
        <v>14</v>
      </c>
      <c r="H15" s="28"/>
      <c r="I15" s="28"/>
      <c r="J15" s="28"/>
      <c r="K15" s="31" t="s">
        <v>16</v>
      </c>
      <c r="L15" s="31" t="s">
        <v>16</v>
      </c>
      <c r="M15" s="31" t="s">
        <v>16</v>
      </c>
      <c r="N15" s="31" t="s">
        <v>16</v>
      </c>
      <c r="O15" s="31" t="s">
        <v>16</v>
      </c>
      <c r="P15" s="32" t="s">
        <v>16</v>
      </c>
      <c r="Q15" s="32" t="s">
        <v>16</v>
      </c>
      <c r="R15" s="32" t="s">
        <v>16</v>
      </c>
      <c r="S15" s="32" t="s">
        <v>16</v>
      </c>
      <c r="T15" s="33" t="s">
        <v>16</v>
      </c>
      <c r="U15" s="33" t="s">
        <v>16</v>
      </c>
      <c r="V15" s="33" t="s">
        <v>16</v>
      </c>
      <c r="W15" s="34" t="s">
        <v>16</v>
      </c>
      <c r="X15" s="34" t="s">
        <v>16</v>
      </c>
      <c r="Y15" s="34" t="s">
        <v>16</v>
      </c>
      <c r="Z15" s="34" t="s">
        <v>16</v>
      </c>
      <c r="AA15" s="35" t="s">
        <v>13</v>
      </c>
      <c r="AB15" s="35" t="s">
        <v>13</v>
      </c>
      <c r="AC15" s="35" t="s">
        <v>16</v>
      </c>
      <c r="AD15" s="36" t="s">
        <v>16</v>
      </c>
      <c r="AE15" s="36" t="s">
        <v>16</v>
      </c>
      <c r="AF15" s="36" t="s">
        <v>16</v>
      </c>
      <c r="AG15" s="37" t="s">
        <v>16</v>
      </c>
      <c r="AH15" s="37" t="s">
        <v>16</v>
      </c>
      <c r="AI15" s="37" t="s">
        <v>16</v>
      </c>
      <c r="AJ15" s="37" t="s">
        <v>16</v>
      </c>
      <c r="AK15" s="37" t="s">
        <v>16</v>
      </c>
      <c r="AL15" s="38">
        <f t="shared" si="0"/>
        <v>1</v>
      </c>
      <c r="AM15" s="38">
        <f t="shared" si="1"/>
        <v>1</v>
      </c>
    </row>
    <row r="16" spans="1:39" ht="15" customHeight="1">
      <c r="A16" s="27">
        <v>15</v>
      </c>
      <c r="B16" s="28" t="s">
        <v>9</v>
      </c>
      <c r="C16" s="29" t="s">
        <v>36</v>
      </c>
      <c r="D16" s="28" t="s">
        <v>37</v>
      </c>
      <c r="E16" s="28" t="s">
        <v>38</v>
      </c>
      <c r="F16" s="28" t="s">
        <v>13</v>
      </c>
      <c r="G16" s="28" t="s">
        <v>13</v>
      </c>
      <c r="H16" s="28"/>
      <c r="I16" s="28"/>
      <c r="J16" s="28"/>
      <c r="K16" s="31" t="s">
        <v>16</v>
      </c>
      <c r="L16" s="31" t="s">
        <v>16</v>
      </c>
      <c r="M16" s="31" t="s">
        <v>16</v>
      </c>
      <c r="N16" s="31" t="s">
        <v>16</v>
      </c>
      <c r="O16" s="31" t="s">
        <v>16</v>
      </c>
      <c r="P16" s="32" t="s">
        <v>16</v>
      </c>
      <c r="Q16" s="32" t="s">
        <v>16</v>
      </c>
      <c r="R16" s="32" t="s">
        <v>16</v>
      </c>
      <c r="S16" s="32" t="s">
        <v>16</v>
      </c>
      <c r="T16" s="33" t="s">
        <v>16</v>
      </c>
      <c r="U16" s="33" t="s">
        <v>16</v>
      </c>
      <c r="V16" s="33" t="s">
        <v>16</v>
      </c>
      <c r="W16" s="34" t="s">
        <v>16</v>
      </c>
      <c r="X16" s="34" t="s">
        <v>16</v>
      </c>
      <c r="Y16" s="34" t="s">
        <v>16</v>
      </c>
      <c r="Z16" s="34" t="s">
        <v>16</v>
      </c>
      <c r="AA16" s="35" t="s">
        <v>16</v>
      </c>
      <c r="AB16" s="35" t="s">
        <v>16</v>
      </c>
      <c r="AC16" s="35" t="s">
        <v>16</v>
      </c>
      <c r="AD16" s="36" t="s">
        <v>16</v>
      </c>
      <c r="AE16" s="36" t="s">
        <v>16</v>
      </c>
      <c r="AF16" s="36" t="s">
        <v>16</v>
      </c>
      <c r="AG16" s="37" t="s">
        <v>16</v>
      </c>
      <c r="AH16" s="37" t="s">
        <v>16</v>
      </c>
      <c r="AI16" s="37" t="s">
        <v>16</v>
      </c>
      <c r="AJ16" s="37" t="s">
        <v>16</v>
      </c>
      <c r="AK16" s="37" t="s">
        <v>16</v>
      </c>
      <c r="AL16" s="38">
        <f t="shared" si="0"/>
        <v>0</v>
      </c>
      <c r="AM16" s="38">
        <f t="shared" si="1"/>
        <v>0</v>
      </c>
    </row>
    <row r="17" spans="1:39" ht="15" customHeight="1">
      <c r="A17" s="27">
        <v>16</v>
      </c>
      <c r="B17" s="28" t="s">
        <v>9</v>
      </c>
      <c r="C17" s="29" t="s">
        <v>39</v>
      </c>
      <c r="D17" s="28" t="s">
        <v>40</v>
      </c>
      <c r="E17" s="28" t="s">
        <v>41</v>
      </c>
      <c r="F17" s="28" t="s">
        <v>13</v>
      </c>
      <c r="G17" s="28" t="s">
        <v>13</v>
      </c>
      <c r="H17" s="28"/>
      <c r="I17" s="28"/>
      <c r="J17" s="28"/>
      <c r="K17" s="31" t="s">
        <v>16</v>
      </c>
      <c r="L17" s="31" t="s">
        <v>16</v>
      </c>
      <c r="M17" s="31" t="s">
        <v>16</v>
      </c>
      <c r="N17" s="31" t="s">
        <v>16</v>
      </c>
      <c r="O17" s="31" t="s">
        <v>16</v>
      </c>
      <c r="P17" s="32" t="s">
        <v>16</v>
      </c>
      <c r="Q17" s="32" t="s">
        <v>16</v>
      </c>
      <c r="R17" s="32" t="s">
        <v>16</v>
      </c>
      <c r="S17" s="32" t="s">
        <v>16</v>
      </c>
      <c r="T17" s="33" t="s">
        <v>16</v>
      </c>
      <c r="U17" s="33" t="s">
        <v>16</v>
      </c>
      <c r="V17" s="33" t="s">
        <v>16</v>
      </c>
      <c r="W17" s="34" t="s">
        <v>16</v>
      </c>
      <c r="X17" s="34" t="s">
        <v>16</v>
      </c>
      <c r="Y17" s="34" t="s">
        <v>16</v>
      </c>
      <c r="Z17" s="34" t="s">
        <v>16</v>
      </c>
      <c r="AA17" s="35" t="s">
        <v>16</v>
      </c>
      <c r="AB17" s="35" t="s">
        <v>16</v>
      </c>
      <c r="AC17" s="35" t="s">
        <v>16</v>
      </c>
      <c r="AD17" s="36" t="s">
        <v>16</v>
      </c>
      <c r="AE17" s="36" t="s">
        <v>16</v>
      </c>
      <c r="AF17" s="36" t="s">
        <v>16</v>
      </c>
      <c r="AG17" s="37" t="s">
        <v>16</v>
      </c>
      <c r="AH17" s="37" t="s">
        <v>16</v>
      </c>
      <c r="AI17" s="37" t="s">
        <v>16</v>
      </c>
      <c r="AJ17" s="37" t="s">
        <v>16</v>
      </c>
      <c r="AK17" s="37" t="s">
        <v>16</v>
      </c>
      <c r="AL17" s="38">
        <f t="shared" si="0"/>
        <v>0</v>
      </c>
      <c r="AM17" s="38">
        <f t="shared" si="1"/>
        <v>0</v>
      </c>
    </row>
    <row r="18" spans="1:39" ht="15" customHeight="1">
      <c r="A18" s="27">
        <v>17</v>
      </c>
      <c r="B18" s="28" t="s">
        <v>9</v>
      </c>
      <c r="C18" s="29" t="s">
        <v>36</v>
      </c>
      <c r="D18" s="28" t="s">
        <v>42</v>
      </c>
      <c r="E18" s="28" t="s">
        <v>43</v>
      </c>
      <c r="F18" s="28" t="s">
        <v>13</v>
      </c>
      <c r="G18" s="28" t="s">
        <v>13</v>
      </c>
      <c r="H18" s="28"/>
      <c r="I18" s="28"/>
      <c r="J18" s="28"/>
      <c r="K18" s="31" t="s">
        <v>16</v>
      </c>
      <c r="L18" s="31" t="s">
        <v>16</v>
      </c>
      <c r="M18" s="31" t="s">
        <v>16</v>
      </c>
      <c r="N18" s="31" t="s">
        <v>16</v>
      </c>
      <c r="O18" s="31" t="s">
        <v>16</v>
      </c>
      <c r="P18" s="32" t="s">
        <v>16</v>
      </c>
      <c r="Q18" s="32" t="s">
        <v>16</v>
      </c>
      <c r="R18" s="32" t="s">
        <v>16</v>
      </c>
      <c r="S18" s="32" t="s">
        <v>16</v>
      </c>
      <c r="T18" s="33" t="s">
        <v>16</v>
      </c>
      <c r="U18" s="33" t="s">
        <v>16</v>
      </c>
      <c r="V18" s="33" t="s">
        <v>16</v>
      </c>
      <c r="W18" s="34" t="s">
        <v>16</v>
      </c>
      <c r="X18" s="34" t="s">
        <v>16</v>
      </c>
      <c r="Y18" s="34" t="s">
        <v>16</v>
      </c>
      <c r="Z18" s="34" t="s">
        <v>16</v>
      </c>
      <c r="AA18" s="35" t="s">
        <v>16</v>
      </c>
      <c r="AB18" s="35" t="s">
        <v>16</v>
      </c>
      <c r="AC18" s="35" t="s">
        <v>16</v>
      </c>
      <c r="AD18" s="36" t="s">
        <v>16</v>
      </c>
      <c r="AE18" s="36" t="s">
        <v>16</v>
      </c>
      <c r="AF18" s="36" t="s">
        <v>16</v>
      </c>
      <c r="AG18" s="37" t="s">
        <v>16</v>
      </c>
      <c r="AH18" s="37" t="s">
        <v>16</v>
      </c>
      <c r="AI18" s="37" t="s">
        <v>16</v>
      </c>
      <c r="AJ18" s="37" t="s">
        <v>16</v>
      </c>
      <c r="AK18" s="37" t="s">
        <v>16</v>
      </c>
      <c r="AL18" s="38">
        <f t="shared" si="0"/>
        <v>0</v>
      </c>
      <c r="AM18" s="38">
        <f t="shared" si="1"/>
        <v>0</v>
      </c>
    </row>
    <row r="19" spans="1:39" ht="15" customHeight="1">
      <c r="A19" s="27">
        <v>18</v>
      </c>
      <c r="B19" s="28" t="s">
        <v>9</v>
      </c>
      <c r="C19" s="29" t="s">
        <v>36</v>
      </c>
      <c r="D19" s="28" t="s">
        <v>44</v>
      </c>
      <c r="E19" s="28" t="s">
        <v>43</v>
      </c>
      <c r="F19" s="28" t="s">
        <v>13</v>
      </c>
      <c r="G19" s="28" t="s">
        <v>13</v>
      </c>
      <c r="H19" s="28"/>
      <c r="I19" s="28"/>
      <c r="J19" s="28"/>
      <c r="K19" s="31" t="s">
        <v>16</v>
      </c>
      <c r="L19" s="31" t="s">
        <v>16</v>
      </c>
      <c r="M19" s="31" t="s">
        <v>16</v>
      </c>
      <c r="N19" s="31" t="s">
        <v>16</v>
      </c>
      <c r="O19" s="31" t="s">
        <v>16</v>
      </c>
      <c r="P19" s="32" t="s">
        <v>16</v>
      </c>
      <c r="Q19" s="32" t="s">
        <v>16</v>
      </c>
      <c r="R19" s="32" t="s">
        <v>16</v>
      </c>
      <c r="S19" s="32" t="s">
        <v>16</v>
      </c>
      <c r="T19" s="33" t="s">
        <v>16</v>
      </c>
      <c r="U19" s="33" t="s">
        <v>16</v>
      </c>
      <c r="V19" s="33" t="s">
        <v>16</v>
      </c>
      <c r="W19" s="34" t="s">
        <v>16</v>
      </c>
      <c r="X19" s="34" t="s">
        <v>16</v>
      </c>
      <c r="Y19" s="34" t="s">
        <v>16</v>
      </c>
      <c r="Z19" s="34" t="s">
        <v>16</v>
      </c>
      <c r="AA19" s="35" t="s">
        <v>16</v>
      </c>
      <c r="AB19" s="35" t="s">
        <v>16</v>
      </c>
      <c r="AC19" s="35" t="s">
        <v>16</v>
      </c>
      <c r="AD19" s="36" t="s">
        <v>16</v>
      </c>
      <c r="AE19" s="36" t="s">
        <v>16</v>
      </c>
      <c r="AF19" s="36" t="s">
        <v>16</v>
      </c>
      <c r="AG19" s="37" t="s">
        <v>16</v>
      </c>
      <c r="AH19" s="37" t="s">
        <v>16</v>
      </c>
      <c r="AI19" s="37" t="s">
        <v>16</v>
      </c>
      <c r="AJ19" s="37" t="s">
        <v>16</v>
      </c>
      <c r="AK19" s="37" t="s">
        <v>16</v>
      </c>
      <c r="AL19" s="38">
        <f t="shared" si="0"/>
        <v>0</v>
      </c>
      <c r="AM19" s="38">
        <f t="shared" si="1"/>
        <v>0</v>
      </c>
    </row>
    <row r="20" spans="1:39" ht="15" customHeight="1">
      <c r="A20" s="27">
        <v>19</v>
      </c>
      <c r="B20" s="28" t="s">
        <v>9</v>
      </c>
      <c r="C20" s="29" t="s">
        <v>36</v>
      </c>
      <c r="D20" s="28" t="s">
        <v>45</v>
      </c>
      <c r="E20" s="28" t="s">
        <v>46</v>
      </c>
      <c r="F20" s="28" t="s">
        <v>13</v>
      </c>
      <c r="G20" s="28" t="s">
        <v>13</v>
      </c>
      <c r="H20" s="28"/>
      <c r="I20" s="28"/>
      <c r="J20" s="28"/>
      <c r="K20" s="31" t="s">
        <v>16</v>
      </c>
      <c r="L20" s="31" t="s">
        <v>16</v>
      </c>
      <c r="M20" s="31" t="s">
        <v>16</v>
      </c>
      <c r="N20" s="31" t="s">
        <v>16</v>
      </c>
      <c r="O20" s="31" t="s">
        <v>16</v>
      </c>
      <c r="P20" s="32" t="s">
        <v>16</v>
      </c>
      <c r="Q20" s="32" t="s">
        <v>16</v>
      </c>
      <c r="R20" s="32" t="s">
        <v>16</v>
      </c>
      <c r="S20" s="32" t="s">
        <v>16</v>
      </c>
      <c r="T20" s="33" t="s">
        <v>16</v>
      </c>
      <c r="U20" s="33" t="s">
        <v>16</v>
      </c>
      <c r="V20" s="33" t="s">
        <v>16</v>
      </c>
      <c r="W20" s="34" t="s">
        <v>16</v>
      </c>
      <c r="X20" s="34" t="s">
        <v>16</v>
      </c>
      <c r="Y20" s="34" t="s">
        <v>16</v>
      </c>
      <c r="Z20" s="34" t="s">
        <v>16</v>
      </c>
      <c r="AA20" s="35" t="s">
        <v>16</v>
      </c>
      <c r="AB20" s="35" t="s">
        <v>16</v>
      </c>
      <c r="AC20" s="35" t="s">
        <v>16</v>
      </c>
      <c r="AD20" s="36" t="s">
        <v>16</v>
      </c>
      <c r="AE20" s="36" t="s">
        <v>16</v>
      </c>
      <c r="AF20" s="36" t="s">
        <v>16</v>
      </c>
      <c r="AG20" s="37" t="s">
        <v>16</v>
      </c>
      <c r="AH20" s="37" t="s">
        <v>16</v>
      </c>
      <c r="AI20" s="37" t="s">
        <v>16</v>
      </c>
      <c r="AJ20" s="37" t="s">
        <v>16</v>
      </c>
      <c r="AK20" s="37" t="s">
        <v>16</v>
      </c>
      <c r="AL20" s="38">
        <f t="shared" si="0"/>
        <v>0</v>
      </c>
      <c r="AM20" s="38">
        <f t="shared" si="1"/>
        <v>0</v>
      </c>
    </row>
    <row r="21" spans="1:39" ht="15" customHeight="1">
      <c r="A21" s="27">
        <v>20</v>
      </c>
      <c r="B21" s="28" t="s">
        <v>9</v>
      </c>
      <c r="C21" s="29" t="s">
        <v>36</v>
      </c>
      <c r="D21" s="28" t="s">
        <v>47</v>
      </c>
      <c r="E21" s="28" t="s">
        <v>48</v>
      </c>
      <c r="F21" s="28" t="s">
        <v>13</v>
      </c>
      <c r="G21" s="28" t="s">
        <v>13</v>
      </c>
      <c r="H21" s="28"/>
      <c r="I21" s="28"/>
      <c r="J21" s="28"/>
      <c r="K21" s="31" t="s">
        <v>16</v>
      </c>
      <c r="L21" s="31" t="s">
        <v>16</v>
      </c>
      <c r="M21" s="31" t="s">
        <v>16</v>
      </c>
      <c r="N21" s="31" t="s">
        <v>16</v>
      </c>
      <c r="O21" s="31" t="s">
        <v>16</v>
      </c>
      <c r="P21" s="32" t="s">
        <v>16</v>
      </c>
      <c r="Q21" s="32" t="s">
        <v>16</v>
      </c>
      <c r="R21" s="32" t="s">
        <v>16</v>
      </c>
      <c r="S21" s="32" t="s">
        <v>16</v>
      </c>
      <c r="T21" s="33" t="s">
        <v>16</v>
      </c>
      <c r="U21" s="33" t="s">
        <v>16</v>
      </c>
      <c r="V21" s="33" t="s">
        <v>16</v>
      </c>
      <c r="W21" s="34" t="s">
        <v>16</v>
      </c>
      <c r="X21" s="34" t="s">
        <v>16</v>
      </c>
      <c r="Y21" s="34" t="s">
        <v>16</v>
      </c>
      <c r="Z21" s="34" t="s">
        <v>16</v>
      </c>
      <c r="AA21" s="35" t="s">
        <v>16</v>
      </c>
      <c r="AB21" s="35" t="s">
        <v>16</v>
      </c>
      <c r="AC21" s="35" t="s">
        <v>16</v>
      </c>
      <c r="AD21" s="36" t="s">
        <v>16</v>
      </c>
      <c r="AE21" s="36" t="s">
        <v>16</v>
      </c>
      <c r="AF21" s="36" t="s">
        <v>16</v>
      </c>
      <c r="AG21" s="37" t="s">
        <v>16</v>
      </c>
      <c r="AH21" s="37" t="s">
        <v>16</v>
      </c>
      <c r="AI21" s="37" t="s">
        <v>16</v>
      </c>
      <c r="AJ21" s="37" t="s">
        <v>16</v>
      </c>
      <c r="AK21" s="37" t="s">
        <v>16</v>
      </c>
      <c r="AL21" s="38">
        <f t="shared" si="0"/>
        <v>0</v>
      </c>
      <c r="AM21" s="38">
        <f t="shared" si="1"/>
        <v>0</v>
      </c>
    </row>
    <row r="22" spans="1:39" ht="15" customHeight="1">
      <c r="A22" s="27">
        <v>21</v>
      </c>
      <c r="B22" s="28" t="s">
        <v>9</v>
      </c>
      <c r="C22" s="29" t="s">
        <v>36</v>
      </c>
      <c r="D22" s="28" t="s">
        <v>49</v>
      </c>
      <c r="E22" s="28" t="s">
        <v>50</v>
      </c>
      <c r="F22" s="28" t="s">
        <v>13</v>
      </c>
      <c r="G22" s="28"/>
      <c r="H22" s="28" t="s">
        <v>13</v>
      </c>
      <c r="I22" s="28"/>
      <c r="J22" s="28"/>
      <c r="K22" s="31" t="s">
        <v>16</v>
      </c>
      <c r="L22" s="31" t="s">
        <v>16</v>
      </c>
      <c r="M22" s="31" t="s">
        <v>16</v>
      </c>
      <c r="N22" s="31" t="s">
        <v>16</v>
      </c>
      <c r="O22" s="31" t="s">
        <v>16</v>
      </c>
      <c r="P22" s="32" t="s">
        <v>16</v>
      </c>
      <c r="Q22" s="32" t="s">
        <v>16</v>
      </c>
      <c r="R22" s="32" t="s">
        <v>16</v>
      </c>
      <c r="S22" s="32" t="s">
        <v>16</v>
      </c>
      <c r="T22" s="33" t="s">
        <v>16</v>
      </c>
      <c r="U22" s="33" t="s">
        <v>16</v>
      </c>
      <c r="V22" s="33" t="s">
        <v>16</v>
      </c>
      <c r="W22" s="34" t="s">
        <v>16</v>
      </c>
      <c r="X22" s="34" t="s">
        <v>16</v>
      </c>
      <c r="Y22" s="34" t="s">
        <v>16</v>
      </c>
      <c r="Z22" s="34" t="s">
        <v>16</v>
      </c>
      <c r="AA22" s="35" t="s">
        <v>16</v>
      </c>
      <c r="AB22" s="35" t="s">
        <v>16</v>
      </c>
      <c r="AC22" s="35" t="s">
        <v>16</v>
      </c>
      <c r="AD22" s="36" t="s">
        <v>16</v>
      </c>
      <c r="AE22" s="36" t="s">
        <v>16</v>
      </c>
      <c r="AF22" s="36" t="s">
        <v>16</v>
      </c>
      <c r="AG22" s="37" t="s">
        <v>16</v>
      </c>
      <c r="AH22" s="37" t="s">
        <v>16</v>
      </c>
      <c r="AI22" s="37" t="s">
        <v>16</v>
      </c>
      <c r="AJ22" s="37" t="s">
        <v>16</v>
      </c>
      <c r="AK22" s="37" t="s">
        <v>16</v>
      </c>
      <c r="AL22" s="38">
        <f t="shared" si="0"/>
        <v>0</v>
      </c>
      <c r="AM22" s="38">
        <f t="shared" si="1"/>
        <v>0</v>
      </c>
    </row>
    <row r="23" spans="1:39" ht="15" customHeight="1">
      <c r="A23" s="27">
        <v>22</v>
      </c>
      <c r="B23" s="28" t="s">
        <v>9</v>
      </c>
      <c r="C23" s="29" t="s">
        <v>36</v>
      </c>
      <c r="D23" s="28" t="s">
        <v>51</v>
      </c>
      <c r="E23" s="28" t="s">
        <v>52</v>
      </c>
      <c r="F23" s="28" t="s">
        <v>13</v>
      </c>
      <c r="G23" s="28" t="s">
        <v>13</v>
      </c>
      <c r="H23" s="28"/>
      <c r="I23" s="28"/>
      <c r="J23" s="28"/>
      <c r="K23" s="31" t="s">
        <v>16</v>
      </c>
      <c r="L23" s="31" t="s">
        <v>16</v>
      </c>
      <c r="M23" s="31" t="s">
        <v>16</v>
      </c>
      <c r="N23" s="31" t="s">
        <v>16</v>
      </c>
      <c r="O23" s="31" t="s">
        <v>16</v>
      </c>
      <c r="P23" s="32" t="s">
        <v>16</v>
      </c>
      <c r="Q23" s="32" t="s">
        <v>16</v>
      </c>
      <c r="R23" s="32" t="s">
        <v>16</v>
      </c>
      <c r="S23" s="32" t="s">
        <v>16</v>
      </c>
      <c r="T23" s="33" t="s">
        <v>16</v>
      </c>
      <c r="U23" s="33" t="s">
        <v>16</v>
      </c>
      <c r="V23" s="33" t="s">
        <v>16</v>
      </c>
      <c r="W23" s="34" t="s">
        <v>13</v>
      </c>
      <c r="X23" s="34" t="s">
        <v>13</v>
      </c>
      <c r="Y23" s="34" t="s">
        <v>16</v>
      </c>
      <c r="Z23" s="34" t="s">
        <v>16</v>
      </c>
      <c r="AA23" s="35" t="s">
        <v>16</v>
      </c>
      <c r="AB23" s="35" t="s">
        <v>16</v>
      </c>
      <c r="AC23" s="35" t="s">
        <v>16</v>
      </c>
      <c r="AD23" s="36" t="s">
        <v>13</v>
      </c>
      <c r="AE23" s="36" t="s">
        <v>13</v>
      </c>
      <c r="AF23" s="36" t="s">
        <v>16</v>
      </c>
      <c r="AG23" s="37" t="s">
        <v>16</v>
      </c>
      <c r="AH23" s="37" t="s">
        <v>16</v>
      </c>
      <c r="AI23" s="37" t="s">
        <v>16</v>
      </c>
      <c r="AJ23" s="37" t="s">
        <v>16</v>
      </c>
      <c r="AK23" s="37" t="s">
        <v>16</v>
      </c>
      <c r="AL23" s="38">
        <f t="shared" si="0"/>
        <v>2</v>
      </c>
      <c r="AM23" s="38">
        <f t="shared" si="1"/>
        <v>2</v>
      </c>
    </row>
    <row r="24" spans="1:39" ht="15" customHeight="1">
      <c r="A24" s="27">
        <v>23</v>
      </c>
      <c r="B24" s="28" t="s">
        <v>9</v>
      </c>
      <c r="C24" s="29" t="s">
        <v>53</v>
      </c>
      <c r="D24" s="30" t="s">
        <v>54</v>
      </c>
      <c r="E24" s="28" t="s">
        <v>55</v>
      </c>
      <c r="F24" s="28" t="s">
        <v>13</v>
      </c>
      <c r="G24" s="28"/>
      <c r="H24" s="28" t="s">
        <v>13</v>
      </c>
      <c r="I24" s="28"/>
      <c r="J24" s="28"/>
      <c r="K24" s="31" t="s">
        <v>13</v>
      </c>
      <c r="L24" s="31" t="s">
        <v>15</v>
      </c>
      <c r="M24" s="31" t="s">
        <v>15</v>
      </c>
      <c r="N24" s="31" t="s">
        <v>16</v>
      </c>
      <c r="O24" s="31" t="s">
        <v>16</v>
      </c>
      <c r="P24" s="32" t="s">
        <v>16</v>
      </c>
      <c r="Q24" s="32" t="s">
        <v>16</v>
      </c>
      <c r="R24" s="32" t="s">
        <v>16</v>
      </c>
      <c r="S24" s="32" t="s">
        <v>16</v>
      </c>
      <c r="T24" s="33" t="s">
        <v>16</v>
      </c>
      <c r="U24" s="33" t="s">
        <v>16</v>
      </c>
      <c r="V24" s="33" t="s">
        <v>16</v>
      </c>
      <c r="W24" s="34" t="s">
        <v>16</v>
      </c>
      <c r="X24" s="34" t="s">
        <v>16</v>
      </c>
      <c r="Y24" s="34" t="s">
        <v>16</v>
      </c>
      <c r="Z24" s="34" t="s">
        <v>16</v>
      </c>
      <c r="AA24" s="35" t="s">
        <v>16</v>
      </c>
      <c r="AB24" s="35" t="s">
        <v>16</v>
      </c>
      <c r="AC24" s="35" t="s">
        <v>16</v>
      </c>
      <c r="AD24" s="36" t="s">
        <v>16</v>
      </c>
      <c r="AE24" s="36" t="s">
        <v>16</v>
      </c>
      <c r="AF24" s="36" t="s">
        <v>16</v>
      </c>
      <c r="AG24" s="37" t="s">
        <v>16</v>
      </c>
      <c r="AH24" s="37" t="s">
        <v>16</v>
      </c>
      <c r="AI24" s="37" t="s">
        <v>16</v>
      </c>
      <c r="AJ24" s="37" t="s">
        <v>16</v>
      </c>
      <c r="AK24" s="37" t="s">
        <v>16</v>
      </c>
      <c r="AL24" s="38">
        <f t="shared" si="0"/>
        <v>1</v>
      </c>
      <c r="AM24" s="38">
        <f t="shared" si="1"/>
        <v>0</v>
      </c>
    </row>
    <row r="25" spans="1:39" ht="15" customHeight="1">
      <c r="A25" s="27">
        <v>24</v>
      </c>
      <c r="B25" s="28" t="s">
        <v>9</v>
      </c>
      <c r="C25" s="29" t="s">
        <v>53</v>
      </c>
      <c r="D25" s="28" t="s">
        <v>56</v>
      </c>
      <c r="E25" s="28" t="s">
        <v>55</v>
      </c>
      <c r="F25" s="28" t="s">
        <v>13</v>
      </c>
      <c r="G25" s="28" t="s">
        <v>13</v>
      </c>
      <c r="H25" s="28"/>
      <c r="I25" s="28"/>
      <c r="J25" s="28"/>
      <c r="K25" s="31" t="s">
        <v>13</v>
      </c>
      <c r="L25" s="31" t="s">
        <v>13</v>
      </c>
      <c r="M25" s="31" t="s">
        <v>15</v>
      </c>
      <c r="N25" s="31" t="s">
        <v>16</v>
      </c>
      <c r="O25" s="31" t="s">
        <v>16</v>
      </c>
      <c r="P25" s="32" t="s">
        <v>16</v>
      </c>
      <c r="Q25" s="32" t="s">
        <v>16</v>
      </c>
      <c r="R25" s="32" t="s">
        <v>16</v>
      </c>
      <c r="S25" s="32" t="s">
        <v>16</v>
      </c>
      <c r="T25" s="33" t="s">
        <v>16</v>
      </c>
      <c r="U25" s="33" t="s">
        <v>16</v>
      </c>
      <c r="V25" s="33" t="s">
        <v>16</v>
      </c>
      <c r="W25" s="34" t="s">
        <v>16</v>
      </c>
      <c r="X25" s="34" t="s">
        <v>16</v>
      </c>
      <c r="Y25" s="34" t="s">
        <v>16</v>
      </c>
      <c r="Z25" s="34" t="s">
        <v>16</v>
      </c>
      <c r="AA25" s="35" t="s">
        <v>16</v>
      </c>
      <c r="AB25" s="35" t="s">
        <v>16</v>
      </c>
      <c r="AC25" s="35" t="s">
        <v>16</v>
      </c>
      <c r="AD25" s="36" t="s">
        <v>16</v>
      </c>
      <c r="AE25" s="36" t="s">
        <v>16</v>
      </c>
      <c r="AF25" s="36" t="s">
        <v>16</v>
      </c>
      <c r="AG25" s="37" t="s">
        <v>16</v>
      </c>
      <c r="AH25" s="37" t="s">
        <v>16</v>
      </c>
      <c r="AI25" s="37" t="s">
        <v>16</v>
      </c>
      <c r="AJ25" s="37" t="s">
        <v>16</v>
      </c>
      <c r="AK25" s="37" t="s">
        <v>16</v>
      </c>
      <c r="AL25" s="38">
        <f t="shared" si="0"/>
        <v>1</v>
      </c>
      <c r="AM25" s="38">
        <f t="shared" si="1"/>
        <v>1</v>
      </c>
    </row>
    <row r="26" spans="1:39" ht="15" customHeight="1">
      <c r="A26" s="27">
        <v>25</v>
      </c>
      <c r="B26" s="28" t="s">
        <v>9</v>
      </c>
      <c r="C26" s="29" t="s">
        <v>53</v>
      </c>
      <c r="D26" s="28" t="s">
        <v>57</v>
      </c>
      <c r="E26" s="28" t="s">
        <v>58</v>
      </c>
      <c r="F26" s="28" t="s">
        <v>13</v>
      </c>
      <c r="G26" s="28" t="s">
        <v>13</v>
      </c>
      <c r="H26" s="28" t="s">
        <v>13</v>
      </c>
      <c r="I26" s="28"/>
      <c r="J26" s="28"/>
      <c r="K26" s="31" t="s">
        <v>13</v>
      </c>
      <c r="L26" s="31" t="s">
        <v>13</v>
      </c>
      <c r="M26" s="31" t="s">
        <v>18</v>
      </c>
      <c r="N26" s="31" t="s">
        <v>16</v>
      </c>
      <c r="O26" s="31" t="s">
        <v>16</v>
      </c>
      <c r="P26" s="32" t="s">
        <v>16</v>
      </c>
      <c r="Q26" s="32" t="s">
        <v>16</v>
      </c>
      <c r="R26" s="32" t="s">
        <v>16</v>
      </c>
      <c r="S26" s="32" t="s">
        <v>16</v>
      </c>
      <c r="T26" s="33" t="s">
        <v>16</v>
      </c>
      <c r="U26" s="33" t="s">
        <v>16</v>
      </c>
      <c r="V26" s="33" t="s">
        <v>16</v>
      </c>
      <c r="W26" s="34" t="s">
        <v>16</v>
      </c>
      <c r="X26" s="34" t="s">
        <v>16</v>
      </c>
      <c r="Y26" s="34" t="s">
        <v>16</v>
      </c>
      <c r="Z26" s="34" t="s">
        <v>16</v>
      </c>
      <c r="AA26" s="35" t="s">
        <v>16</v>
      </c>
      <c r="AB26" s="35" t="s">
        <v>16</v>
      </c>
      <c r="AC26" s="35" t="s">
        <v>16</v>
      </c>
      <c r="AD26" s="36" t="s">
        <v>16</v>
      </c>
      <c r="AE26" s="36" t="s">
        <v>16</v>
      </c>
      <c r="AF26" s="36" t="s">
        <v>16</v>
      </c>
      <c r="AG26" s="37" t="s">
        <v>16</v>
      </c>
      <c r="AH26" s="37" t="s">
        <v>16</v>
      </c>
      <c r="AI26" s="37" t="s">
        <v>16</v>
      </c>
      <c r="AJ26" s="37" t="s">
        <v>16</v>
      </c>
      <c r="AK26" s="37" t="s">
        <v>16</v>
      </c>
      <c r="AL26" s="38">
        <f t="shared" si="0"/>
        <v>1</v>
      </c>
      <c r="AM26" s="38">
        <f t="shared" si="1"/>
        <v>1</v>
      </c>
    </row>
    <row r="27" spans="1:39" ht="15" customHeight="1">
      <c r="A27" s="27">
        <v>26</v>
      </c>
      <c r="B27" s="28" t="s">
        <v>9</v>
      </c>
      <c r="C27" s="29" t="s">
        <v>53</v>
      </c>
      <c r="D27" s="28" t="s">
        <v>59</v>
      </c>
      <c r="E27" s="28" t="s">
        <v>58</v>
      </c>
      <c r="F27" s="28" t="s">
        <v>13</v>
      </c>
      <c r="G27" s="28"/>
      <c r="H27" s="28" t="s">
        <v>13</v>
      </c>
      <c r="I27" s="28"/>
      <c r="J27" s="28"/>
      <c r="K27" s="31" t="s">
        <v>13</v>
      </c>
      <c r="L27" s="31" t="s">
        <v>13</v>
      </c>
      <c r="M27" s="31" t="s">
        <v>18</v>
      </c>
      <c r="N27" s="31" t="s">
        <v>16</v>
      </c>
      <c r="O27" s="31" t="s">
        <v>16</v>
      </c>
      <c r="P27" s="32" t="s">
        <v>16</v>
      </c>
      <c r="Q27" s="32" t="s">
        <v>16</v>
      </c>
      <c r="R27" s="32" t="s">
        <v>16</v>
      </c>
      <c r="S27" s="32" t="s">
        <v>16</v>
      </c>
      <c r="T27" s="33" t="s">
        <v>16</v>
      </c>
      <c r="U27" s="33" t="s">
        <v>16</v>
      </c>
      <c r="V27" s="33" t="s">
        <v>16</v>
      </c>
      <c r="W27" s="34" t="s">
        <v>16</v>
      </c>
      <c r="X27" s="34" t="s">
        <v>16</v>
      </c>
      <c r="Y27" s="34" t="s">
        <v>16</v>
      </c>
      <c r="Z27" s="34" t="s">
        <v>16</v>
      </c>
      <c r="AA27" s="35" t="s">
        <v>16</v>
      </c>
      <c r="AB27" s="35" t="s">
        <v>16</v>
      </c>
      <c r="AC27" s="35" t="s">
        <v>16</v>
      </c>
      <c r="AD27" s="36" t="s">
        <v>16</v>
      </c>
      <c r="AE27" s="36" t="s">
        <v>16</v>
      </c>
      <c r="AF27" s="36" t="s">
        <v>16</v>
      </c>
      <c r="AG27" s="37" t="s">
        <v>16</v>
      </c>
      <c r="AH27" s="37" t="s">
        <v>16</v>
      </c>
      <c r="AI27" s="37" t="s">
        <v>16</v>
      </c>
      <c r="AJ27" s="37" t="s">
        <v>16</v>
      </c>
      <c r="AK27" s="37" t="s">
        <v>16</v>
      </c>
      <c r="AL27" s="38">
        <f t="shared" si="0"/>
        <v>1</v>
      </c>
      <c r="AM27" s="38">
        <f t="shared" si="1"/>
        <v>1</v>
      </c>
    </row>
    <row r="28" spans="1:39" ht="15" customHeight="1">
      <c r="A28" s="27">
        <v>27</v>
      </c>
      <c r="B28" s="28" t="s">
        <v>9</v>
      </c>
      <c r="C28" s="29" t="s">
        <v>53</v>
      </c>
      <c r="D28" s="28" t="s">
        <v>60</v>
      </c>
      <c r="E28" s="28" t="s">
        <v>61</v>
      </c>
      <c r="F28" s="28" t="s">
        <v>13</v>
      </c>
      <c r="G28" s="28"/>
      <c r="H28" s="28"/>
      <c r="I28" s="28"/>
      <c r="J28" s="28"/>
      <c r="K28" s="31" t="s">
        <v>13</v>
      </c>
      <c r="L28" s="31" t="s">
        <v>13</v>
      </c>
      <c r="M28" s="31" t="s">
        <v>18</v>
      </c>
      <c r="N28" s="31" t="s">
        <v>16</v>
      </c>
      <c r="O28" s="31" t="s">
        <v>16</v>
      </c>
      <c r="P28" s="32" t="s">
        <v>16</v>
      </c>
      <c r="Q28" s="32" t="s">
        <v>16</v>
      </c>
      <c r="R28" s="32" t="s">
        <v>16</v>
      </c>
      <c r="S28" s="32" t="s">
        <v>16</v>
      </c>
      <c r="T28" s="33" t="s">
        <v>16</v>
      </c>
      <c r="U28" s="33" t="s">
        <v>16</v>
      </c>
      <c r="V28" s="33" t="s">
        <v>16</v>
      </c>
      <c r="W28" s="34" t="s">
        <v>16</v>
      </c>
      <c r="X28" s="34" t="s">
        <v>16</v>
      </c>
      <c r="Y28" s="34" t="s">
        <v>16</v>
      </c>
      <c r="Z28" s="34" t="s">
        <v>16</v>
      </c>
      <c r="AA28" s="35" t="s">
        <v>16</v>
      </c>
      <c r="AB28" s="35" t="s">
        <v>16</v>
      </c>
      <c r="AC28" s="35" t="s">
        <v>16</v>
      </c>
      <c r="AD28" s="36" t="s">
        <v>16</v>
      </c>
      <c r="AE28" s="36" t="s">
        <v>16</v>
      </c>
      <c r="AF28" s="36" t="s">
        <v>16</v>
      </c>
      <c r="AG28" s="37" t="s">
        <v>16</v>
      </c>
      <c r="AH28" s="37" t="s">
        <v>16</v>
      </c>
      <c r="AI28" s="37" t="s">
        <v>16</v>
      </c>
      <c r="AJ28" s="37" t="s">
        <v>16</v>
      </c>
      <c r="AK28" s="37" t="s">
        <v>16</v>
      </c>
      <c r="AL28" s="38">
        <f t="shared" si="0"/>
        <v>1</v>
      </c>
      <c r="AM28" s="38">
        <f t="shared" si="1"/>
        <v>1</v>
      </c>
    </row>
    <row r="29" spans="1:39" ht="15" customHeight="1">
      <c r="A29" s="27">
        <v>28</v>
      </c>
      <c r="B29" s="28" t="s">
        <v>9</v>
      </c>
      <c r="C29" s="29" t="s">
        <v>53</v>
      </c>
      <c r="D29" s="28" t="s">
        <v>62</v>
      </c>
      <c r="E29" s="28" t="s">
        <v>63</v>
      </c>
      <c r="F29" s="28" t="s">
        <v>13</v>
      </c>
      <c r="G29" s="28" t="s">
        <v>13</v>
      </c>
      <c r="H29" s="28"/>
      <c r="I29" s="28"/>
      <c r="J29" s="28"/>
      <c r="K29" s="31" t="s">
        <v>13</v>
      </c>
      <c r="L29" s="31" t="s">
        <v>15</v>
      </c>
      <c r="M29" s="31" t="s">
        <v>13</v>
      </c>
      <c r="N29" s="31" t="s">
        <v>16</v>
      </c>
      <c r="O29" s="31" t="s">
        <v>16</v>
      </c>
      <c r="P29" s="32" t="s">
        <v>16</v>
      </c>
      <c r="Q29" s="32" t="s">
        <v>16</v>
      </c>
      <c r="R29" s="32" t="s">
        <v>16</v>
      </c>
      <c r="S29" s="32" t="s">
        <v>16</v>
      </c>
      <c r="T29" s="33" t="s">
        <v>16</v>
      </c>
      <c r="U29" s="33" t="s">
        <v>16</v>
      </c>
      <c r="V29" s="33" t="s">
        <v>16</v>
      </c>
      <c r="W29" s="34" t="s">
        <v>16</v>
      </c>
      <c r="X29" s="34" t="s">
        <v>16</v>
      </c>
      <c r="Y29" s="34" t="s">
        <v>16</v>
      </c>
      <c r="Z29" s="34" t="s">
        <v>16</v>
      </c>
      <c r="AA29" s="35" t="s">
        <v>16</v>
      </c>
      <c r="AB29" s="35" t="s">
        <v>16</v>
      </c>
      <c r="AC29" s="35" t="s">
        <v>16</v>
      </c>
      <c r="AD29" s="36" t="s">
        <v>16</v>
      </c>
      <c r="AE29" s="36" t="s">
        <v>16</v>
      </c>
      <c r="AF29" s="36" t="s">
        <v>16</v>
      </c>
      <c r="AG29" s="37" t="s">
        <v>16</v>
      </c>
      <c r="AH29" s="37" t="s">
        <v>16</v>
      </c>
      <c r="AI29" s="37" t="s">
        <v>16</v>
      </c>
      <c r="AJ29" s="37" t="s">
        <v>16</v>
      </c>
      <c r="AK29" s="37" t="s">
        <v>16</v>
      </c>
      <c r="AL29" s="38">
        <f t="shared" si="0"/>
        <v>1</v>
      </c>
      <c r="AM29" s="38">
        <f t="shared" si="1"/>
        <v>1</v>
      </c>
    </row>
    <row r="30" spans="1:39" ht="15" customHeight="1">
      <c r="A30" s="27">
        <v>29</v>
      </c>
      <c r="B30" s="28" t="s">
        <v>9</v>
      </c>
      <c r="C30" s="29" t="s">
        <v>53</v>
      </c>
      <c r="D30" s="28" t="s">
        <v>64</v>
      </c>
      <c r="E30" s="28" t="s">
        <v>63</v>
      </c>
      <c r="F30" s="28" t="s">
        <v>13</v>
      </c>
      <c r="G30" s="28" t="s">
        <v>13</v>
      </c>
      <c r="H30" s="28"/>
      <c r="I30" s="28"/>
      <c r="J30" s="28"/>
      <c r="K30" s="31" t="s">
        <v>13</v>
      </c>
      <c r="L30" s="31" t="s">
        <v>13</v>
      </c>
      <c r="M30" s="31" t="s">
        <v>13</v>
      </c>
      <c r="N30" s="31" t="s">
        <v>16</v>
      </c>
      <c r="O30" s="31" t="s">
        <v>16</v>
      </c>
      <c r="P30" s="32" t="s">
        <v>16</v>
      </c>
      <c r="Q30" s="32" t="s">
        <v>16</v>
      </c>
      <c r="R30" s="32" t="s">
        <v>16</v>
      </c>
      <c r="S30" s="32" t="s">
        <v>16</v>
      </c>
      <c r="T30" s="33" t="s">
        <v>16</v>
      </c>
      <c r="U30" s="33" t="s">
        <v>16</v>
      </c>
      <c r="V30" s="33" t="s">
        <v>16</v>
      </c>
      <c r="W30" s="34" t="s">
        <v>16</v>
      </c>
      <c r="X30" s="34" t="s">
        <v>16</v>
      </c>
      <c r="Y30" s="34" t="s">
        <v>16</v>
      </c>
      <c r="Z30" s="34" t="s">
        <v>16</v>
      </c>
      <c r="AA30" s="35" t="s">
        <v>16</v>
      </c>
      <c r="AB30" s="35" t="s">
        <v>16</v>
      </c>
      <c r="AC30" s="35" t="s">
        <v>16</v>
      </c>
      <c r="AD30" s="36" t="s">
        <v>16</v>
      </c>
      <c r="AE30" s="36" t="s">
        <v>16</v>
      </c>
      <c r="AF30" s="36" t="s">
        <v>16</v>
      </c>
      <c r="AG30" s="37" t="s">
        <v>16</v>
      </c>
      <c r="AH30" s="37" t="s">
        <v>16</v>
      </c>
      <c r="AI30" s="37" t="s">
        <v>16</v>
      </c>
      <c r="AJ30" s="37" t="s">
        <v>16</v>
      </c>
      <c r="AK30" s="37" t="s">
        <v>16</v>
      </c>
      <c r="AL30" s="38">
        <f t="shared" si="0"/>
        <v>1</v>
      </c>
      <c r="AM30" s="38">
        <f t="shared" si="1"/>
        <v>2</v>
      </c>
    </row>
    <row r="31" spans="1:39" ht="15" customHeight="1">
      <c r="A31" s="27">
        <v>30</v>
      </c>
      <c r="B31" s="28" t="s">
        <v>9</v>
      </c>
      <c r="C31" s="29" t="s">
        <v>53</v>
      </c>
      <c r="D31" s="28" t="s">
        <v>65</v>
      </c>
      <c r="E31" s="28" t="s">
        <v>66</v>
      </c>
      <c r="F31" s="28" t="s">
        <v>13</v>
      </c>
      <c r="G31" s="28"/>
      <c r="H31" s="28"/>
      <c r="I31" s="28"/>
      <c r="J31" s="28"/>
      <c r="K31" s="31" t="s">
        <v>13</v>
      </c>
      <c r="L31" s="31" t="s">
        <v>18</v>
      </c>
      <c r="M31" s="31" t="s">
        <v>13</v>
      </c>
      <c r="N31" s="31" t="s">
        <v>16</v>
      </c>
      <c r="O31" s="31" t="s">
        <v>16</v>
      </c>
      <c r="P31" s="32" t="s">
        <v>16</v>
      </c>
      <c r="Q31" s="32" t="s">
        <v>16</v>
      </c>
      <c r="R31" s="32" t="s">
        <v>16</v>
      </c>
      <c r="S31" s="32" t="s">
        <v>16</v>
      </c>
      <c r="T31" s="33" t="s">
        <v>16</v>
      </c>
      <c r="U31" s="33" t="s">
        <v>16</v>
      </c>
      <c r="V31" s="33" t="s">
        <v>16</v>
      </c>
      <c r="W31" s="34" t="s">
        <v>16</v>
      </c>
      <c r="X31" s="34" t="s">
        <v>16</v>
      </c>
      <c r="Y31" s="34" t="s">
        <v>16</v>
      </c>
      <c r="Z31" s="34" t="s">
        <v>16</v>
      </c>
      <c r="AA31" s="35" t="s">
        <v>16</v>
      </c>
      <c r="AB31" s="35" t="s">
        <v>16</v>
      </c>
      <c r="AC31" s="35" t="s">
        <v>16</v>
      </c>
      <c r="AD31" s="36" t="s">
        <v>16</v>
      </c>
      <c r="AE31" s="36" t="s">
        <v>16</v>
      </c>
      <c r="AF31" s="36" t="s">
        <v>16</v>
      </c>
      <c r="AG31" s="37" t="s">
        <v>16</v>
      </c>
      <c r="AH31" s="37" t="s">
        <v>16</v>
      </c>
      <c r="AI31" s="37" t="s">
        <v>16</v>
      </c>
      <c r="AJ31" s="37" t="s">
        <v>16</v>
      </c>
      <c r="AK31" s="37" t="s">
        <v>16</v>
      </c>
      <c r="AL31" s="38">
        <f t="shared" si="0"/>
        <v>1</v>
      </c>
      <c r="AM31" s="38">
        <f t="shared" si="1"/>
        <v>1</v>
      </c>
    </row>
    <row r="32" spans="1:39" ht="15" customHeight="1">
      <c r="A32" s="27">
        <v>31</v>
      </c>
      <c r="B32" s="28" t="s">
        <v>9</v>
      </c>
      <c r="C32" s="29" t="s">
        <v>53</v>
      </c>
      <c r="D32" s="28" t="s">
        <v>67</v>
      </c>
      <c r="E32" s="28" t="s">
        <v>68</v>
      </c>
      <c r="F32" s="28" t="s">
        <v>13</v>
      </c>
      <c r="G32" s="28"/>
      <c r="H32" s="28" t="s">
        <v>13</v>
      </c>
      <c r="I32" s="28"/>
      <c r="J32" s="28"/>
      <c r="K32" s="31" t="s">
        <v>13</v>
      </c>
      <c r="L32" s="31" t="s">
        <v>13</v>
      </c>
      <c r="M32" s="31" t="s">
        <v>13</v>
      </c>
      <c r="N32" s="31" t="s">
        <v>16</v>
      </c>
      <c r="O32" s="31" t="s">
        <v>16</v>
      </c>
      <c r="P32" s="32" t="s">
        <v>16</v>
      </c>
      <c r="Q32" s="32" t="s">
        <v>16</v>
      </c>
      <c r="R32" s="32" t="s">
        <v>16</v>
      </c>
      <c r="S32" s="32" t="s">
        <v>16</v>
      </c>
      <c r="T32" s="33" t="s">
        <v>16</v>
      </c>
      <c r="U32" s="33" t="s">
        <v>16</v>
      </c>
      <c r="V32" s="33" t="s">
        <v>16</v>
      </c>
      <c r="W32" s="34" t="s">
        <v>16</v>
      </c>
      <c r="X32" s="34" t="s">
        <v>16</v>
      </c>
      <c r="Y32" s="34" t="s">
        <v>16</v>
      </c>
      <c r="Z32" s="34" t="s">
        <v>16</v>
      </c>
      <c r="AA32" s="35" t="s">
        <v>16</v>
      </c>
      <c r="AB32" s="35" t="s">
        <v>16</v>
      </c>
      <c r="AC32" s="35" t="s">
        <v>16</v>
      </c>
      <c r="AD32" s="36" t="s">
        <v>16</v>
      </c>
      <c r="AE32" s="36" t="s">
        <v>16</v>
      </c>
      <c r="AF32" s="36" t="s">
        <v>16</v>
      </c>
      <c r="AG32" s="37" t="s">
        <v>16</v>
      </c>
      <c r="AH32" s="37" t="s">
        <v>16</v>
      </c>
      <c r="AI32" s="37" t="s">
        <v>16</v>
      </c>
      <c r="AJ32" s="37" t="s">
        <v>16</v>
      </c>
      <c r="AK32" s="37" t="s">
        <v>16</v>
      </c>
      <c r="AL32" s="38">
        <f t="shared" si="0"/>
        <v>1</v>
      </c>
      <c r="AM32" s="38">
        <f t="shared" si="1"/>
        <v>2</v>
      </c>
    </row>
    <row r="33" spans="1:39" ht="15" customHeight="1">
      <c r="A33" s="27">
        <v>32</v>
      </c>
      <c r="B33" s="28" t="s">
        <v>9</v>
      </c>
      <c r="C33" s="29" t="s">
        <v>53</v>
      </c>
      <c r="D33" s="28" t="s">
        <v>69</v>
      </c>
      <c r="E33" s="28" t="s">
        <v>70</v>
      </c>
      <c r="F33" s="28" t="s">
        <v>13</v>
      </c>
      <c r="G33" s="28"/>
      <c r="H33" s="28"/>
      <c r="I33" s="28"/>
      <c r="J33" s="28"/>
      <c r="K33" s="31" t="s">
        <v>13</v>
      </c>
      <c r="L33" s="31" t="s">
        <v>16</v>
      </c>
      <c r="M33" s="31" t="s">
        <v>13</v>
      </c>
      <c r="N33" s="31" t="s">
        <v>16</v>
      </c>
      <c r="O33" s="31" t="s">
        <v>16</v>
      </c>
      <c r="P33" s="32" t="s">
        <v>16</v>
      </c>
      <c r="Q33" s="32" t="s">
        <v>16</v>
      </c>
      <c r="R33" s="32" t="s">
        <v>16</v>
      </c>
      <c r="S33" s="32" t="s">
        <v>16</v>
      </c>
      <c r="T33" s="33" t="s">
        <v>16</v>
      </c>
      <c r="U33" s="33" t="s">
        <v>16</v>
      </c>
      <c r="V33" s="33" t="s">
        <v>16</v>
      </c>
      <c r="W33" s="34" t="s">
        <v>16</v>
      </c>
      <c r="X33" s="34" t="s">
        <v>16</v>
      </c>
      <c r="Y33" s="34" t="s">
        <v>16</v>
      </c>
      <c r="Z33" s="34" t="s">
        <v>16</v>
      </c>
      <c r="AA33" s="35" t="s">
        <v>16</v>
      </c>
      <c r="AB33" s="35" t="s">
        <v>16</v>
      </c>
      <c r="AC33" s="35" t="s">
        <v>16</v>
      </c>
      <c r="AD33" s="36" t="s">
        <v>16</v>
      </c>
      <c r="AE33" s="36" t="s">
        <v>16</v>
      </c>
      <c r="AF33" s="36" t="s">
        <v>16</v>
      </c>
      <c r="AG33" s="37" t="s">
        <v>16</v>
      </c>
      <c r="AH33" s="37" t="s">
        <v>16</v>
      </c>
      <c r="AI33" s="37" t="s">
        <v>16</v>
      </c>
      <c r="AJ33" s="37" t="s">
        <v>16</v>
      </c>
      <c r="AK33" s="37" t="s">
        <v>16</v>
      </c>
      <c r="AL33" s="38">
        <f t="shared" si="0"/>
        <v>1</v>
      </c>
      <c r="AM33" s="38">
        <f t="shared" si="1"/>
        <v>1</v>
      </c>
    </row>
    <row r="34" spans="1:39" ht="15" customHeight="1">
      <c r="A34" s="27">
        <v>33</v>
      </c>
      <c r="B34" s="28" t="s">
        <v>9</v>
      </c>
      <c r="C34" s="29" t="s">
        <v>53</v>
      </c>
      <c r="D34" s="28" t="s">
        <v>71</v>
      </c>
      <c r="E34" s="28" t="s">
        <v>72</v>
      </c>
      <c r="F34" s="28" t="s">
        <v>13</v>
      </c>
      <c r="G34" s="28"/>
      <c r="H34" s="28"/>
      <c r="I34" s="28"/>
      <c r="J34" s="28"/>
      <c r="K34" s="31" t="s">
        <v>16</v>
      </c>
      <c r="L34" s="31" t="s">
        <v>16</v>
      </c>
      <c r="M34" s="31" t="s">
        <v>16</v>
      </c>
      <c r="N34" s="31" t="s">
        <v>16</v>
      </c>
      <c r="O34" s="31" t="s">
        <v>16</v>
      </c>
      <c r="P34" s="32" t="s">
        <v>16</v>
      </c>
      <c r="Q34" s="32" t="s">
        <v>16</v>
      </c>
      <c r="R34" s="32" t="s">
        <v>16</v>
      </c>
      <c r="S34" s="32" t="s">
        <v>16</v>
      </c>
      <c r="T34" s="33" t="s">
        <v>16</v>
      </c>
      <c r="U34" s="33" t="s">
        <v>16</v>
      </c>
      <c r="V34" s="33" t="s">
        <v>16</v>
      </c>
      <c r="W34" s="34" t="s">
        <v>16</v>
      </c>
      <c r="X34" s="34" t="s">
        <v>16</v>
      </c>
      <c r="Y34" s="34" t="s">
        <v>16</v>
      </c>
      <c r="Z34" s="34" t="s">
        <v>16</v>
      </c>
      <c r="AA34" s="35" t="s">
        <v>16</v>
      </c>
      <c r="AB34" s="35" t="s">
        <v>16</v>
      </c>
      <c r="AC34" s="35" t="s">
        <v>16</v>
      </c>
      <c r="AD34" s="36" t="s">
        <v>16</v>
      </c>
      <c r="AE34" s="36" t="s">
        <v>16</v>
      </c>
      <c r="AF34" s="36" t="s">
        <v>16</v>
      </c>
      <c r="AG34" s="37" t="s">
        <v>16</v>
      </c>
      <c r="AH34" s="37" t="s">
        <v>16</v>
      </c>
      <c r="AI34" s="37" t="s">
        <v>16</v>
      </c>
      <c r="AJ34" s="37" t="s">
        <v>16</v>
      </c>
      <c r="AK34" s="37" t="s">
        <v>16</v>
      </c>
      <c r="AL34" s="38">
        <f t="shared" si="0"/>
        <v>0</v>
      </c>
      <c r="AM34" s="38">
        <f t="shared" si="1"/>
        <v>0</v>
      </c>
    </row>
    <row r="35" spans="1:39" ht="15" customHeight="1">
      <c r="A35" s="27">
        <v>34</v>
      </c>
      <c r="B35" s="28" t="s">
        <v>9</v>
      </c>
      <c r="C35" s="29" t="s">
        <v>53</v>
      </c>
      <c r="D35" s="28" t="s">
        <v>73</v>
      </c>
      <c r="E35" s="28" t="s">
        <v>74</v>
      </c>
      <c r="F35" s="28" t="s">
        <v>13</v>
      </c>
      <c r="G35" s="28"/>
      <c r="H35" s="28"/>
      <c r="I35" s="28"/>
      <c r="J35" s="28"/>
      <c r="K35" s="31" t="s">
        <v>13</v>
      </c>
      <c r="L35" s="31" t="s">
        <v>13</v>
      </c>
      <c r="M35" s="31" t="s">
        <v>13</v>
      </c>
      <c r="N35" s="31" t="s">
        <v>16</v>
      </c>
      <c r="O35" s="31" t="s">
        <v>16</v>
      </c>
      <c r="P35" s="32" t="s">
        <v>16</v>
      </c>
      <c r="Q35" s="32" t="s">
        <v>16</v>
      </c>
      <c r="R35" s="32" t="s">
        <v>16</v>
      </c>
      <c r="S35" s="32" t="s">
        <v>16</v>
      </c>
      <c r="T35" s="33" t="s">
        <v>16</v>
      </c>
      <c r="U35" s="33" t="s">
        <v>16</v>
      </c>
      <c r="V35" s="33" t="s">
        <v>16</v>
      </c>
      <c r="W35" s="34" t="s">
        <v>16</v>
      </c>
      <c r="X35" s="34" t="s">
        <v>16</v>
      </c>
      <c r="Y35" s="34" t="s">
        <v>16</v>
      </c>
      <c r="Z35" s="34" t="s">
        <v>16</v>
      </c>
      <c r="AA35" s="35" t="s">
        <v>16</v>
      </c>
      <c r="AB35" s="35" t="s">
        <v>16</v>
      </c>
      <c r="AC35" s="35" t="s">
        <v>16</v>
      </c>
      <c r="AD35" s="36" t="s">
        <v>16</v>
      </c>
      <c r="AE35" s="36" t="s">
        <v>16</v>
      </c>
      <c r="AF35" s="36" t="s">
        <v>16</v>
      </c>
      <c r="AG35" s="37" t="s">
        <v>16</v>
      </c>
      <c r="AH35" s="37" t="s">
        <v>16</v>
      </c>
      <c r="AI35" s="37" t="s">
        <v>16</v>
      </c>
      <c r="AJ35" s="37" t="s">
        <v>16</v>
      </c>
      <c r="AK35" s="37" t="s">
        <v>16</v>
      </c>
      <c r="AL35" s="38">
        <f t="shared" si="0"/>
        <v>1</v>
      </c>
      <c r="AM35" s="38">
        <f t="shared" si="1"/>
        <v>2</v>
      </c>
    </row>
    <row r="36" spans="1:39" ht="15" customHeight="1">
      <c r="A36" s="27">
        <v>35</v>
      </c>
      <c r="B36" s="28" t="s">
        <v>9</v>
      </c>
      <c r="C36" s="29" t="s">
        <v>53</v>
      </c>
      <c r="D36" s="30" t="s">
        <v>75</v>
      </c>
      <c r="E36" s="28" t="s">
        <v>72</v>
      </c>
      <c r="F36" s="28" t="s">
        <v>13</v>
      </c>
      <c r="G36" s="28"/>
      <c r="H36" s="28" t="s">
        <v>13</v>
      </c>
      <c r="I36" s="28"/>
      <c r="J36" s="28"/>
      <c r="K36" s="31" t="s">
        <v>13</v>
      </c>
      <c r="L36" s="31" t="s">
        <v>13</v>
      </c>
      <c r="M36" s="31" t="s">
        <v>15</v>
      </c>
      <c r="N36" s="31" t="s">
        <v>16</v>
      </c>
      <c r="O36" s="31" t="s">
        <v>16</v>
      </c>
      <c r="P36" s="32" t="s">
        <v>16</v>
      </c>
      <c r="Q36" s="32" t="s">
        <v>16</v>
      </c>
      <c r="R36" s="32" t="s">
        <v>16</v>
      </c>
      <c r="S36" s="32" t="s">
        <v>16</v>
      </c>
      <c r="T36" s="33" t="s">
        <v>16</v>
      </c>
      <c r="U36" s="33" t="s">
        <v>16</v>
      </c>
      <c r="V36" s="33" t="s">
        <v>16</v>
      </c>
      <c r="W36" s="34" t="s">
        <v>13</v>
      </c>
      <c r="X36" s="34" t="s">
        <v>13</v>
      </c>
      <c r="Y36" s="34" t="s">
        <v>16</v>
      </c>
      <c r="Z36" s="34" t="s">
        <v>16</v>
      </c>
      <c r="AA36" s="35" t="s">
        <v>16</v>
      </c>
      <c r="AB36" s="35" t="s">
        <v>16</v>
      </c>
      <c r="AC36" s="35" t="s">
        <v>16</v>
      </c>
      <c r="AD36" s="36" t="s">
        <v>16</v>
      </c>
      <c r="AE36" s="36" t="s">
        <v>16</v>
      </c>
      <c r="AF36" s="36" t="s">
        <v>16</v>
      </c>
      <c r="AG36" s="37" t="s">
        <v>16</v>
      </c>
      <c r="AH36" s="37" t="s">
        <v>16</v>
      </c>
      <c r="AI36" s="37" t="s">
        <v>16</v>
      </c>
      <c r="AJ36" s="37" t="s">
        <v>13</v>
      </c>
      <c r="AK36" s="37" t="s">
        <v>16</v>
      </c>
      <c r="AL36" s="38">
        <f t="shared" si="0"/>
        <v>2</v>
      </c>
      <c r="AM36" s="38">
        <f t="shared" si="1"/>
        <v>3</v>
      </c>
    </row>
    <row r="37" spans="1:39" ht="15" customHeight="1">
      <c r="A37" s="27">
        <v>36</v>
      </c>
      <c r="B37" s="28" t="s">
        <v>9</v>
      </c>
      <c r="C37" s="29" t="s">
        <v>53</v>
      </c>
      <c r="D37" s="28" t="s">
        <v>76</v>
      </c>
      <c r="E37" s="28" t="s">
        <v>72</v>
      </c>
      <c r="F37" s="28" t="s">
        <v>13</v>
      </c>
      <c r="G37" s="28"/>
      <c r="H37" s="28"/>
      <c r="I37" s="28"/>
      <c r="J37" s="28"/>
      <c r="K37" s="31" t="s">
        <v>13</v>
      </c>
      <c r="L37" s="31" t="s">
        <v>13</v>
      </c>
      <c r="M37" s="31" t="s">
        <v>13</v>
      </c>
      <c r="N37" s="31" t="s">
        <v>16</v>
      </c>
      <c r="O37" s="31" t="s">
        <v>16</v>
      </c>
      <c r="P37" s="32" t="s">
        <v>16</v>
      </c>
      <c r="Q37" s="32" t="s">
        <v>16</v>
      </c>
      <c r="R37" s="32" t="s">
        <v>16</v>
      </c>
      <c r="S37" s="32" t="s">
        <v>16</v>
      </c>
      <c r="T37" s="33" t="s">
        <v>16</v>
      </c>
      <c r="U37" s="33" t="s">
        <v>16</v>
      </c>
      <c r="V37" s="33" t="s">
        <v>16</v>
      </c>
      <c r="W37" s="34" t="s">
        <v>16</v>
      </c>
      <c r="X37" s="34" t="s">
        <v>16</v>
      </c>
      <c r="Y37" s="34" t="s">
        <v>16</v>
      </c>
      <c r="Z37" s="34" t="s">
        <v>16</v>
      </c>
      <c r="AA37" s="35" t="s">
        <v>16</v>
      </c>
      <c r="AB37" s="35" t="s">
        <v>16</v>
      </c>
      <c r="AC37" s="35" t="s">
        <v>16</v>
      </c>
      <c r="AD37" s="36" t="s">
        <v>16</v>
      </c>
      <c r="AE37" s="36" t="s">
        <v>16</v>
      </c>
      <c r="AF37" s="36" t="s">
        <v>16</v>
      </c>
      <c r="AG37" s="37" t="s">
        <v>16</v>
      </c>
      <c r="AH37" s="37" t="s">
        <v>16</v>
      </c>
      <c r="AI37" s="37" t="s">
        <v>16</v>
      </c>
      <c r="AJ37" s="37" t="s">
        <v>16</v>
      </c>
      <c r="AK37" s="37" t="s">
        <v>16</v>
      </c>
      <c r="AL37" s="38">
        <f t="shared" si="0"/>
        <v>1</v>
      </c>
      <c r="AM37" s="38">
        <f t="shared" si="1"/>
        <v>2</v>
      </c>
    </row>
    <row r="38" spans="1:39" ht="15" customHeight="1">
      <c r="A38" s="27">
        <v>37</v>
      </c>
      <c r="B38" s="28" t="s">
        <v>9</v>
      </c>
      <c r="C38" s="29" t="s">
        <v>53</v>
      </c>
      <c r="D38" s="28" t="s">
        <v>77</v>
      </c>
      <c r="E38" s="28" t="s">
        <v>78</v>
      </c>
      <c r="F38" s="28" t="s">
        <v>13</v>
      </c>
      <c r="G38" s="28"/>
      <c r="H38" s="28"/>
      <c r="I38" s="28"/>
      <c r="J38" s="28"/>
      <c r="K38" s="31" t="s">
        <v>13</v>
      </c>
      <c r="L38" s="31" t="s">
        <v>13</v>
      </c>
      <c r="M38" s="31" t="s">
        <v>18</v>
      </c>
      <c r="N38" s="31" t="s">
        <v>16</v>
      </c>
      <c r="O38" s="31" t="s">
        <v>16</v>
      </c>
      <c r="P38" s="32" t="s">
        <v>16</v>
      </c>
      <c r="Q38" s="32" t="s">
        <v>16</v>
      </c>
      <c r="R38" s="32" t="s">
        <v>16</v>
      </c>
      <c r="S38" s="32" t="s">
        <v>16</v>
      </c>
      <c r="T38" s="33" t="s">
        <v>16</v>
      </c>
      <c r="U38" s="33" t="s">
        <v>16</v>
      </c>
      <c r="V38" s="33" t="s">
        <v>16</v>
      </c>
      <c r="W38" s="34" t="s">
        <v>13</v>
      </c>
      <c r="X38" s="34" t="s">
        <v>13</v>
      </c>
      <c r="Y38" s="34" t="s">
        <v>16</v>
      </c>
      <c r="Z38" s="34" t="s">
        <v>16</v>
      </c>
      <c r="AA38" s="35" t="s">
        <v>16</v>
      </c>
      <c r="AB38" s="35" t="s">
        <v>16</v>
      </c>
      <c r="AC38" s="35" t="s">
        <v>16</v>
      </c>
      <c r="AD38" s="36" t="s">
        <v>16</v>
      </c>
      <c r="AE38" s="36" t="s">
        <v>16</v>
      </c>
      <c r="AF38" s="36" t="s">
        <v>16</v>
      </c>
      <c r="AG38" s="37" t="s">
        <v>16</v>
      </c>
      <c r="AH38" s="37" t="s">
        <v>16</v>
      </c>
      <c r="AI38" s="37" t="s">
        <v>16</v>
      </c>
      <c r="AJ38" s="37" t="s">
        <v>16</v>
      </c>
      <c r="AK38" s="37" t="s">
        <v>16</v>
      </c>
      <c r="AL38" s="38">
        <f t="shared" si="0"/>
        <v>2</v>
      </c>
      <c r="AM38" s="38">
        <f t="shared" si="1"/>
        <v>2</v>
      </c>
    </row>
    <row r="39" spans="1:39" ht="15" customHeight="1">
      <c r="A39" s="27">
        <v>38</v>
      </c>
      <c r="B39" s="28" t="s">
        <v>9</v>
      </c>
      <c r="C39" s="29" t="s">
        <v>53</v>
      </c>
      <c r="D39" s="28" t="s">
        <v>79</v>
      </c>
      <c r="E39" s="28" t="s">
        <v>80</v>
      </c>
      <c r="F39" s="28" t="s">
        <v>13</v>
      </c>
      <c r="G39" s="28" t="s">
        <v>13</v>
      </c>
      <c r="H39" s="28"/>
      <c r="I39" s="28"/>
      <c r="J39" s="28"/>
      <c r="K39" s="31" t="s">
        <v>13</v>
      </c>
      <c r="L39" s="31" t="s">
        <v>13</v>
      </c>
      <c r="M39" s="31" t="s">
        <v>13</v>
      </c>
      <c r="N39" s="31" t="s">
        <v>28</v>
      </c>
      <c r="O39" s="31" t="s">
        <v>28</v>
      </c>
      <c r="P39" s="32" t="s">
        <v>16</v>
      </c>
      <c r="Q39" s="32" t="s">
        <v>16</v>
      </c>
      <c r="R39" s="32" t="s">
        <v>16</v>
      </c>
      <c r="S39" s="32" t="s">
        <v>16</v>
      </c>
      <c r="T39" s="33" t="s">
        <v>16</v>
      </c>
      <c r="U39" s="33" t="s">
        <v>16</v>
      </c>
      <c r="V39" s="33" t="s">
        <v>16</v>
      </c>
      <c r="W39" s="34" t="s">
        <v>13</v>
      </c>
      <c r="X39" s="34" t="s">
        <v>13</v>
      </c>
      <c r="Y39" s="34" t="s">
        <v>16</v>
      </c>
      <c r="Z39" s="34" t="s">
        <v>16</v>
      </c>
      <c r="AA39" s="35" t="s">
        <v>16</v>
      </c>
      <c r="AB39" s="35" t="s">
        <v>16</v>
      </c>
      <c r="AC39" s="35" t="s">
        <v>16</v>
      </c>
      <c r="AD39" s="36" t="s">
        <v>16</v>
      </c>
      <c r="AE39" s="36" t="s">
        <v>16</v>
      </c>
      <c r="AF39" s="36" t="s">
        <v>16</v>
      </c>
      <c r="AG39" s="37" t="s">
        <v>16</v>
      </c>
      <c r="AH39" s="37" t="s">
        <v>16</v>
      </c>
      <c r="AI39" s="37" t="s">
        <v>16</v>
      </c>
      <c r="AJ39" s="37" t="s">
        <v>16</v>
      </c>
      <c r="AK39" s="37" t="s">
        <v>16</v>
      </c>
      <c r="AL39" s="38">
        <f t="shared" si="0"/>
        <v>2</v>
      </c>
      <c r="AM39" s="38">
        <f t="shared" si="1"/>
        <v>3</v>
      </c>
    </row>
    <row r="40" spans="1:39" ht="15" customHeight="1">
      <c r="A40" s="27">
        <v>39</v>
      </c>
      <c r="B40" s="28" t="s">
        <v>9</v>
      </c>
      <c r="C40" s="29" t="s">
        <v>53</v>
      </c>
      <c r="D40" s="28" t="s">
        <v>81</v>
      </c>
      <c r="E40" s="28" t="s">
        <v>82</v>
      </c>
      <c r="F40" s="28" t="s">
        <v>13</v>
      </c>
      <c r="G40" s="28"/>
      <c r="H40" s="28"/>
      <c r="I40" s="28"/>
      <c r="J40" s="28"/>
      <c r="K40" s="31" t="s">
        <v>13</v>
      </c>
      <c r="L40" s="31" t="s">
        <v>13</v>
      </c>
      <c r="M40" s="31" t="s">
        <v>18</v>
      </c>
      <c r="N40" s="31" t="s">
        <v>16</v>
      </c>
      <c r="O40" s="31" t="s">
        <v>16</v>
      </c>
      <c r="P40" s="32" t="s">
        <v>16</v>
      </c>
      <c r="Q40" s="32" t="s">
        <v>16</v>
      </c>
      <c r="R40" s="32" t="s">
        <v>16</v>
      </c>
      <c r="S40" s="32" t="s">
        <v>16</v>
      </c>
      <c r="T40" s="33" t="s">
        <v>16</v>
      </c>
      <c r="U40" s="33" t="s">
        <v>16</v>
      </c>
      <c r="V40" s="33" t="s">
        <v>16</v>
      </c>
      <c r="W40" s="34" t="s">
        <v>16</v>
      </c>
      <c r="X40" s="34" t="s">
        <v>16</v>
      </c>
      <c r="Y40" s="34" t="s">
        <v>16</v>
      </c>
      <c r="Z40" s="34" t="s">
        <v>16</v>
      </c>
      <c r="AA40" s="35" t="s">
        <v>16</v>
      </c>
      <c r="AB40" s="35" t="s">
        <v>16</v>
      </c>
      <c r="AC40" s="35" t="s">
        <v>16</v>
      </c>
      <c r="AD40" s="36" t="s">
        <v>16</v>
      </c>
      <c r="AE40" s="36" t="s">
        <v>16</v>
      </c>
      <c r="AF40" s="36" t="s">
        <v>16</v>
      </c>
      <c r="AG40" s="37" t="s">
        <v>16</v>
      </c>
      <c r="AH40" s="37" t="s">
        <v>16</v>
      </c>
      <c r="AI40" s="37" t="s">
        <v>16</v>
      </c>
      <c r="AJ40" s="37" t="s">
        <v>16</v>
      </c>
      <c r="AK40" s="37" t="s">
        <v>16</v>
      </c>
      <c r="AL40" s="38">
        <f t="shared" si="0"/>
        <v>1</v>
      </c>
      <c r="AM40" s="38">
        <f t="shared" si="1"/>
        <v>1</v>
      </c>
    </row>
    <row r="41" spans="1:39" ht="15" customHeight="1">
      <c r="A41" s="27">
        <v>40</v>
      </c>
      <c r="B41" s="28" t="s">
        <v>9</v>
      </c>
      <c r="C41" s="29" t="s">
        <v>53</v>
      </c>
      <c r="D41" s="28" t="s">
        <v>83</v>
      </c>
      <c r="E41" s="28" t="s">
        <v>12</v>
      </c>
      <c r="F41" s="28" t="s">
        <v>13</v>
      </c>
      <c r="G41" s="28"/>
      <c r="H41" s="28" t="s">
        <v>13</v>
      </c>
      <c r="I41" s="28"/>
      <c r="J41" s="28"/>
      <c r="K41" s="31" t="s">
        <v>13</v>
      </c>
      <c r="L41" s="31" t="s">
        <v>13</v>
      </c>
      <c r="M41" s="31" t="s">
        <v>16</v>
      </c>
      <c r="N41" s="31" t="s">
        <v>16</v>
      </c>
      <c r="O41" s="31" t="s">
        <v>16</v>
      </c>
      <c r="P41" s="32" t="s">
        <v>16</v>
      </c>
      <c r="Q41" s="32" t="s">
        <v>16</v>
      </c>
      <c r="R41" s="32" t="s">
        <v>16</v>
      </c>
      <c r="S41" s="32" t="s">
        <v>16</v>
      </c>
      <c r="T41" s="33" t="s">
        <v>16</v>
      </c>
      <c r="U41" s="33" t="s">
        <v>16</v>
      </c>
      <c r="V41" s="33" t="s">
        <v>16</v>
      </c>
      <c r="W41" s="34" t="s">
        <v>13</v>
      </c>
      <c r="X41" s="34" t="s">
        <v>15</v>
      </c>
      <c r="Y41" s="34" t="s">
        <v>16</v>
      </c>
      <c r="Z41" s="34" t="s">
        <v>16</v>
      </c>
      <c r="AA41" s="35" t="s">
        <v>16</v>
      </c>
      <c r="AB41" s="35" t="s">
        <v>16</v>
      </c>
      <c r="AC41" s="35" t="s">
        <v>16</v>
      </c>
      <c r="AD41" s="36" t="s">
        <v>16</v>
      </c>
      <c r="AE41" s="36" t="s">
        <v>16</v>
      </c>
      <c r="AF41" s="36" t="s">
        <v>16</v>
      </c>
      <c r="AG41" s="37" t="s">
        <v>16</v>
      </c>
      <c r="AH41" s="37" t="s">
        <v>16</v>
      </c>
      <c r="AI41" s="37" t="s">
        <v>16</v>
      </c>
      <c r="AJ41" s="37" t="s">
        <v>16</v>
      </c>
      <c r="AK41" s="37" t="s">
        <v>16</v>
      </c>
      <c r="AL41" s="38">
        <f t="shared" si="0"/>
        <v>2</v>
      </c>
      <c r="AM41" s="38">
        <f t="shared" si="1"/>
        <v>1</v>
      </c>
    </row>
    <row r="42" spans="1:39" ht="15" customHeight="1">
      <c r="A42" s="27">
        <v>41</v>
      </c>
      <c r="B42" s="28" t="s">
        <v>9</v>
      </c>
      <c r="C42" s="29" t="s">
        <v>53</v>
      </c>
      <c r="D42" s="28" t="s">
        <v>84</v>
      </c>
      <c r="E42" s="28" t="s">
        <v>12</v>
      </c>
      <c r="F42" s="28" t="s">
        <v>13</v>
      </c>
      <c r="G42" s="28"/>
      <c r="H42" s="28" t="s">
        <v>13</v>
      </c>
      <c r="I42" s="28"/>
      <c r="J42" s="28"/>
      <c r="K42" s="31" t="s">
        <v>13</v>
      </c>
      <c r="L42" s="31" t="s">
        <v>13</v>
      </c>
      <c r="M42" s="31" t="s">
        <v>16</v>
      </c>
      <c r="N42" s="31" t="s">
        <v>16</v>
      </c>
      <c r="O42" s="31" t="s">
        <v>28</v>
      </c>
      <c r="P42" s="32" t="s">
        <v>16</v>
      </c>
      <c r="Q42" s="32" t="s">
        <v>16</v>
      </c>
      <c r="R42" s="32" t="s">
        <v>16</v>
      </c>
      <c r="S42" s="32" t="s">
        <v>16</v>
      </c>
      <c r="T42" s="33" t="s">
        <v>16</v>
      </c>
      <c r="U42" s="33" t="s">
        <v>16</v>
      </c>
      <c r="V42" s="33" t="s">
        <v>16</v>
      </c>
      <c r="W42" s="34" t="s">
        <v>13</v>
      </c>
      <c r="X42" s="34" t="s">
        <v>18</v>
      </c>
      <c r="Y42" s="34" t="s">
        <v>16</v>
      </c>
      <c r="Z42" s="34" t="s">
        <v>16</v>
      </c>
      <c r="AA42" s="35" t="s">
        <v>16</v>
      </c>
      <c r="AB42" s="35" t="s">
        <v>16</v>
      </c>
      <c r="AC42" s="35" t="s">
        <v>16</v>
      </c>
      <c r="AD42" s="36" t="s">
        <v>16</v>
      </c>
      <c r="AE42" s="36" t="s">
        <v>16</v>
      </c>
      <c r="AF42" s="36" t="s">
        <v>16</v>
      </c>
      <c r="AG42" s="37" t="s">
        <v>16</v>
      </c>
      <c r="AH42" s="37" t="s">
        <v>16</v>
      </c>
      <c r="AI42" s="37" t="s">
        <v>16</v>
      </c>
      <c r="AJ42" s="37" t="s">
        <v>16</v>
      </c>
      <c r="AK42" s="37" t="s">
        <v>16</v>
      </c>
      <c r="AL42" s="38">
        <f t="shared" si="0"/>
        <v>2</v>
      </c>
      <c r="AM42" s="38">
        <f t="shared" si="1"/>
        <v>1</v>
      </c>
    </row>
    <row r="43" spans="1:39" ht="15" customHeight="1">
      <c r="A43" s="27">
        <v>42</v>
      </c>
      <c r="B43" s="28" t="s">
        <v>9</v>
      </c>
      <c r="C43" s="29" t="s">
        <v>53</v>
      </c>
      <c r="D43" s="28" t="s">
        <v>85</v>
      </c>
      <c r="E43" s="28" t="s">
        <v>72</v>
      </c>
      <c r="F43" s="28" t="s">
        <v>13</v>
      </c>
      <c r="G43" s="28"/>
      <c r="H43" s="28"/>
      <c r="I43" s="28"/>
      <c r="J43" s="28"/>
      <c r="K43" s="31" t="s">
        <v>13</v>
      </c>
      <c r="L43" s="31" t="s">
        <v>13</v>
      </c>
      <c r="M43" s="31" t="s">
        <v>16</v>
      </c>
      <c r="N43" s="31" t="s">
        <v>16</v>
      </c>
      <c r="O43" s="31" t="s">
        <v>28</v>
      </c>
      <c r="P43" s="32" t="s">
        <v>16</v>
      </c>
      <c r="Q43" s="32" t="s">
        <v>16</v>
      </c>
      <c r="R43" s="32" t="s">
        <v>16</v>
      </c>
      <c r="S43" s="32" t="s">
        <v>16</v>
      </c>
      <c r="T43" s="33" t="s">
        <v>16</v>
      </c>
      <c r="U43" s="33" t="s">
        <v>16</v>
      </c>
      <c r="V43" s="33" t="s">
        <v>16</v>
      </c>
      <c r="W43" s="34" t="s">
        <v>13</v>
      </c>
      <c r="X43" s="34" t="s">
        <v>13</v>
      </c>
      <c r="Y43" s="34" t="s">
        <v>16</v>
      </c>
      <c r="Z43" s="34" t="s">
        <v>16</v>
      </c>
      <c r="AA43" s="35" t="s">
        <v>16</v>
      </c>
      <c r="AB43" s="35" t="s">
        <v>16</v>
      </c>
      <c r="AC43" s="35" t="s">
        <v>16</v>
      </c>
      <c r="AD43" s="36" t="s">
        <v>16</v>
      </c>
      <c r="AE43" s="36" t="s">
        <v>16</v>
      </c>
      <c r="AF43" s="36" t="s">
        <v>16</v>
      </c>
      <c r="AG43" s="37" t="s">
        <v>16</v>
      </c>
      <c r="AH43" s="37" t="s">
        <v>16</v>
      </c>
      <c r="AI43" s="37" t="s">
        <v>16</v>
      </c>
      <c r="AJ43" s="37" t="s">
        <v>16</v>
      </c>
      <c r="AK43" s="37" t="s">
        <v>16</v>
      </c>
      <c r="AL43" s="38">
        <f t="shared" si="0"/>
        <v>2</v>
      </c>
      <c r="AM43" s="38">
        <f t="shared" si="1"/>
        <v>2</v>
      </c>
    </row>
    <row r="44" spans="1:39" ht="15" customHeight="1">
      <c r="A44" s="27">
        <v>43</v>
      </c>
      <c r="B44" s="28" t="s">
        <v>9</v>
      </c>
      <c r="C44" s="29" t="s">
        <v>53</v>
      </c>
      <c r="D44" s="28" t="s">
        <v>86</v>
      </c>
      <c r="E44" s="28" t="s">
        <v>30</v>
      </c>
      <c r="F44" s="28" t="s">
        <v>13</v>
      </c>
      <c r="G44" s="28"/>
      <c r="H44" s="28"/>
      <c r="I44" s="28"/>
      <c r="J44" s="28"/>
      <c r="K44" s="31" t="s">
        <v>13</v>
      </c>
      <c r="L44" s="31" t="s">
        <v>13</v>
      </c>
      <c r="M44" s="31" t="s">
        <v>16</v>
      </c>
      <c r="N44" s="31" t="s">
        <v>16</v>
      </c>
      <c r="O44" s="31" t="s">
        <v>16</v>
      </c>
      <c r="P44" s="32" t="s">
        <v>16</v>
      </c>
      <c r="Q44" s="32" t="s">
        <v>16</v>
      </c>
      <c r="R44" s="32" t="s">
        <v>16</v>
      </c>
      <c r="S44" s="32" t="s">
        <v>16</v>
      </c>
      <c r="T44" s="33" t="s">
        <v>16</v>
      </c>
      <c r="U44" s="33" t="s">
        <v>16</v>
      </c>
      <c r="V44" s="33" t="s">
        <v>16</v>
      </c>
      <c r="W44" s="34" t="s">
        <v>13</v>
      </c>
      <c r="X44" s="34" t="s">
        <v>18</v>
      </c>
      <c r="Y44" s="34" t="s">
        <v>16</v>
      </c>
      <c r="Z44" s="34" t="s">
        <v>16</v>
      </c>
      <c r="AA44" s="35" t="s">
        <v>16</v>
      </c>
      <c r="AB44" s="35" t="s">
        <v>16</v>
      </c>
      <c r="AC44" s="35" t="s">
        <v>16</v>
      </c>
      <c r="AD44" s="36" t="s">
        <v>16</v>
      </c>
      <c r="AE44" s="36" t="s">
        <v>16</v>
      </c>
      <c r="AF44" s="36" t="s">
        <v>16</v>
      </c>
      <c r="AG44" s="37" t="s">
        <v>16</v>
      </c>
      <c r="AH44" s="37" t="s">
        <v>16</v>
      </c>
      <c r="AI44" s="37" t="s">
        <v>16</v>
      </c>
      <c r="AJ44" s="37" t="s">
        <v>16</v>
      </c>
      <c r="AK44" s="37" t="s">
        <v>16</v>
      </c>
      <c r="AL44" s="38">
        <f t="shared" si="0"/>
        <v>2</v>
      </c>
      <c r="AM44" s="38">
        <f t="shared" si="1"/>
        <v>1</v>
      </c>
    </row>
    <row r="45" spans="1:39" ht="15" customHeight="1">
      <c r="A45" s="27">
        <v>44</v>
      </c>
      <c r="B45" s="28" t="s">
        <v>9</v>
      </c>
      <c r="C45" s="29" t="s">
        <v>53</v>
      </c>
      <c r="D45" s="28" t="s">
        <v>87</v>
      </c>
      <c r="E45" s="28" t="s">
        <v>82</v>
      </c>
      <c r="F45" s="28" t="s">
        <v>13</v>
      </c>
      <c r="G45" s="28" t="s">
        <v>13</v>
      </c>
      <c r="H45" s="28"/>
      <c r="I45" s="28"/>
      <c r="J45" s="28"/>
      <c r="K45" s="31" t="s">
        <v>13</v>
      </c>
      <c r="L45" s="31" t="s">
        <v>13</v>
      </c>
      <c r="M45" s="31" t="s">
        <v>18</v>
      </c>
      <c r="N45" s="31" t="s">
        <v>16</v>
      </c>
      <c r="O45" s="31" t="s">
        <v>16</v>
      </c>
      <c r="P45" s="32" t="s">
        <v>16</v>
      </c>
      <c r="Q45" s="32" t="s">
        <v>16</v>
      </c>
      <c r="R45" s="32" t="s">
        <v>16</v>
      </c>
      <c r="S45" s="32" t="s">
        <v>16</v>
      </c>
      <c r="T45" s="33" t="s">
        <v>16</v>
      </c>
      <c r="U45" s="33" t="s">
        <v>16</v>
      </c>
      <c r="V45" s="33" t="s">
        <v>16</v>
      </c>
      <c r="W45" s="34" t="s">
        <v>16</v>
      </c>
      <c r="X45" s="34" t="s">
        <v>16</v>
      </c>
      <c r="Y45" s="34" t="s">
        <v>16</v>
      </c>
      <c r="Z45" s="34" t="s">
        <v>16</v>
      </c>
      <c r="AA45" s="35" t="s">
        <v>16</v>
      </c>
      <c r="AB45" s="35" t="s">
        <v>16</v>
      </c>
      <c r="AC45" s="35" t="s">
        <v>16</v>
      </c>
      <c r="AD45" s="36" t="s">
        <v>16</v>
      </c>
      <c r="AE45" s="36" t="s">
        <v>16</v>
      </c>
      <c r="AF45" s="36" t="s">
        <v>16</v>
      </c>
      <c r="AG45" s="37" t="s">
        <v>16</v>
      </c>
      <c r="AH45" s="37" t="s">
        <v>16</v>
      </c>
      <c r="AI45" s="37" t="s">
        <v>16</v>
      </c>
      <c r="AJ45" s="37" t="s">
        <v>16</v>
      </c>
      <c r="AK45" s="37" t="s">
        <v>16</v>
      </c>
      <c r="AL45" s="38">
        <f t="shared" si="0"/>
        <v>1</v>
      </c>
      <c r="AM45" s="38">
        <f t="shared" si="1"/>
        <v>1</v>
      </c>
    </row>
    <row r="46" spans="1:39" ht="15" customHeight="1">
      <c r="A46" s="27">
        <v>45</v>
      </c>
      <c r="B46" s="28" t="s">
        <v>9</v>
      </c>
      <c r="C46" s="29" t="s">
        <v>88</v>
      </c>
      <c r="D46" s="30" t="s">
        <v>89</v>
      </c>
      <c r="E46" s="28" t="s">
        <v>90</v>
      </c>
      <c r="F46" s="28" t="s">
        <v>13</v>
      </c>
      <c r="G46" s="28"/>
      <c r="H46" s="28" t="s">
        <v>13</v>
      </c>
      <c r="I46" s="28"/>
      <c r="J46" s="28"/>
      <c r="K46" s="31" t="s">
        <v>13</v>
      </c>
      <c r="L46" s="31" t="s">
        <v>15</v>
      </c>
      <c r="M46" s="31" t="s">
        <v>18</v>
      </c>
      <c r="N46" s="31" t="s">
        <v>16</v>
      </c>
      <c r="O46" s="31" t="s">
        <v>16</v>
      </c>
      <c r="P46" s="32" t="s">
        <v>16</v>
      </c>
      <c r="Q46" s="32" t="s">
        <v>16</v>
      </c>
      <c r="R46" s="32" t="s">
        <v>16</v>
      </c>
      <c r="S46" s="32" t="s">
        <v>16</v>
      </c>
      <c r="T46" s="33" t="s">
        <v>16</v>
      </c>
      <c r="U46" s="33" t="s">
        <v>16</v>
      </c>
      <c r="V46" s="33" t="s">
        <v>16</v>
      </c>
      <c r="W46" s="34" t="s">
        <v>13</v>
      </c>
      <c r="X46" s="34" t="s">
        <v>13</v>
      </c>
      <c r="Y46" s="34" t="s">
        <v>16</v>
      </c>
      <c r="Z46" s="34" t="s">
        <v>16</v>
      </c>
      <c r="AA46" s="35" t="s">
        <v>13</v>
      </c>
      <c r="AB46" s="35" t="s">
        <v>13</v>
      </c>
      <c r="AC46" s="35" t="s">
        <v>16</v>
      </c>
      <c r="AD46" s="36" t="s">
        <v>16</v>
      </c>
      <c r="AE46" s="36" t="s">
        <v>16</v>
      </c>
      <c r="AF46" s="36" t="s">
        <v>16</v>
      </c>
      <c r="AG46" s="37" t="s">
        <v>13</v>
      </c>
      <c r="AH46" s="37" t="s">
        <v>16</v>
      </c>
      <c r="AI46" s="37" t="s">
        <v>16</v>
      </c>
      <c r="AJ46" s="37" t="s">
        <v>13</v>
      </c>
      <c r="AK46" s="37" t="s">
        <v>16</v>
      </c>
      <c r="AL46" s="38">
        <f t="shared" si="0"/>
        <v>4</v>
      </c>
      <c r="AM46" s="38">
        <f t="shared" si="1"/>
        <v>3</v>
      </c>
    </row>
    <row r="47" spans="1:39" ht="15" customHeight="1">
      <c r="A47" s="27">
        <v>46</v>
      </c>
      <c r="B47" s="28" t="s">
        <v>9</v>
      </c>
      <c r="C47" s="29" t="s">
        <v>88</v>
      </c>
      <c r="D47" s="28" t="s">
        <v>91</v>
      </c>
      <c r="E47" s="28" t="s">
        <v>90</v>
      </c>
      <c r="F47" s="28" t="s">
        <v>13</v>
      </c>
      <c r="G47" s="28"/>
      <c r="H47" s="28" t="s">
        <v>13</v>
      </c>
      <c r="I47" s="28"/>
      <c r="J47" s="28"/>
      <c r="K47" s="31" t="s">
        <v>13</v>
      </c>
      <c r="L47" s="31" t="s">
        <v>15</v>
      </c>
      <c r="M47" s="31" t="s">
        <v>18</v>
      </c>
      <c r="N47" s="31" t="s">
        <v>16</v>
      </c>
      <c r="O47" s="31" t="s">
        <v>16</v>
      </c>
      <c r="P47" s="32" t="s">
        <v>16</v>
      </c>
      <c r="Q47" s="32" t="s">
        <v>16</v>
      </c>
      <c r="R47" s="32" t="s">
        <v>16</v>
      </c>
      <c r="S47" s="32" t="s">
        <v>16</v>
      </c>
      <c r="T47" s="33" t="s">
        <v>16</v>
      </c>
      <c r="U47" s="33" t="s">
        <v>16</v>
      </c>
      <c r="V47" s="33" t="s">
        <v>16</v>
      </c>
      <c r="W47" s="34" t="s">
        <v>16</v>
      </c>
      <c r="X47" s="34" t="s">
        <v>16</v>
      </c>
      <c r="Y47" s="34" t="s">
        <v>16</v>
      </c>
      <c r="Z47" s="34" t="s">
        <v>16</v>
      </c>
      <c r="AA47" s="35" t="s">
        <v>16</v>
      </c>
      <c r="AB47" s="35" t="s">
        <v>16</v>
      </c>
      <c r="AC47" s="35" t="s">
        <v>16</v>
      </c>
      <c r="AD47" s="36" t="s">
        <v>16</v>
      </c>
      <c r="AE47" s="36" t="s">
        <v>16</v>
      </c>
      <c r="AF47" s="36" t="s">
        <v>16</v>
      </c>
      <c r="AG47" s="37" t="s">
        <v>13</v>
      </c>
      <c r="AH47" s="37" t="s">
        <v>16</v>
      </c>
      <c r="AI47" s="37" t="s">
        <v>16</v>
      </c>
      <c r="AJ47" s="37" t="s">
        <v>13</v>
      </c>
      <c r="AK47" s="37" t="s">
        <v>16</v>
      </c>
      <c r="AL47" s="38">
        <f t="shared" si="0"/>
        <v>2</v>
      </c>
      <c r="AM47" s="38">
        <f t="shared" si="1"/>
        <v>1</v>
      </c>
    </row>
    <row r="48" spans="1:39" ht="15" customHeight="1">
      <c r="A48" s="27">
        <v>47</v>
      </c>
      <c r="B48" s="28" t="s">
        <v>9</v>
      </c>
      <c r="C48" s="29" t="s">
        <v>88</v>
      </c>
      <c r="D48" s="28" t="s">
        <v>92</v>
      </c>
      <c r="E48" s="28" t="s">
        <v>93</v>
      </c>
      <c r="F48" s="28" t="s">
        <v>13</v>
      </c>
      <c r="G48" s="28"/>
      <c r="H48" s="28" t="s">
        <v>13</v>
      </c>
      <c r="I48" s="28"/>
      <c r="J48" s="28"/>
      <c r="K48" s="31" t="s">
        <v>13</v>
      </c>
      <c r="L48" s="31" t="s">
        <v>18</v>
      </c>
      <c r="M48" s="31" t="s">
        <v>15</v>
      </c>
      <c r="N48" s="31" t="s">
        <v>16</v>
      </c>
      <c r="O48" s="31" t="s">
        <v>16</v>
      </c>
      <c r="P48" s="32" t="s">
        <v>16</v>
      </c>
      <c r="Q48" s="32" t="s">
        <v>16</v>
      </c>
      <c r="R48" s="32" t="s">
        <v>16</v>
      </c>
      <c r="S48" s="32" t="s">
        <v>16</v>
      </c>
      <c r="T48" s="33" t="s">
        <v>16</v>
      </c>
      <c r="U48" s="33" t="s">
        <v>16</v>
      </c>
      <c r="V48" s="33" t="s">
        <v>16</v>
      </c>
      <c r="W48" s="34" t="s">
        <v>16</v>
      </c>
      <c r="X48" s="34" t="s">
        <v>16</v>
      </c>
      <c r="Y48" s="34" t="s">
        <v>16</v>
      </c>
      <c r="Z48" s="34" t="s">
        <v>16</v>
      </c>
      <c r="AA48" s="35" t="s">
        <v>16</v>
      </c>
      <c r="AB48" s="35" t="s">
        <v>16</v>
      </c>
      <c r="AC48" s="35" t="s">
        <v>16</v>
      </c>
      <c r="AD48" s="36" t="s">
        <v>16</v>
      </c>
      <c r="AE48" s="36" t="s">
        <v>16</v>
      </c>
      <c r="AF48" s="36" t="s">
        <v>16</v>
      </c>
      <c r="AG48" s="37" t="s">
        <v>13</v>
      </c>
      <c r="AH48" s="37" t="s">
        <v>16</v>
      </c>
      <c r="AI48" s="37" t="s">
        <v>16</v>
      </c>
      <c r="AJ48" s="37" t="s">
        <v>13</v>
      </c>
      <c r="AK48" s="37" t="s">
        <v>16</v>
      </c>
      <c r="AL48" s="38">
        <f t="shared" si="0"/>
        <v>2</v>
      </c>
      <c r="AM48" s="38">
        <f t="shared" si="1"/>
        <v>1</v>
      </c>
    </row>
    <row r="49" spans="1:39" ht="15" customHeight="1">
      <c r="A49" s="27">
        <v>48</v>
      </c>
      <c r="B49" s="28" t="s">
        <v>9</v>
      </c>
      <c r="C49" s="29" t="s">
        <v>88</v>
      </c>
      <c r="D49" s="30" t="s">
        <v>94</v>
      </c>
      <c r="E49" s="28" t="s">
        <v>95</v>
      </c>
      <c r="F49" s="28" t="s">
        <v>13</v>
      </c>
      <c r="G49" s="28"/>
      <c r="H49" s="28" t="s">
        <v>13</v>
      </c>
      <c r="I49" s="28"/>
      <c r="J49" s="28"/>
      <c r="K49" s="31" t="s">
        <v>13</v>
      </c>
      <c r="L49" s="31" t="s">
        <v>15</v>
      </c>
      <c r="M49" s="31" t="s">
        <v>15</v>
      </c>
      <c r="N49" s="31" t="s">
        <v>13</v>
      </c>
      <c r="O49" s="31" t="s">
        <v>16</v>
      </c>
      <c r="P49" s="32" t="s">
        <v>16</v>
      </c>
      <c r="Q49" s="32" t="s">
        <v>16</v>
      </c>
      <c r="R49" s="32" t="s">
        <v>16</v>
      </c>
      <c r="S49" s="32" t="s">
        <v>16</v>
      </c>
      <c r="T49" s="33" t="s">
        <v>16</v>
      </c>
      <c r="U49" s="33" t="s">
        <v>16</v>
      </c>
      <c r="V49" s="33" t="s">
        <v>16</v>
      </c>
      <c r="W49" s="34" t="s">
        <v>13</v>
      </c>
      <c r="X49" s="34" t="s">
        <v>13</v>
      </c>
      <c r="Y49" s="34" t="s">
        <v>16</v>
      </c>
      <c r="Z49" s="34" t="s">
        <v>16</v>
      </c>
      <c r="AA49" s="35" t="s">
        <v>16</v>
      </c>
      <c r="AB49" s="35" t="s">
        <v>16</v>
      </c>
      <c r="AC49" s="35" t="s">
        <v>16</v>
      </c>
      <c r="AD49" s="36" t="s">
        <v>16</v>
      </c>
      <c r="AE49" s="36" t="s">
        <v>16</v>
      </c>
      <c r="AF49" s="36" t="s">
        <v>16</v>
      </c>
      <c r="AG49" s="37" t="s">
        <v>13</v>
      </c>
      <c r="AH49" s="37" t="s">
        <v>16</v>
      </c>
      <c r="AI49" s="37" t="s">
        <v>16</v>
      </c>
      <c r="AJ49" s="37" t="s">
        <v>13</v>
      </c>
      <c r="AK49" s="37" t="s">
        <v>16</v>
      </c>
      <c r="AL49" s="38">
        <f t="shared" si="0"/>
        <v>3</v>
      </c>
      <c r="AM49" s="38">
        <f t="shared" si="1"/>
        <v>3</v>
      </c>
    </row>
    <row r="50" spans="1:39" ht="15" customHeight="1">
      <c r="A50" s="27">
        <v>49</v>
      </c>
      <c r="B50" s="28" t="s">
        <v>9</v>
      </c>
      <c r="C50" s="29" t="s">
        <v>88</v>
      </c>
      <c r="D50" s="28" t="s">
        <v>96</v>
      </c>
      <c r="E50" s="28" t="s">
        <v>90</v>
      </c>
      <c r="F50" s="28" t="s">
        <v>13</v>
      </c>
      <c r="G50" s="28"/>
      <c r="H50" s="28" t="s">
        <v>13</v>
      </c>
      <c r="I50" s="28"/>
      <c r="J50" s="28"/>
      <c r="K50" s="31" t="s">
        <v>16</v>
      </c>
      <c r="L50" s="31" t="s">
        <v>16</v>
      </c>
      <c r="M50" s="31" t="s">
        <v>16</v>
      </c>
      <c r="N50" s="31" t="s">
        <v>16</v>
      </c>
      <c r="O50" s="31" t="s">
        <v>16</v>
      </c>
      <c r="P50" s="32" t="s">
        <v>16</v>
      </c>
      <c r="Q50" s="32" t="s">
        <v>16</v>
      </c>
      <c r="R50" s="32" t="s">
        <v>16</v>
      </c>
      <c r="S50" s="32" t="s">
        <v>16</v>
      </c>
      <c r="T50" s="33" t="s">
        <v>16</v>
      </c>
      <c r="U50" s="33" t="s">
        <v>16</v>
      </c>
      <c r="V50" s="33" t="s">
        <v>16</v>
      </c>
      <c r="W50" s="34" t="s">
        <v>16</v>
      </c>
      <c r="X50" s="34" t="s">
        <v>16</v>
      </c>
      <c r="Y50" s="34" t="s">
        <v>16</v>
      </c>
      <c r="Z50" s="34" t="s">
        <v>16</v>
      </c>
      <c r="AA50" s="35" t="s">
        <v>16</v>
      </c>
      <c r="AB50" s="35" t="s">
        <v>16</v>
      </c>
      <c r="AC50" s="35" t="s">
        <v>16</v>
      </c>
      <c r="AD50" s="36" t="s">
        <v>13</v>
      </c>
      <c r="AE50" s="36" t="s">
        <v>15</v>
      </c>
      <c r="AF50" s="36" t="s">
        <v>16</v>
      </c>
      <c r="AG50" s="37" t="s">
        <v>13</v>
      </c>
      <c r="AH50" s="37" t="s">
        <v>16</v>
      </c>
      <c r="AI50" s="37" t="s">
        <v>16</v>
      </c>
      <c r="AJ50" s="37" t="s">
        <v>13</v>
      </c>
      <c r="AK50" s="37" t="s">
        <v>16</v>
      </c>
      <c r="AL50" s="38">
        <f t="shared" si="0"/>
        <v>2</v>
      </c>
      <c r="AM50" s="38">
        <f t="shared" si="1"/>
        <v>1</v>
      </c>
    </row>
    <row r="51" spans="1:39" ht="15" customHeight="1">
      <c r="A51" s="27">
        <v>50</v>
      </c>
      <c r="B51" s="28" t="s">
        <v>9</v>
      </c>
      <c r="C51" s="29" t="s">
        <v>88</v>
      </c>
      <c r="D51" s="28" t="s">
        <v>97</v>
      </c>
      <c r="E51" s="28" t="s">
        <v>98</v>
      </c>
      <c r="F51" s="28" t="s">
        <v>13</v>
      </c>
      <c r="G51" s="28"/>
      <c r="H51" s="28" t="s">
        <v>13</v>
      </c>
      <c r="I51" s="28"/>
      <c r="J51" s="28"/>
      <c r="K51" s="31" t="s">
        <v>13</v>
      </c>
      <c r="L51" s="31" t="s">
        <v>16</v>
      </c>
      <c r="M51" s="31" t="s">
        <v>15</v>
      </c>
      <c r="N51" s="31" t="s">
        <v>16</v>
      </c>
      <c r="O51" s="31" t="s">
        <v>16</v>
      </c>
      <c r="P51" s="32" t="s">
        <v>16</v>
      </c>
      <c r="Q51" s="32" t="s">
        <v>16</v>
      </c>
      <c r="R51" s="32" t="s">
        <v>16</v>
      </c>
      <c r="S51" s="32" t="s">
        <v>16</v>
      </c>
      <c r="T51" s="33" t="s">
        <v>13</v>
      </c>
      <c r="U51" s="33" t="s">
        <v>18</v>
      </c>
      <c r="V51" s="33" t="s">
        <v>13</v>
      </c>
      <c r="W51" s="34" t="s">
        <v>16</v>
      </c>
      <c r="X51" s="34" t="s">
        <v>16</v>
      </c>
      <c r="Y51" s="34" t="s">
        <v>16</v>
      </c>
      <c r="Z51" s="34" t="s">
        <v>16</v>
      </c>
      <c r="AA51" s="35" t="s">
        <v>16</v>
      </c>
      <c r="AB51" s="35" t="s">
        <v>16</v>
      </c>
      <c r="AC51" s="35" t="s">
        <v>16</v>
      </c>
      <c r="AD51" s="36" t="s">
        <v>16</v>
      </c>
      <c r="AE51" s="36" t="s">
        <v>16</v>
      </c>
      <c r="AF51" s="36" t="s">
        <v>16</v>
      </c>
      <c r="AG51" s="37" t="s">
        <v>16</v>
      </c>
      <c r="AH51" s="37" t="s">
        <v>16</v>
      </c>
      <c r="AI51" s="37" t="s">
        <v>16</v>
      </c>
      <c r="AJ51" s="37" t="s">
        <v>16</v>
      </c>
      <c r="AK51" s="37" t="s">
        <v>16</v>
      </c>
      <c r="AL51" s="38">
        <f t="shared" si="0"/>
        <v>2</v>
      </c>
      <c r="AM51" s="38">
        <f t="shared" si="1"/>
        <v>1</v>
      </c>
    </row>
    <row r="52" spans="1:39" ht="15" customHeight="1">
      <c r="A52" s="27">
        <v>51</v>
      </c>
      <c r="B52" s="28" t="s">
        <v>9</v>
      </c>
      <c r="C52" s="29" t="s">
        <v>88</v>
      </c>
      <c r="D52" s="28" t="s">
        <v>99</v>
      </c>
      <c r="E52" s="28" t="s">
        <v>100</v>
      </c>
      <c r="F52" s="28"/>
      <c r="G52" s="28"/>
      <c r="H52" s="28" t="s">
        <v>13</v>
      </c>
      <c r="I52" s="28"/>
      <c r="J52" s="28"/>
      <c r="K52" s="31" t="s">
        <v>16</v>
      </c>
      <c r="L52" s="31" t="s">
        <v>16</v>
      </c>
      <c r="M52" s="31" t="s">
        <v>16</v>
      </c>
      <c r="N52" s="31" t="s">
        <v>16</v>
      </c>
      <c r="O52" s="31" t="s">
        <v>16</v>
      </c>
      <c r="P52" s="32" t="s">
        <v>16</v>
      </c>
      <c r="Q52" s="32" t="s">
        <v>16</v>
      </c>
      <c r="R52" s="32" t="s">
        <v>16</v>
      </c>
      <c r="S52" s="32" t="s">
        <v>16</v>
      </c>
      <c r="T52" s="33" t="s">
        <v>16</v>
      </c>
      <c r="U52" s="33" t="s">
        <v>16</v>
      </c>
      <c r="V52" s="33" t="s">
        <v>16</v>
      </c>
      <c r="W52" s="34" t="s">
        <v>16</v>
      </c>
      <c r="X52" s="34" t="s">
        <v>16</v>
      </c>
      <c r="Y52" s="34" t="s">
        <v>16</v>
      </c>
      <c r="Z52" s="34" t="s">
        <v>16</v>
      </c>
      <c r="AA52" s="35" t="s">
        <v>13</v>
      </c>
      <c r="AB52" s="35" t="s">
        <v>13</v>
      </c>
      <c r="AC52" s="35" t="s">
        <v>16</v>
      </c>
      <c r="AD52" s="36" t="s">
        <v>16</v>
      </c>
      <c r="AE52" s="36" t="s">
        <v>16</v>
      </c>
      <c r="AF52" s="36" t="s">
        <v>16</v>
      </c>
      <c r="AG52" s="37" t="s">
        <v>16</v>
      </c>
      <c r="AH52" s="37" t="s">
        <v>16</v>
      </c>
      <c r="AI52" s="37" t="s">
        <v>16</v>
      </c>
      <c r="AJ52" s="37" t="s">
        <v>16</v>
      </c>
      <c r="AK52" s="37" t="s">
        <v>16</v>
      </c>
      <c r="AL52" s="38">
        <f t="shared" si="0"/>
        <v>1</v>
      </c>
      <c r="AM52" s="38">
        <f t="shared" si="1"/>
        <v>1</v>
      </c>
    </row>
    <row r="53" spans="1:39" ht="15" customHeight="1">
      <c r="A53" s="27">
        <v>52</v>
      </c>
      <c r="B53" s="28" t="s">
        <v>9</v>
      </c>
      <c r="C53" s="29" t="s">
        <v>88</v>
      </c>
      <c r="D53" s="28" t="s">
        <v>101</v>
      </c>
      <c r="E53" s="28" t="s">
        <v>102</v>
      </c>
      <c r="F53" s="28" t="s">
        <v>13</v>
      </c>
      <c r="G53" s="28"/>
      <c r="H53" s="28"/>
      <c r="I53" s="28"/>
      <c r="J53" s="28"/>
      <c r="K53" s="31" t="s">
        <v>16</v>
      </c>
      <c r="L53" s="31" t="s">
        <v>16</v>
      </c>
      <c r="M53" s="31" t="s">
        <v>16</v>
      </c>
      <c r="N53" s="31" t="s">
        <v>16</v>
      </c>
      <c r="O53" s="31" t="s">
        <v>16</v>
      </c>
      <c r="P53" s="32" t="s">
        <v>16</v>
      </c>
      <c r="Q53" s="32" t="s">
        <v>16</v>
      </c>
      <c r="R53" s="32" t="s">
        <v>16</v>
      </c>
      <c r="S53" s="32" t="s">
        <v>16</v>
      </c>
      <c r="T53" s="33" t="s">
        <v>16</v>
      </c>
      <c r="U53" s="33" t="s">
        <v>16</v>
      </c>
      <c r="V53" s="33" t="s">
        <v>16</v>
      </c>
      <c r="W53" s="34" t="s">
        <v>16</v>
      </c>
      <c r="X53" s="34" t="s">
        <v>16</v>
      </c>
      <c r="Y53" s="34" t="s">
        <v>16</v>
      </c>
      <c r="Z53" s="34" t="s">
        <v>16</v>
      </c>
      <c r="AA53" s="35" t="s">
        <v>13</v>
      </c>
      <c r="AB53" s="35" t="s">
        <v>13</v>
      </c>
      <c r="AC53" s="35" t="s">
        <v>16</v>
      </c>
      <c r="AD53" s="36" t="s">
        <v>16</v>
      </c>
      <c r="AE53" s="36" t="s">
        <v>16</v>
      </c>
      <c r="AF53" s="36" t="s">
        <v>16</v>
      </c>
      <c r="AG53" s="37" t="s">
        <v>16</v>
      </c>
      <c r="AH53" s="37" t="s">
        <v>16</v>
      </c>
      <c r="AI53" s="37" t="s">
        <v>16</v>
      </c>
      <c r="AJ53" s="37" t="s">
        <v>16</v>
      </c>
      <c r="AK53" s="37" t="s">
        <v>16</v>
      </c>
      <c r="AL53" s="38">
        <f t="shared" si="0"/>
        <v>1</v>
      </c>
      <c r="AM53" s="38">
        <f t="shared" si="1"/>
        <v>1</v>
      </c>
    </row>
    <row r="54" spans="1:39" ht="15" customHeight="1">
      <c r="A54" s="27">
        <v>53</v>
      </c>
      <c r="B54" s="28" t="s">
        <v>9</v>
      </c>
      <c r="C54" s="29" t="s">
        <v>88</v>
      </c>
      <c r="D54" s="28" t="s">
        <v>103</v>
      </c>
      <c r="E54" s="28" t="s">
        <v>104</v>
      </c>
      <c r="F54" s="28" t="s">
        <v>13</v>
      </c>
      <c r="G54" s="28"/>
      <c r="H54" s="28" t="s">
        <v>13</v>
      </c>
      <c r="I54" s="28"/>
      <c r="J54" s="28"/>
      <c r="K54" s="31" t="s">
        <v>13</v>
      </c>
      <c r="L54" s="31" t="s">
        <v>13</v>
      </c>
      <c r="M54" s="31" t="s">
        <v>15</v>
      </c>
      <c r="N54" s="31" t="s">
        <v>16</v>
      </c>
      <c r="O54" s="31" t="s">
        <v>16</v>
      </c>
      <c r="P54" s="32" t="s">
        <v>16</v>
      </c>
      <c r="Q54" s="32" t="s">
        <v>16</v>
      </c>
      <c r="R54" s="32" t="s">
        <v>16</v>
      </c>
      <c r="S54" s="32" t="s">
        <v>16</v>
      </c>
      <c r="T54" s="33" t="s">
        <v>16</v>
      </c>
      <c r="U54" s="33" t="s">
        <v>16</v>
      </c>
      <c r="V54" s="33" t="s">
        <v>16</v>
      </c>
      <c r="W54" s="34" t="s">
        <v>16</v>
      </c>
      <c r="X54" s="34" t="s">
        <v>16</v>
      </c>
      <c r="Y54" s="34" t="s">
        <v>16</v>
      </c>
      <c r="Z54" s="34" t="s">
        <v>16</v>
      </c>
      <c r="AA54" s="35" t="s">
        <v>16</v>
      </c>
      <c r="AB54" s="35" t="s">
        <v>16</v>
      </c>
      <c r="AC54" s="35" t="s">
        <v>16</v>
      </c>
      <c r="AD54" s="36" t="s">
        <v>16</v>
      </c>
      <c r="AE54" s="36" t="s">
        <v>16</v>
      </c>
      <c r="AF54" s="36" t="s">
        <v>16</v>
      </c>
      <c r="AG54" s="37" t="s">
        <v>13</v>
      </c>
      <c r="AH54" s="37" t="s">
        <v>16</v>
      </c>
      <c r="AI54" s="37" t="s">
        <v>16</v>
      </c>
      <c r="AJ54" s="37" t="s">
        <v>13</v>
      </c>
      <c r="AK54" s="37" t="s">
        <v>16</v>
      </c>
      <c r="AL54" s="38">
        <f t="shared" si="0"/>
        <v>2</v>
      </c>
      <c r="AM54" s="38">
        <f t="shared" si="1"/>
        <v>2</v>
      </c>
    </row>
    <row r="55" spans="1:39" ht="15" customHeight="1">
      <c r="A55" s="27">
        <v>54</v>
      </c>
      <c r="B55" s="28" t="s">
        <v>9</v>
      </c>
      <c r="C55" s="29" t="s">
        <v>88</v>
      </c>
      <c r="D55" s="28" t="s">
        <v>105</v>
      </c>
      <c r="E55" s="28" t="s">
        <v>12</v>
      </c>
      <c r="F55" s="28"/>
      <c r="G55" s="28"/>
      <c r="H55" s="28" t="s">
        <v>13</v>
      </c>
      <c r="I55" s="28"/>
      <c r="J55" s="28"/>
      <c r="K55" s="31" t="s">
        <v>13</v>
      </c>
      <c r="L55" s="31" t="s">
        <v>13</v>
      </c>
      <c r="M55" s="31" t="s">
        <v>16</v>
      </c>
      <c r="N55" s="31" t="s">
        <v>16</v>
      </c>
      <c r="O55" s="31" t="s">
        <v>16</v>
      </c>
      <c r="P55" s="32" t="s">
        <v>16</v>
      </c>
      <c r="Q55" s="32" t="s">
        <v>16</v>
      </c>
      <c r="R55" s="32" t="s">
        <v>16</v>
      </c>
      <c r="S55" s="32" t="s">
        <v>16</v>
      </c>
      <c r="T55" s="33" t="s">
        <v>16</v>
      </c>
      <c r="U55" s="33" t="s">
        <v>16</v>
      </c>
      <c r="V55" s="33" t="s">
        <v>16</v>
      </c>
      <c r="W55" s="34" t="s">
        <v>13</v>
      </c>
      <c r="X55" s="34" t="s">
        <v>13</v>
      </c>
      <c r="Y55" s="34" t="s">
        <v>16</v>
      </c>
      <c r="Z55" s="34" t="s">
        <v>16</v>
      </c>
      <c r="AA55" s="35" t="s">
        <v>16</v>
      </c>
      <c r="AB55" s="35" t="s">
        <v>16</v>
      </c>
      <c r="AC55" s="35" t="s">
        <v>16</v>
      </c>
      <c r="AD55" s="36" t="s">
        <v>16</v>
      </c>
      <c r="AE55" s="36" t="s">
        <v>16</v>
      </c>
      <c r="AF55" s="36" t="s">
        <v>16</v>
      </c>
      <c r="AG55" s="37" t="s">
        <v>16</v>
      </c>
      <c r="AH55" s="37" t="s">
        <v>16</v>
      </c>
      <c r="AI55" s="37" t="s">
        <v>16</v>
      </c>
      <c r="AJ55" s="37" t="s">
        <v>16</v>
      </c>
      <c r="AK55" s="37" t="s">
        <v>16</v>
      </c>
      <c r="AL55" s="38">
        <f t="shared" si="0"/>
        <v>2</v>
      </c>
      <c r="AM55" s="38">
        <f t="shared" si="1"/>
        <v>2</v>
      </c>
    </row>
    <row r="56" spans="1:39" ht="15" customHeight="1">
      <c r="A56" s="27">
        <v>55</v>
      </c>
      <c r="B56" s="28" t="s">
        <v>9</v>
      </c>
      <c r="C56" s="29" t="s">
        <v>88</v>
      </c>
      <c r="D56" s="28" t="s">
        <v>106</v>
      </c>
      <c r="E56" s="28" t="s">
        <v>12</v>
      </c>
      <c r="F56" s="28"/>
      <c r="G56" s="28"/>
      <c r="H56" s="28" t="s">
        <v>13</v>
      </c>
      <c r="I56" s="28"/>
      <c r="J56" s="28"/>
      <c r="K56" s="31" t="s">
        <v>13</v>
      </c>
      <c r="L56" s="31" t="s">
        <v>13</v>
      </c>
      <c r="M56" s="31" t="s">
        <v>16</v>
      </c>
      <c r="N56" s="31" t="s">
        <v>16</v>
      </c>
      <c r="O56" s="31" t="s">
        <v>16</v>
      </c>
      <c r="P56" s="32" t="s">
        <v>16</v>
      </c>
      <c r="Q56" s="32" t="s">
        <v>16</v>
      </c>
      <c r="R56" s="32" t="s">
        <v>16</v>
      </c>
      <c r="S56" s="32" t="s">
        <v>16</v>
      </c>
      <c r="T56" s="33" t="s">
        <v>16</v>
      </c>
      <c r="U56" s="33" t="s">
        <v>16</v>
      </c>
      <c r="V56" s="33" t="s">
        <v>16</v>
      </c>
      <c r="W56" s="34" t="s">
        <v>13</v>
      </c>
      <c r="X56" s="34" t="s">
        <v>13</v>
      </c>
      <c r="Y56" s="34" t="s">
        <v>16</v>
      </c>
      <c r="Z56" s="34" t="s">
        <v>16</v>
      </c>
      <c r="AA56" s="35" t="s">
        <v>13</v>
      </c>
      <c r="AB56" s="35" t="s">
        <v>13</v>
      </c>
      <c r="AC56" s="35" t="s">
        <v>28</v>
      </c>
      <c r="AD56" s="36" t="s">
        <v>16</v>
      </c>
      <c r="AE56" s="36" t="s">
        <v>16</v>
      </c>
      <c r="AF56" s="36" t="s">
        <v>16</v>
      </c>
      <c r="AG56" s="37" t="s">
        <v>16</v>
      </c>
      <c r="AH56" s="37" t="s">
        <v>16</v>
      </c>
      <c r="AI56" s="37" t="s">
        <v>16</v>
      </c>
      <c r="AJ56" s="37" t="s">
        <v>16</v>
      </c>
      <c r="AK56" s="37" t="s">
        <v>16</v>
      </c>
      <c r="AL56" s="38">
        <f t="shared" si="0"/>
        <v>3</v>
      </c>
      <c r="AM56" s="38">
        <f t="shared" si="1"/>
        <v>3</v>
      </c>
    </row>
    <row r="57" spans="1:39" ht="15" customHeight="1">
      <c r="A57" s="27">
        <v>56</v>
      </c>
      <c r="B57" s="28" t="s">
        <v>9</v>
      </c>
      <c r="C57" s="29" t="s">
        <v>88</v>
      </c>
      <c r="D57" s="28" t="s">
        <v>107</v>
      </c>
      <c r="E57" s="28" t="s">
        <v>12</v>
      </c>
      <c r="F57" s="28"/>
      <c r="G57" s="28"/>
      <c r="H57" s="28" t="s">
        <v>13</v>
      </c>
      <c r="I57" s="28"/>
      <c r="J57" s="28"/>
      <c r="K57" s="31" t="s">
        <v>13</v>
      </c>
      <c r="L57" s="31" t="s">
        <v>13</v>
      </c>
      <c r="M57" s="31" t="s">
        <v>16</v>
      </c>
      <c r="N57" s="31" t="s">
        <v>16</v>
      </c>
      <c r="O57" s="31" t="s">
        <v>16</v>
      </c>
      <c r="P57" s="32" t="s">
        <v>16</v>
      </c>
      <c r="Q57" s="32" t="s">
        <v>16</v>
      </c>
      <c r="R57" s="32" t="s">
        <v>16</v>
      </c>
      <c r="S57" s="32" t="s">
        <v>16</v>
      </c>
      <c r="T57" s="33" t="s">
        <v>16</v>
      </c>
      <c r="U57" s="33" t="s">
        <v>16</v>
      </c>
      <c r="V57" s="33" t="s">
        <v>16</v>
      </c>
      <c r="W57" s="34" t="s">
        <v>16</v>
      </c>
      <c r="X57" s="34" t="s">
        <v>16</v>
      </c>
      <c r="Y57" s="34" t="s">
        <v>16</v>
      </c>
      <c r="Z57" s="34" t="s">
        <v>16</v>
      </c>
      <c r="AA57" s="35" t="s">
        <v>13</v>
      </c>
      <c r="AB57" s="35" t="s">
        <v>13</v>
      </c>
      <c r="AC57" s="35" t="s">
        <v>28</v>
      </c>
      <c r="AD57" s="36" t="s">
        <v>16</v>
      </c>
      <c r="AE57" s="36" t="s">
        <v>16</v>
      </c>
      <c r="AF57" s="36" t="s">
        <v>16</v>
      </c>
      <c r="AG57" s="37" t="s">
        <v>16</v>
      </c>
      <c r="AH57" s="37" t="s">
        <v>16</v>
      </c>
      <c r="AI57" s="37" t="s">
        <v>16</v>
      </c>
      <c r="AJ57" s="37" t="s">
        <v>16</v>
      </c>
      <c r="AK57" s="37" t="s">
        <v>16</v>
      </c>
      <c r="AL57" s="38">
        <f t="shared" si="0"/>
        <v>2</v>
      </c>
      <c r="AM57" s="38">
        <f t="shared" si="1"/>
        <v>2</v>
      </c>
    </row>
    <row r="58" spans="1:39" ht="15" customHeight="1">
      <c r="A58" s="27">
        <v>57</v>
      </c>
      <c r="B58" s="28" t="s">
        <v>9</v>
      </c>
      <c r="C58" s="29" t="s">
        <v>88</v>
      </c>
      <c r="D58" s="28" t="s">
        <v>108</v>
      </c>
      <c r="E58" s="28" t="s">
        <v>12</v>
      </c>
      <c r="F58" s="28"/>
      <c r="G58" s="28"/>
      <c r="H58" s="28" t="s">
        <v>13</v>
      </c>
      <c r="I58" s="28"/>
      <c r="J58" s="28"/>
      <c r="K58" s="31" t="s">
        <v>13</v>
      </c>
      <c r="L58" s="31" t="s">
        <v>13</v>
      </c>
      <c r="M58" s="31" t="s">
        <v>16</v>
      </c>
      <c r="N58" s="31" t="s">
        <v>16</v>
      </c>
      <c r="O58" s="31" t="s">
        <v>16</v>
      </c>
      <c r="P58" s="32" t="s">
        <v>16</v>
      </c>
      <c r="Q58" s="32" t="s">
        <v>16</v>
      </c>
      <c r="R58" s="32" t="s">
        <v>16</v>
      </c>
      <c r="S58" s="32" t="s">
        <v>16</v>
      </c>
      <c r="T58" s="33" t="s">
        <v>16</v>
      </c>
      <c r="U58" s="33" t="s">
        <v>16</v>
      </c>
      <c r="V58" s="33" t="s">
        <v>16</v>
      </c>
      <c r="W58" s="34" t="s">
        <v>16</v>
      </c>
      <c r="X58" s="34" t="s">
        <v>16</v>
      </c>
      <c r="Y58" s="34" t="s">
        <v>16</v>
      </c>
      <c r="Z58" s="34" t="s">
        <v>16</v>
      </c>
      <c r="AA58" s="35" t="s">
        <v>13</v>
      </c>
      <c r="AB58" s="35" t="s">
        <v>13</v>
      </c>
      <c r="AC58" s="35" t="s">
        <v>28</v>
      </c>
      <c r="AD58" s="36" t="s">
        <v>16</v>
      </c>
      <c r="AE58" s="36" t="s">
        <v>16</v>
      </c>
      <c r="AF58" s="36" t="s">
        <v>16</v>
      </c>
      <c r="AG58" s="37" t="s">
        <v>16</v>
      </c>
      <c r="AH58" s="37" t="s">
        <v>16</v>
      </c>
      <c r="AI58" s="37" t="s">
        <v>16</v>
      </c>
      <c r="AJ58" s="37" t="s">
        <v>16</v>
      </c>
      <c r="AK58" s="37" t="s">
        <v>16</v>
      </c>
      <c r="AL58" s="38">
        <f t="shared" si="0"/>
        <v>2</v>
      </c>
      <c r="AM58" s="38">
        <f t="shared" si="1"/>
        <v>2</v>
      </c>
    </row>
    <row r="59" spans="1:39" ht="15" customHeight="1">
      <c r="A59" s="27">
        <v>58</v>
      </c>
      <c r="B59" s="28" t="s">
        <v>9</v>
      </c>
      <c r="C59" s="29" t="s">
        <v>88</v>
      </c>
      <c r="D59" s="28" t="s">
        <v>109</v>
      </c>
      <c r="E59" s="28" t="s">
        <v>12</v>
      </c>
      <c r="F59" s="28"/>
      <c r="G59" s="28"/>
      <c r="H59" s="28" t="s">
        <v>13</v>
      </c>
      <c r="I59" s="28"/>
      <c r="J59" s="28"/>
      <c r="K59" s="31" t="s">
        <v>13</v>
      </c>
      <c r="L59" s="31" t="s">
        <v>13</v>
      </c>
      <c r="M59" s="31" t="s">
        <v>16</v>
      </c>
      <c r="N59" s="31" t="s">
        <v>16</v>
      </c>
      <c r="O59" s="31" t="s">
        <v>16</v>
      </c>
      <c r="P59" s="32" t="s">
        <v>16</v>
      </c>
      <c r="Q59" s="32" t="s">
        <v>16</v>
      </c>
      <c r="R59" s="32" t="s">
        <v>16</v>
      </c>
      <c r="S59" s="32" t="s">
        <v>16</v>
      </c>
      <c r="T59" s="33" t="s">
        <v>16</v>
      </c>
      <c r="U59" s="33" t="s">
        <v>16</v>
      </c>
      <c r="V59" s="33" t="s">
        <v>16</v>
      </c>
      <c r="W59" s="34" t="s">
        <v>13</v>
      </c>
      <c r="X59" s="34" t="s">
        <v>15</v>
      </c>
      <c r="Y59" s="34" t="s">
        <v>16</v>
      </c>
      <c r="Z59" s="34" t="s">
        <v>16</v>
      </c>
      <c r="AA59" s="35" t="s">
        <v>16</v>
      </c>
      <c r="AB59" s="35" t="s">
        <v>16</v>
      </c>
      <c r="AC59" s="35" t="s">
        <v>16</v>
      </c>
      <c r="AD59" s="36" t="s">
        <v>16</v>
      </c>
      <c r="AE59" s="36" t="s">
        <v>16</v>
      </c>
      <c r="AF59" s="36" t="s">
        <v>16</v>
      </c>
      <c r="AG59" s="37" t="s">
        <v>16</v>
      </c>
      <c r="AH59" s="37" t="s">
        <v>16</v>
      </c>
      <c r="AI59" s="37" t="s">
        <v>16</v>
      </c>
      <c r="AJ59" s="37" t="s">
        <v>16</v>
      </c>
      <c r="AK59" s="37" t="s">
        <v>16</v>
      </c>
      <c r="AL59" s="38">
        <f t="shared" si="0"/>
        <v>2</v>
      </c>
      <c r="AM59" s="38">
        <f t="shared" si="1"/>
        <v>1</v>
      </c>
    </row>
    <row r="60" spans="1:39" ht="15" customHeight="1">
      <c r="A60" s="27">
        <v>59</v>
      </c>
      <c r="B60" s="28" t="s">
        <v>9</v>
      </c>
      <c r="C60" s="29" t="s">
        <v>88</v>
      </c>
      <c r="D60" s="28" t="s">
        <v>110</v>
      </c>
      <c r="E60" s="28" t="s">
        <v>111</v>
      </c>
      <c r="F60" s="28" t="s">
        <v>13</v>
      </c>
      <c r="G60" s="28"/>
      <c r="H60" s="28" t="s">
        <v>13</v>
      </c>
      <c r="I60" s="28"/>
      <c r="J60" s="28"/>
      <c r="K60" s="31" t="s">
        <v>13</v>
      </c>
      <c r="L60" s="31" t="s">
        <v>18</v>
      </c>
      <c r="M60" s="31" t="s">
        <v>13</v>
      </c>
      <c r="N60" s="31" t="s">
        <v>16</v>
      </c>
      <c r="O60" s="31" t="s">
        <v>16</v>
      </c>
      <c r="P60" s="32" t="s">
        <v>16</v>
      </c>
      <c r="Q60" s="32" t="s">
        <v>16</v>
      </c>
      <c r="R60" s="32" t="s">
        <v>16</v>
      </c>
      <c r="S60" s="32" t="s">
        <v>16</v>
      </c>
      <c r="T60" s="33" t="s">
        <v>16</v>
      </c>
      <c r="U60" s="33" t="s">
        <v>16</v>
      </c>
      <c r="V60" s="33" t="s">
        <v>16</v>
      </c>
      <c r="W60" s="34" t="s">
        <v>16</v>
      </c>
      <c r="X60" s="34" t="s">
        <v>16</v>
      </c>
      <c r="Y60" s="34" t="s">
        <v>16</v>
      </c>
      <c r="Z60" s="34" t="s">
        <v>16</v>
      </c>
      <c r="AA60" s="35" t="s">
        <v>16</v>
      </c>
      <c r="AB60" s="35" t="s">
        <v>16</v>
      </c>
      <c r="AC60" s="35" t="s">
        <v>16</v>
      </c>
      <c r="AD60" s="36" t="s">
        <v>13</v>
      </c>
      <c r="AE60" s="36" t="s">
        <v>18</v>
      </c>
      <c r="AF60" s="36" t="s">
        <v>16</v>
      </c>
      <c r="AG60" s="37" t="s">
        <v>13</v>
      </c>
      <c r="AH60" s="37" t="s">
        <v>16</v>
      </c>
      <c r="AI60" s="37" t="s">
        <v>16</v>
      </c>
      <c r="AJ60" s="37" t="s">
        <v>13</v>
      </c>
      <c r="AK60" s="37" t="s">
        <v>16</v>
      </c>
      <c r="AL60" s="38">
        <f t="shared" si="0"/>
        <v>3</v>
      </c>
      <c r="AM60" s="38">
        <f t="shared" si="1"/>
        <v>2</v>
      </c>
    </row>
    <row r="61" spans="1:39" ht="15" customHeight="1">
      <c r="A61" s="27">
        <v>60</v>
      </c>
      <c r="B61" s="28" t="s">
        <v>9</v>
      </c>
      <c r="C61" s="29" t="s">
        <v>88</v>
      </c>
      <c r="D61" s="28" t="s">
        <v>112</v>
      </c>
      <c r="E61" s="28" t="s">
        <v>113</v>
      </c>
      <c r="F61" s="28"/>
      <c r="G61" s="28"/>
      <c r="H61" s="28" t="s">
        <v>13</v>
      </c>
      <c r="I61" s="28"/>
      <c r="J61" s="28"/>
      <c r="K61" s="31" t="s">
        <v>13</v>
      </c>
      <c r="L61" s="31" t="s">
        <v>13</v>
      </c>
      <c r="M61" s="31" t="s">
        <v>13</v>
      </c>
      <c r="N61" s="31" t="s">
        <v>16</v>
      </c>
      <c r="O61" s="31" t="s">
        <v>16</v>
      </c>
      <c r="P61" s="32" t="s">
        <v>16</v>
      </c>
      <c r="Q61" s="32" t="s">
        <v>16</v>
      </c>
      <c r="R61" s="32" t="s">
        <v>16</v>
      </c>
      <c r="S61" s="32" t="s">
        <v>16</v>
      </c>
      <c r="T61" s="33" t="s">
        <v>16</v>
      </c>
      <c r="U61" s="33" t="s">
        <v>16</v>
      </c>
      <c r="V61" s="33" t="s">
        <v>16</v>
      </c>
      <c r="W61" s="34" t="s">
        <v>16</v>
      </c>
      <c r="X61" s="34" t="s">
        <v>16</v>
      </c>
      <c r="Y61" s="34" t="s">
        <v>16</v>
      </c>
      <c r="Z61" s="34" t="s">
        <v>16</v>
      </c>
      <c r="AA61" s="35" t="s">
        <v>16</v>
      </c>
      <c r="AB61" s="35" t="s">
        <v>16</v>
      </c>
      <c r="AC61" s="35" t="s">
        <v>16</v>
      </c>
      <c r="AD61" s="36" t="s">
        <v>13</v>
      </c>
      <c r="AE61" s="36" t="s">
        <v>13</v>
      </c>
      <c r="AF61" s="36" t="s">
        <v>16</v>
      </c>
      <c r="AG61" s="37" t="s">
        <v>13</v>
      </c>
      <c r="AH61" s="37" t="s">
        <v>16</v>
      </c>
      <c r="AI61" s="37" t="s">
        <v>16</v>
      </c>
      <c r="AJ61" s="37" t="s">
        <v>13</v>
      </c>
      <c r="AK61" s="37" t="s">
        <v>16</v>
      </c>
      <c r="AL61" s="38">
        <f t="shared" si="0"/>
        <v>3</v>
      </c>
      <c r="AM61" s="38">
        <f t="shared" si="1"/>
        <v>4</v>
      </c>
    </row>
    <row r="62" spans="1:39" ht="15" customHeight="1">
      <c r="A62" s="27">
        <v>61</v>
      </c>
      <c r="B62" s="28" t="s">
        <v>9</v>
      </c>
      <c r="C62" s="29" t="s">
        <v>88</v>
      </c>
      <c r="D62" s="28" t="s">
        <v>114</v>
      </c>
      <c r="E62" s="28" t="s">
        <v>90</v>
      </c>
      <c r="F62" s="28" t="s">
        <v>13</v>
      </c>
      <c r="G62" s="28"/>
      <c r="H62" s="28" t="s">
        <v>13</v>
      </c>
      <c r="I62" s="28"/>
      <c r="J62" s="28"/>
      <c r="K62" s="31" t="s">
        <v>13</v>
      </c>
      <c r="L62" s="31" t="s">
        <v>18</v>
      </c>
      <c r="M62" s="31" t="s">
        <v>13</v>
      </c>
      <c r="N62" s="31" t="s">
        <v>16</v>
      </c>
      <c r="O62" s="31" t="s">
        <v>16</v>
      </c>
      <c r="P62" s="32" t="s">
        <v>16</v>
      </c>
      <c r="Q62" s="32" t="s">
        <v>16</v>
      </c>
      <c r="R62" s="32" t="s">
        <v>16</v>
      </c>
      <c r="S62" s="32" t="s">
        <v>16</v>
      </c>
      <c r="T62" s="33" t="s">
        <v>16</v>
      </c>
      <c r="U62" s="33" t="s">
        <v>16</v>
      </c>
      <c r="V62" s="33" t="s">
        <v>16</v>
      </c>
      <c r="W62" s="34" t="s">
        <v>16</v>
      </c>
      <c r="X62" s="34" t="s">
        <v>16</v>
      </c>
      <c r="Y62" s="34" t="s">
        <v>16</v>
      </c>
      <c r="Z62" s="34" t="s">
        <v>16</v>
      </c>
      <c r="AA62" s="35" t="s">
        <v>16</v>
      </c>
      <c r="AB62" s="35" t="s">
        <v>16</v>
      </c>
      <c r="AC62" s="35" t="s">
        <v>16</v>
      </c>
      <c r="AD62" s="36" t="s">
        <v>13</v>
      </c>
      <c r="AE62" s="36" t="s">
        <v>13</v>
      </c>
      <c r="AF62" s="36" t="s">
        <v>16</v>
      </c>
      <c r="AG62" s="37" t="s">
        <v>13</v>
      </c>
      <c r="AH62" s="37" t="s">
        <v>16</v>
      </c>
      <c r="AI62" s="37" t="s">
        <v>16</v>
      </c>
      <c r="AJ62" s="37" t="s">
        <v>16</v>
      </c>
      <c r="AK62" s="37" t="s">
        <v>16</v>
      </c>
      <c r="AL62" s="38">
        <f t="shared" si="0"/>
        <v>3</v>
      </c>
      <c r="AM62" s="38">
        <f t="shared" si="1"/>
        <v>2</v>
      </c>
    </row>
    <row r="63" spans="1:39" ht="15" customHeight="1">
      <c r="A63" s="27">
        <v>62</v>
      </c>
      <c r="B63" s="28" t="s">
        <v>9</v>
      </c>
      <c r="C63" s="29" t="s">
        <v>88</v>
      </c>
      <c r="D63" s="28" t="s">
        <v>115</v>
      </c>
      <c r="E63" s="28" t="s">
        <v>116</v>
      </c>
      <c r="F63" s="28" t="s">
        <v>13</v>
      </c>
      <c r="G63" s="28"/>
      <c r="H63" s="28" t="s">
        <v>13</v>
      </c>
      <c r="I63" s="28"/>
      <c r="J63" s="28"/>
      <c r="K63" s="31" t="s">
        <v>13</v>
      </c>
      <c r="L63" s="31" t="s">
        <v>16</v>
      </c>
      <c r="M63" s="31" t="s">
        <v>13</v>
      </c>
      <c r="N63" s="31" t="s">
        <v>16</v>
      </c>
      <c r="O63" s="31" t="s">
        <v>16</v>
      </c>
      <c r="P63" s="32" t="s">
        <v>16</v>
      </c>
      <c r="Q63" s="32" t="s">
        <v>16</v>
      </c>
      <c r="R63" s="32" t="s">
        <v>16</v>
      </c>
      <c r="S63" s="32" t="s">
        <v>16</v>
      </c>
      <c r="T63" s="33" t="s">
        <v>16</v>
      </c>
      <c r="U63" s="33" t="s">
        <v>16</v>
      </c>
      <c r="V63" s="33" t="s">
        <v>16</v>
      </c>
      <c r="W63" s="34" t="s">
        <v>16</v>
      </c>
      <c r="X63" s="34" t="s">
        <v>16</v>
      </c>
      <c r="Y63" s="34" t="s">
        <v>16</v>
      </c>
      <c r="Z63" s="34" t="s">
        <v>16</v>
      </c>
      <c r="AA63" s="35" t="s">
        <v>16</v>
      </c>
      <c r="AB63" s="35" t="s">
        <v>16</v>
      </c>
      <c r="AC63" s="35" t="s">
        <v>16</v>
      </c>
      <c r="AD63" s="36" t="s">
        <v>13</v>
      </c>
      <c r="AE63" s="36" t="s">
        <v>15</v>
      </c>
      <c r="AF63" s="36" t="s">
        <v>16</v>
      </c>
      <c r="AG63" s="37" t="s">
        <v>13</v>
      </c>
      <c r="AH63" s="37" t="s">
        <v>16</v>
      </c>
      <c r="AI63" s="37" t="s">
        <v>16</v>
      </c>
      <c r="AJ63" s="37" t="s">
        <v>13</v>
      </c>
      <c r="AK63" s="37" t="s">
        <v>16</v>
      </c>
      <c r="AL63" s="38">
        <f t="shared" si="0"/>
        <v>3</v>
      </c>
      <c r="AM63" s="38">
        <f t="shared" si="1"/>
        <v>2</v>
      </c>
    </row>
    <row r="64" spans="1:39" ht="15" customHeight="1">
      <c r="A64" s="27">
        <v>63</v>
      </c>
      <c r="B64" s="28" t="s">
        <v>9</v>
      </c>
      <c r="C64" s="29" t="s">
        <v>88</v>
      </c>
      <c r="D64" s="28" t="s">
        <v>117</v>
      </c>
      <c r="E64" s="28" t="s">
        <v>80</v>
      </c>
      <c r="F64" s="28" t="s">
        <v>13</v>
      </c>
      <c r="G64" s="28"/>
      <c r="H64" s="28" t="s">
        <v>13</v>
      </c>
      <c r="I64" s="28"/>
      <c r="J64" s="28"/>
      <c r="K64" s="31" t="s">
        <v>13</v>
      </c>
      <c r="L64" s="31" t="s">
        <v>16</v>
      </c>
      <c r="M64" s="31" t="s">
        <v>13</v>
      </c>
      <c r="N64" s="31" t="s">
        <v>16</v>
      </c>
      <c r="O64" s="31" t="s">
        <v>16</v>
      </c>
      <c r="P64" s="32" t="s">
        <v>16</v>
      </c>
      <c r="Q64" s="32" t="s">
        <v>16</v>
      </c>
      <c r="R64" s="32" t="s">
        <v>16</v>
      </c>
      <c r="S64" s="32" t="s">
        <v>16</v>
      </c>
      <c r="T64" s="33" t="s">
        <v>16</v>
      </c>
      <c r="U64" s="33" t="s">
        <v>16</v>
      </c>
      <c r="V64" s="33" t="s">
        <v>16</v>
      </c>
      <c r="W64" s="34" t="s">
        <v>16</v>
      </c>
      <c r="X64" s="34" t="s">
        <v>16</v>
      </c>
      <c r="Y64" s="34" t="s">
        <v>16</v>
      </c>
      <c r="Z64" s="34" t="s">
        <v>16</v>
      </c>
      <c r="AA64" s="35" t="s">
        <v>16</v>
      </c>
      <c r="AB64" s="35" t="s">
        <v>16</v>
      </c>
      <c r="AC64" s="35" t="s">
        <v>16</v>
      </c>
      <c r="AD64" s="36" t="s">
        <v>13</v>
      </c>
      <c r="AE64" s="36" t="s">
        <v>13</v>
      </c>
      <c r="AF64" s="36" t="s">
        <v>16</v>
      </c>
      <c r="AG64" s="37" t="s">
        <v>13</v>
      </c>
      <c r="AH64" s="37" t="s">
        <v>16</v>
      </c>
      <c r="AI64" s="37" t="s">
        <v>16</v>
      </c>
      <c r="AJ64" s="37" t="s">
        <v>16</v>
      </c>
      <c r="AK64" s="37" t="s">
        <v>16</v>
      </c>
      <c r="AL64" s="38">
        <f t="shared" si="0"/>
        <v>3</v>
      </c>
      <c r="AM64" s="38">
        <f t="shared" si="1"/>
        <v>2</v>
      </c>
    </row>
    <row r="65" spans="1:39" ht="15" customHeight="1">
      <c r="A65" s="27">
        <v>64</v>
      </c>
      <c r="B65" s="28" t="s">
        <v>9</v>
      </c>
      <c r="C65" s="29" t="s">
        <v>88</v>
      </c>
      <c r="D65" s="28" t="s">
        <v>118</v>
      </c>
      <c r="E65" s="28" t="s">
        <v>12</v>
      </c>
      <c r="F65" s="28" t="s">
        <v>13</v>
      </c>
      <c r="G65" s="28"/>
      <c r="H65" s="28" t="s">
        <v>13</v>
      </c>
      <c r="I65" s="28"/>
      <c r="J65" s="28"/>
      <c r="K65" s="31" t="s">
        <v>13</v>
      </c>
      <c r="L65" s="31" t="s">
        <v>18</v>
      </c>
      <c r="M65" s="31" t="s">
        <v>13</v>
      </c>
      <c r="N65" s="31" t="s">
        <v>16</v>
      </c>
      <c r="O65" s="31" t="s">
        <v>16</v>
      </c>
      <c r="P65" s="32" t="s">
        <v>16</v>
      </c>
      <c r="Q65" s="32" t="s">
        <v>16</v>
      </c>
      <c r="R65" s="32" t="s">
        <v>16</v>
      </c>
      <c r="S65" s="32" t="s">
        <v>16</v>
      </c>
      <c r="T65" s="33" t="s">
        <v>16</v>
      </c>
      <c r="U65" s="33" t="s">
        <v>16</v>
      </c>
      <c r="V65" s="33" t="s">
        <v>16</v>
      </c>
      <c r="W65" s="34" t="s">
        <v>16</v>
      </c>
      <c r="X65" s="34" t="s">
        <v>16</v>
      </c>
      <c r="Y65" s="34" t="s">
        <v>16</v>
      </c>
      <c r="Z65" s="34" t="s">
        <v>16</v>
      </c>
      <c r="AA65" s="35" t="s">
        <v>16</v>
      </c>
      <c r="AB65" s="35" t="s">
        <v>16</v>
      </c>
      <c r="AC65" s="35" t="s">
        <v>16</v>
      </c>
      <c r="AD65" s="36" t="s">
        <v>13</v>
      </c>
      <c r="AE65" s="36" t="s">
        <v>13</v>
      </c>
      <c r="AF65" s="36" t="s">
        <v>16</v>
      </c>
      <c r="AG65" s="37" t="s">
        <v>13</v>
      </c>
      <c r="AH65" s="37" t="s">
        <v>16</v>
      </c>
      <c r="AI65" s="37" t="s">
        <v>16</v>
      </c>
      <c r="AJ65" s="37" t="s">
        <v>16</v>
      </c>
      <c r="AK65" s="37" t="s">
        <v>16</v>
      </c>
      <c r="AL65" s="38">
        <f t="shared" si="0"/>
        <v>3</v>
      </c>
      <c r="AM65" s="38">
        <f t="shared" si="1"/>
        <v>2</v>
      </c>
    </row>
    <row r="66" spans="1:39" ht="15" customHeight="1">
      <c r="A66" s="27">
        <v>65</v>
      </c>
      <c r="B66" s="28" t="s">
        <v>9</v>
      </c>
      <c r="C66" s="29" t="s">
        <v>88</v>
      </c>
      <c r="D66" s="28" t="s">
        <v>119</v>
      </c>
      <c r="E66" s="28" t="s">
        <v>72</v>
      </c>
      <c r="F66" s="28" t="s">
        <v>13</v>
      </c>
      <c r="G66" s="28"/>
      <c r="H66" s="28" t="s">
        <v>13</v>
      </c>
      <c r="I66" s="28"/>
      <c r="J66" s="28"/>
      <c r="K66" s="31" t="s">
        <v>13</v>
      </c>
      <c r="L66" s="31" t="s">
        <v>13</v>
      </c>
      <c r="M66" s="31" t="s">
        <v>13</v>
      </c>
      <c r="N66" s="31" t="s">
        <v>16</v>
      </c>
      <c r="O66" s="31" t="s">
        <v>16</v>
      </c>
      <c r="P66" s="32" t="s">
        <v>16</v>
      </c>
      <c r="Q66" s="32" t="s">
        <v>16</v>
      </c>
      <c r="R66" s="32" t="s">
        <v>16</v>
      </c>
      <c r="S66" s="32" t="s">
        <v>16</v>
      </c>
      <c r="T66" s="33" t="s">
        <v>16</v>
      </c>
      <c r="U66" s="33" t="s">
        <v>16</v>
      </c>
      <c r="V66" s="33" t="s">
        <v>16</v>
      </c>
      <c r="W66" s="34" t="s">
        <v>16</v>
      </c>
      <c r="X66" s="34" t="s">
        <v>16</v>
      </c>
      <c r="Y66" s="34" t="s">
        <v>16</v>
      </c>
      <c r="Z66" s="34" t="s">
        <v>16</v>
      </c>
      <c r="AA66" s="35" t="s">
        <v>16</v>
      </c>
      <c r="AB66" s="35" t="s">
        <v>16</v>
      </c>
      <c r="AC66" s="35" t="s">
        <v>16</v>
      </c>
      <c r="AD66" s="36" t="s">
        <v>13</v>
      </c>
      <c r="AE66" s="36" t="s">
        <v>13</v>
      </c>
      <c r="AF66" s="36" t="s">
        <v>16</v>
      </c>
      <c r="AG66" s="37" t="s">
        <v>13</v>
      </c>
      <c r="AH66" s="37" t="s">
        <v>16</v>
      </c>
      <c r="AI66" s="37" t="s">
        <v>16</v>
      </c>
      <c r="AJ66" s="37" t="s">
        <v>16</v>
      </c>
      <c r="AK66" s="37" t="s">
        <v>16</v>
      </c>
      <c r="AL66" s="38">
        <f t="shared" si="0"/>
        <v>3</v>
      </c>
      <c r="AM66" s="38">
        <f t="shared" si="1"/>
        <v>3</v>
      </c>
    </row>
    <row r="67" spans="1:39" ht="15" customHeight="1">
      <c r="A67" s="27">
        <v>66</v>
      </c>
      <c r="B67" s="28" t="s">
        <v>9</v>
      </c>
      <c r="C67" s="29" t="s">
        <v>88</v>
      </c>
      <c r="D67" s="28" t="s">
        <v>120</v>
      </c>
      <c r="E67" s="28" t="s">
        <v>121</v>
      </c>
      <c r="F67" s="28" t="s">
        <v>13</v>
      </c>
      <c r="G67" s="28"/>
      <c r="H67" s="28" t="s">
        <v>13</v>
      </c>
      <c r="I67" s="28"/>
      <c r="J67" s="28"/>
      <c r="K67" s="31" t="s">
        <v>13</v>
      </c>
      <c r="L67" s="31" t="s">
        <v>15</v>
      </c>
      <c r="M67" s="31" t="s">
        <v>16</v>
      </c>
      <c r="N67" s="31" t="s">
        <v>16</v>
      </c>
      <c r="O67" s="31" t="s">
        <v>16</v>
      </c>
      <c r="P67" s="32" t="s">
        <v>16</v>
      </c>
      <c r="Q67" s="32" t="s">
        <v>16</v>
      </c>
      <c r="R67" s="32" t="s">
        <v>16</v>
      </c>
      <c r="S67" s="32" t="s">
        <v>16</v>
      </c>
      <c r="T67" s="33" t="s">
        <v>16</v>
      </c>
      <c r="U67" s="33" t="s">
        <v>16</v>
      </c>
      <c r="V67" s="33" t="s">
        <v>16</v>
      </c>
      <c r="W67" s="34" t="s">
        <v>16</v>
      </c>
      <c r="X67" s="34" t="s">
        <v>16</v>
      </c>
      <c r="Y67" s="34" t="s">
        <v>16</v>
      </c>
      <c r="Z67" s="34" t="s">
        <v>16</v>
      </c>
      <c r="AA67" s="35" t="s">
        <v>13</v>
      </c>
      <c r="AB67" s="35" t="s">
        <v>15</v>
      </c>
      <c r="AC67" s="35" t="s">
        <v>16</v>
      </c>
      <c r="AD67" s="36" t="s">
        <v>13</v>
      </c>
      <c r="AE67" s="36" t="s">
        <v>13</v>
      </c>
      <c r="AF67" s="36" t="s">
        <v>16</v>
      </c>
      <c r="AG67" s="37" t="s">
        <v>16</v>
      </c>
      <c r="AH67" s="37" t="s">
        <v>16</v>
      </c>
      <c r="AI67" s="37" t="s">
        <v>16</v>
      </c>
      <c r="AJ67" s="37" t="s">
        <v>16</v>
      </c>
      <c r="AK67" s="37" t="s">
        <v>16</v>
      </c>
      <c r="AL67" s="38">
        <f t="shared" ref="AL67:AL130" si="2">COUNTIF(K67,"x")+(COUNTIF(P67,"x")+COUNTIF(T67,"x")+COUNTIF(W67,"x")+COUNTIF(AA67,"x")+COUNTIF(AD67,"x")+COUNTIF(AG67,"x"))</f>
        <v>3</v>
      </c>
      <c r="AM67" s="38">
        <f t="shared" ref="AM67:AM130" si="3">COUNTIF(L67:O67,"x")+(COUNTIF(Q67:S67,"x")+COUNTIF(U67:V67,"x")+COUNTIF(X67:Z67,"x")+COUNTIF(AB67:AC67,"x")+COUNTIF(AE67:AF67,"x")+COUNTIF(AH67:AK67,"x"))</f>
        <v>1</v>
      </c>
    </row>
    <row r="68" spans="1:39" ht="15" customHeight="1">
      <c r="A68" s="27">
        <v>67</v>
      </c>
      <c r="B68" s="28" t="s">
        <v>9</v>
      </c>
      <c r="C68" s="29" t="s">
        <v>88</v>
      </c>
      <c r="D68" s="28" t="s">
        <v>122</v>
      </c>
      <c r="E68" s="28" t="s">
        <v>123</v>
      </c>
      <c r="F68" s="28" t="s">
        <v>13</v>
      </c>
      <c r="G68" s="28"/>
      <c r="H68" s="28" t="s">
        <v>13</v>
      </c>
      <c r="I68" s="28"/>
      <c r="J68" s="28"/>
      <c r="K68" s="31" t="s">
        <v>13</v>
      </c>
      <c r="L68" s="31" t="s">
        <v>18</v>
      </c>
      <c r="M68" s="31" t="s">
        <v>16</v>
      </c>
      <c r="N68" s="31" t="s">
        <v>16</v>
      </c>
      <c r="O68" s="31" t="s">
        <v>16</v>
      </c>
      <c r="P68" s="32" t="s">
        <v>16</v>
      </c>
      <c r="Q68" s="32" t="s">
        <v>16</v>
      </c>
      <c r="R68" s="32" t="s">
        <v>16</v>
      </c>
      <c r="S68" s="32" t="s">
        <v>16</v>
      </c>
      <c r="T68" s="33" t="s">
        <v>16</v>
      </c>
      <c r="U68" s="33" t="s">
        <v>16</v>
      </c>
      <c r="V68" s="33" t="s">
        <v>16</v>
      </c>
      <c r="W68" s="34" t="s">
        <v>16</v>
      </c>
      <c r="X68" s="34" t="s">
        <v>16</v>
      </c>
      <c r="Y68" s="34" t="s">
        <v>16</v>
      </c>
      <c r="Z68" s="34" t="s">
        <v>16</v>
      </c>
      <c r="AA68" s="35" t="s">
        <v>13</v>
      </c>
      <c r="AB68" s="35" t="s">
        <v>18</v>
      </c>
      <c r="AC68" s="35" t="s">
        <v>16</v>
      </c>
      <c r="AD68" s="36" t="s">
        <v>13</v>
      </c>
      <c r="AE68" s="36" t="s">
        <v>13</v>
      </c>
      <c r="AF68" s="36" t="s">
        <v>16</v>
      </c>
      <c r="AG68" s="37" t="s">
        <v>13</v>
      </c>
      <c r="AH68" s="37" t="s">
        <v>16</v>
      </c>
      <c r="AI68" s="37" t="s">
        <v>16</v>
      </c>
      <c r="AJ68" s="37" t="s">
        <v>13</v>
      </c>
      <c r="AK68" s="37" t="s">
        <v>16</v>
      </c>
      <c r="AL68" s="38">
        <f t="shared" si="2"/>
        <v>4</v>
      </c>
      <c r="AM68" s="38">
        <f t="shared" si="3"/>
        <v>2</v>
      </c>
    </row>
    <row r="69" spans="1:39" ht="15" customHeight="1">
      <c r="A69" s="27">
        <v>68</v>
      </c>
      <c r="B69" s="28" t="s">
        <v>9</v>
      </c>
      <c r="C69" s="29" t="s">
        <v>88</v>
      </c>
      <c r="D69" s="28" t="s">
        <v>124</v>
      </c>
      <c r="E69" s="28" t="s">
        <v>12</v>
      </c>
      <c r="F69" s="28" t="s">
        <v>13</v>
      </c>
      <c r="G69" s="28"/>
      <c r="H69" s="28" t="s">
        <v>13</v>
      </c>
      <c r="I69" s="28"/>
      <c r="J69" s="28"/>
      <c r="K69" s="31" t="s">
        <v>13</v>
      </c>
      <c r="L69" s="31" t="s">
        <v>18</v>
      </c>
      <c r="M69" s="31" t="s">
        <v>16</v>
      </c>
      <c r="N69" s="31" t="s">
        <v>16</v>
      </c>
      <c r="O69" s="31" t="s">
        <v>16</v>
      </c>
      <c r="P69" s="32" t="s">
        <v>16</v>
      </c>
      <c r="Q69" s="32" t="s">
        <v>16</v>
      </c>
      <c r="R69" s="32" t="s">
        <v>16</v>
      </c>
      <c r="S69" s="32" t="s">
        <v>16</v>
      </c>
      <c r="T69" s="33" t="s">
        <v>16</v>
      </c>
      <c r="U69" s="33" t="s">
        <v>16</v>
      </c>
      <c r="V69" s="33" t="s">
        <v>16</v>
      </c>
      <c r="W69" s="34" t="s">
        <v>16</v>
      </c>
      <c r="X69" s="34" t="s">
        <v>16</v>
      </c>
      <c r="Y69" s="34" t="s">
        <v>16</v>
      </c>
      <c r="Z69" s="34" t="s">
        <v>16</v>
      </c>
      <c r="AA69" s="35" t="s">
        <v>13</v>
      </c>
      <c r="AB69" s="35" t="s">
        <v>13</v>
      </c>
      <c r="AC69" s="35" t="s">
        <v>16</v>
      </c>
      <c r="AD69" s="36" t="s">
        <v>13</v>
      </c>
      <c r="AE69" s="36" t="s">
        <v>13</v>
      </c>
      <c r="AF69" s="36" t="s">
        <v>16</v>
      </c>
      <c r="AG69" s="37" t="s">
        <v>13</v>
      </c>
      <c r="AH69" s="37" t="s">
        <v>16</v>
      </c>
      <c r="AI69" s="37" t="s">
        <v>16</v>
      </c>
      <c r="AJ69" s="37" t="s">
        <v>13</v>
      </c>
      <c r="AK69" s="37" t="s">
        <v>16</v>
      </c>
      <c r="AL69" s="38">
        <f t="shared" si="2"/>
        <v>4</v>
      </c>
      <c r="AM69" s="38">
        <f t="shared" si="3"/>
        <v>3</v>
      </c>
    </row>
    <row r="70" spans="1:39" ht="15" customHeight="1">
      <c r="A70" s="27">
        <v>69</v>
      </c>
      <c r="B70" s="28" t="s">
        <v>9</v>
      </c>
      <c r="C70" s="29" t="s">
        <v>88</v>
      </c>
      <c r="D70" s="28" t="s">
        <v>125</v>
      </c>
      <c r="E70" s="28" t="s">
        <v>12</v>
      </c>
      <c r="F70" s="28" t="s">
        <v>13</v>
      </c>
      <c r="G70" s="28" t="s">
        <v>13</v>
      </c>
      <c r="H70" s="28" t="s">
        <v>13</v>
      </c>
      <c r="I70" s="28"/>
      <c r="J70" s="28"/>
      <c r="K70" s="31" t="s">
        <v>16</v>
      </c>
      <c r="L70" s="31" t="s">
        <v>16</v>
      </c>
      <c r="M70" s="31" t="s">
        <v>16</v>
      </c>
      <c r="N70" s="31" t="s">
        <v>16</v>
      </c>
      <c r="O70" s="31" t="s">
        <v>16</v>
      </c>
      <c r="P70" s="32" t="s">
        <v>16</v>
      </c>
      <c r="Q70" s="32" t="s">
        <v>16</v>
      </c>
      <c r="R70" s="32" t="s">
        <v>16</v>
      </c>
      <c r="S70" s="32" t="s">
        <v>16</v>
      </c>
      <c r="T70" s="33" t="s">
        <v>16</v>
      </c>
      <c r="U70" s="33" t="s">
        <v>16</v>
      </c>
      <c r="V70" s="33" t="s">
        <v>16</v>
      </c>
      <c r="W70" s="34" t="s">
        <v>16</v>
      </c>
      <c r="X70" s="34" t="s">
        <v>16</v>
      </c>
      <c r="Y70" s="34" t="s">
        <v>16</v>
      </c>
      <c r="Z70" s="34" t="s">
        <v>16</v>
      </c>
      <c r="AA70" s="35" t="s">
        <v>13</v>
      </c>
      <c r="AB70" s="35" t="s">
        <v>18</v>
      </c>
      <c r="AC70" s="35" t="s">
        <v>16</v>
      </c>
      <c r="AD70" s="36" t="s">
        <v>16</v>
      </c>
      <c r="AE70" s="36" t="s">
        <v>16</v>
      </c>
      <c r="AF70" s="36" t="s">
        <v>16</v>
      </c>
      <c r="AG70" s="37" t="s">
        <v>13</v>
      </c>
      <c r="AH70" s="37" t="s">
        <v>16</v>
      </c>
      <c r="AI70" s="37" t="s">
        <v>16</v>
      </c>
      <c r="AJ70" s="37" t="s">
        <v>13</v>
      </c>
      <c r="AK70" s="37" t="s">
        <v>16</v>
      </c>
      <c r="AL70" s="38">
        <f t="shared" si="2"/>
        <v>2</v>
      </c>
      <c r="AM70" s="38">
        <f t="shared" si="3"/>
        <v>1</v>
      </c>
    </row>
    <row r="71" spans="1:39" ht="15" customHeight="1">
      <c r="A71" s="27">
        <v>70</v>
      </c>
      <c r="B71" s="28" t="s">
        <v>9</v>
      </c>
      <c r="C71" s="29" t="s">
        <v>88</v>
      </c>
      <c r="D71" s="28" t="s">
        <v>126</v>
      </c>
      <c r="E71" s="28" t="s">
        <v>12</v>
      </c>
      <c r="F71" s="28" t="s">
        <v>13</v>
      </c>
      <c r="G71" s="28"/>
      <c r="H71" s="28" t="s">
        <v>13</v>
      </c>
      <c r="I71" s="28"/>
      <c r="J71" s="28"/>
      <c r="K71" s="31" t="s">
        <v>13</v>
      </c>
      <c r="L71" s="31" t="s">
        <v>15</v>
      </c>
      <c r="M71" s="31" t="s">
        <v>16</v>
      </c>
      <c r="N71" s="31" t="s">
        <v>16</v>
      </c>
      <c r="O71" s="31" t="s">
        <v>16</v>
      </c>
      <c r="P71" s="32" t="s">
        <v>16</v>
      </c>
      <c r="Q71" s="32" t="s">
        <v>16</v>
      </c>
      <c r="R71" s="32" t="s">
        <v>16</v>
      </c>
      <c r="S71" s="32" t="s">
        <v>16</v>
      </c>
      <c r="T71" s="33" t="s">
        <v>16</v>
      </c>
      <c r="U71" s="33" t="s">
        <v>16</v>
      </c>
      <c r="V71" s="33" t="s">
        <v>16</v>
      </c>
      <c r="W71" s="34" t="s">
        <v>13</v>
      </c>
      <c r="X71" s="34" t="s">
        <v>15</v>
      </c>
      <c r="Y71" s="34" t="s">
        <v>16</v>
      </c>
      <c r="Z71" s="34" t="s">
        <v>16</v>
      </c>
      <c r="AA71" s="35" t="s">
        <v>13</v>
      </c>
      <c r="AB71" s="35" t="s">
        <v>15</v>
      </c>
      <c r="AC71" s="35" t="s">
        <v>16</v>
      </c>
      <c r="AD71" s="36" t="s">
        <v>13</v>
      </c>
      <c r="AE71" s="36" t="s">
        <v>13</v>
      </c>
      <c r="AF71" s="36" t="s">
        <v>16</v>
      </c>
      <c r="AG71" s="37" t="s">
        <v>13</v>
      </c>
      <c r="AH71" s="37" t="s">
        <v>16</v>
      </c>
      <c r="AI71" s="37" t="s">
        <v>16</v>
      </c>
      <c r="AJ71" s="37" t="s">
        <v>13</v>
      </c>
      <c r="AK71" s="37" t="s">
        <v>16</v>
      </c>
      <c r="AL71" s="38">
        <f t="shared" si="2"/>
        <v>5</v>
      </c>
      <c r="AM71" s="38">
        <f t="shared" si="3"/>
        <v>2</v>
      </c>
    </row>
    <row r="72" spans="1:39" ht="15" customHeight="1">
      <c r="A72" s="27">
        <v>71</v>
      </c>
      <c r="B72" s="28" t="s">
        <v>127</v>
      </c>
      <c r="C72" s="29" t="s">
        <v>128</v>
      </c>
      <c r="D72" s="28" t="s">
        <v>129</v>
      </c>
      <c r="E72" s="28" t="s">
        <v>130</v>
      </c>
      <c r="F72" s="28" t="s">
        <v>13</v>
      </c>
      <c r="G72" s="28"/>
      <c r="H72" s="28" t="s">
        <v>13</v>
      </c>
      <c r="I72" s="28"/>
      <c r="J72" s="28"/>
      <c r="K72" s="31" t="s">
        <v>16</v>
      </c>
      <c r="L72" s="31" t="s">
        <v>16</v>
      </c>
      <c r="M72" s="31" t="s">
        <v>16</v>
      </c>
      <c r="N72" s="31" t="s">
        <v>16</v>
      </c>
      <c r="O72" s="31" t="s">
        <v>16</v>
      </c>
      <c r="P72" s="32" t="s">
        <v>16</v>
      </c>
      <c r="Q72" s="32" t="s">
        <v>16</v>
      </c>
      <c r="R72" s="32" t="s">
        <v>16</v>
      </c>
      <c r="S72" s="32" t="s">
        <v>16</v>
      </c>
      <c r="T72" s="33" t="s">
        <v>16</v>
      </c>
      <c r="U72" s="33" t="s">
        <v>16</v>
      </c>
      <c r="V72" s="33" t="s">
        <v>16</v>
      </c>
      <c r="W72" s="34" t="s">
        <v>16</v>
      </c>
      <c r="X72" s="34" t="s">
        <v>16</v>
      </c>
      <c r="Y72" s="34" t="s">
        <v>16</v>
      </c>
      <c r="Z72" s="34" t="s">
        <v>16</v>
      </c>
      <c r="AA72" s="35" t="s">
        <v>16</v>
      </c>
      <c r="AB72" s="35" t="s">
        <v>16</v>
      </c>
      <c r="AC72" s="35" t="s">
        <v>16</v>
      </c>
      <c r="AD72" s="36" t="s">
        <v>13</v>
      </c>
      <c r="AE72" s="36" t="s">
        <v>13</v>
      </c>
      <c r="AF72" s="36" t="s">
        <v>16</v>
      </c>
      <c r="AG72" s="37" t="s">
        <v>13</v>
      </c>
      <c r="AH72" s="37" t="s">
        <v>16</v>
      </c>
      <c r="AI72" s="37" t="s">
        <v>16</v>
      </c>
      <c r="AJ72" s="37" t="s">
        <v>13</v>
      </c>
      <c r="AK72" s="37" t="s">
        <v>16</v>
      </c>
      <c r="AL72" s="38">
        <f t="shared" si="2"/>
        <v>2</v>
      </c>
      <c r="AM72" s="38">
        <f t="shared" si="3"/>
        <v>2</v>
      </c>
    </row>
    <row r="73" spans="1:39" ht="15" customHeight="1">
      <c r="A73" s="27">
        <v>72</v>
      </c>
      <c r="B73" s="28" t="s">
        <v>127</v>
      </c>
      <c r="C73" s="29" t="s">
        <v>128</v>
      </c>
      <c r="D73" s="28" t="s">
        <v>131</v>
      </c>
      <c r="E73" s="28" t="s">
        <v>132</v>
      </c>
      <c r="F73" s="28" t="s">
        <v>13</v>
      </c>
      <c r="G73" s="28"/>
      <c r="H73" s="28" t="s">
        <v>13</v>
      </c>
      <c r="I73" s="28"/>
      <c r="J73" s="28"/>
      <c r="K73" s="31" t="s">
        <v>16</v>
      </c>
      <c r="L73" s="31" t="s">
        <v>16</v>
      </c>
      <c r="M73" s="31" t="s">
        <v>16</v>
      </c>
      <c r="N73" s="31" t="s">
        <v>16</v>
      </c>
      <c r="O73" s="31" t="s">
        <v>16</v>
      </c>
      <c r="P73" s="32" t="s">
        <v>16</v>
      </c>
      <c r="Q73" s="32" t="s">
        <v>16</v>
      </c>
      <c r="R73" s="32" t="s">
        <v>16</v>
      </c>
      <c r="S73" s="32" t="s">
        <v>16</v>
      </c>
      <c r="T73" s="33" t="s">
        <v>16</v>
      </c>
      <c r="U73" s="33" t="s">
        <v>16</v>
      </c>
      <c r="V73" s="33" t="s">
        <v>16</v>
      </c>
      <c r="W73" s="34" t="s">
        <v>16</v>
      </c>
      <c r="X73" s="34" t="s">
        <v>16</v>
      </c>
      <c r="Y73" s="34" t="s">
        <v>16</v>
      </c>
      <c r="Z73" s="34" t="s">
        <v>16</v>
      </c>
      <c r="AA73" s="35" t="s">
        <v>16</v>
      </c>
      <c r="AB73" s="35" t="s">
        <v>16</v>
      </c>
      <c r="AC73" s="35" t="s">
        <v>16</v>
      </c>
      <c r="AD73" s="36" t="s">
        <v>13</v>
      </c>
      <c r="AE73" s="36" t="s">
        <v>13</v>
      </c>
      <c r="AF73" s="36" t="s">
        <v>16</v>
      </c>
      <c r="AG73" s="37" t="s">
        <v>13</v>
      </c>
      <c r="AH73" s="37" t="s">
        <v>16</v>
      </c>
      <c r="AI73" s="37" t="s">
        <v>16</v>
      </c>
      <c r="AJ73" s="37" t="s">
        <v>16</v>
      </c>
      <c r="AK73" s="37" t="s">
        <v>16</v>
      </c>
      <c r="AL73" s="38">
        <f t="shared" si="2"/>
        <v>2</v>
      </c>
      <c r="AM73" s="38">
        <f t="shared" si="3"/>
        <v>1</v>
      </c>
    </row>
    <row r="74" spans="1:39" ht="15" customHeight="1">
      <c r="A74" s="27">
        <v>73</v>
      </c>
      <c r="B74" s="28" t="s">
        <v>127</v>
      </c>
      <c r="C74" s="29" t="s">
        <v>128</v>
      </c>
      <c r="D74" s="28" t="s">
        <v>133</v>
      </c>
      <c r="E74" s="28" t="s">
        <v>72</v>
      </c>
      <c r="F74" s="28" t="s">
        <v>13</v>
      </c>
      <c r="G74" s="28"/>
      <c r="H74" s="28" t="s">
        <v>13</v>
      </c>
      <c r="I74" s="28"/>
      <c r="J74" s="28"/>
      <c r="K74" s="31" t="s">
        <v>16</v>
      </c>
      <c r="L74" s="31" t="s">
        <v>16</v>
      </c>
      <c r="M74" s="31" t="s">
        <v>16</v>
      </c>
      <c r="N74" s="31" t="s">
        <v>16</v>
      </c>
      <c r="O74" s="31" t="s">
        <v>16</v>
      </c>
      <c r="P74" s="32" t="s">
        <v>16</v>
      </c>
      <c r="Q74" s="32" t="s">
        <v>16</v>
      </c>
      <c r="R74" s="32" t="s">
        <v>16</v>
      </c>
      <c r="S74" s="32" t="s">
        <v>16</v>
      </c>
      <c r="T74" s="33" t="s">
        <v>16</v>
      </c>
      <c r="U74" s="33" t="s">
        <v>16</v>
      </c>
      <c r="V74" s="33" t="s">
        <v>16</v>
      </c>
      <c r="W74" s="34" t="s">
        <v>16</v>
      </c>
      <c r="X74" s="34" t="s">
        <v>16</v>
      </c>
      <c r="Y74" s="34" t="s">
        <v>16</v>
      </c>
      <c r="Z74" s="34" t="s">
        <v>16</v>
      </c>
      <c r="AA74" s="35" t="s">
        <v>16</v>
      </c>
      <c r="AB74" s="35" t="s">
        <v>16</v>
      </c>
      <c r="AC74" s="35" t="s">
        <v>16</v>
      </c>
      <c r="AD74" s="36" t="s">
        <v>13</v>
      </c>
      <c r="AE74" s="36" t="s">
        <v>13</v>
      </c>
      <c r="AF74" s="36" t="s">
        <v>16</v>
      </c>
      <c r="AG74" s="37" t="s">
        <v>13</v>
      </c>
      <c r="AH74" s="37" t="s">
        <v>16</v>
      </c>
      <c r="AI74" s="37" t="s">
        <v>16</v>
      </c>
      <c r="AJ74" s="37" t="s">
        <v>13</v>
      </c>
      <c r="AK74" s="37" t="s">
        <v>16</v>
      </c>
      <c r="AL74" s="38">
        <f t="shared" si="2"/>
        <v>2</v>
      </c>
      <c r="AM74" s="38">
        <f t="shared" si="3"/>
        <v>2</v>
      </c>
    </row>
    <row r="75" spans="1:39" ht="15" customHeight="1">
      <c r="A75" s="27">
        <v>74</v>
      </c>
      <c r="B75" s="28" t="s">
        <v>127</v>
      </c>
      <c r="C75" s="29" t="s">
        <v>128</v>
      </c>
      <c r="D75" s="28" t="s">
        <v>134</v>
      </c>
      <c r="E75" s="28" t="s">
        <v>135</v>
      </c>
      <c r="F75" s="28" t="s">
        <v>13</v>
      </c>
      <c r="G75" s="28"/>
      <c r="H75" s="28" t="s">
        <v>13</v>
      </c>
      <c r="I75" s="28"/>
      <c r="J75" s="28"/>
      <c r="K75" s="31" t="s">
        <v>16</v>
      </c>
      <c r="L75" s="31" t="s">
        <v>16</v>
      </c>
      <c r="M75" s="31" t="s">
        <v>16</v>
      </c>
      <c r="N75" s="31" t="s">
        <v>16</v>
      </c>
      <c r="O75" s="31" t="s">
        <v>16</v>
      </c>
      <c r="P75" s="32" t="s">
        <v>16</v>
      </c>
      <c r="Q75" s="32" t="s">
        <v>16</v>
      </c>
      <c r="R75" s="32" t="s">
        <v>16</v>
      </c>
      <c r="S75" s="32" t="s">
        <v>16</v>
      </c>
      <c r="T75" s="33" t="s">
        <v>16</v>
      </c>
      <c r="U75" s="33" t="s">
        <v>16</v>
      </c>
      <c r="V75" s="33" t="s">
        <v>16</v>
      </c>
      <c r="W75" s="34" t="s">
        <v>16</v>
      </c>
      <c r="X75" s="34" t="s">
        <v>16</v>
      </c>
      <c r="Y75" s="34" t="s">
        <v>16</v>
      </c>
      <c r="Z75" s="34" t="s">
        <v>16</v>
      </c>
      <c r="AA75" s="35" t="s">
        <v>16</v>
      </c>
      <c r="AB75" s="35" t="s">
        <v>16</v>
      </c>
      <c r="AC75" s="35" t="s">
        <v>16</v>
      </c>
      <c r="AD75" s="36" t="s">
        <v>13</v>
      </c>
      <c r="AE75" s="36" t="s">
        <v>13</v>
      </c>
      <c r="AF75" s="36" t="s">
        <v>16</v>
      </c>
      <c r="AG75" s="37" t="s">
        <v>13</v>
      </c>
      <c r="AH75" s="37" t="s">
        <v>16</v>
      </c>
      <c r="AI75" s="37" t="s">
        <v>16</v>
      </c>
      <c r="AJ75" s="37" t="s">
        <v>16</v>
      </c>
      <c r="AK75" s="37" t="s">
        <v>16</v>
      </c>
      <c r="AL75" s="38">
        <f t="shared" si="2"/>
        <v>2</v>
      </c>
      <c r="AM75" s="38">
        <f t="shared" si="3"/>
        <v>1</v>
      </c>
    </row>
    <row r="76" spans="1:39" ht="15" customHeight="1">
      <c r="A76" s="27">
        <v>75</v>
      </c>
      <c r="B76" s="28" t="s">
        <v>127</v>
      </c>
      <c r="C76" s="29" t="s">
        <v>128</v>
      </c>
      <c r="D76" s="28" t="s">
        <v>136</v>
      </c>
      <c r="E76" s="28" t="s">
        <v>137</v>
      </c>
      <c r="F76" s="28" t="s">
        <v>13</v>
      </c>
      <c r="G76" s="28"/>
      <c r="H76" s="28" t="s">
        <v>13</v>
      </c>
      <c r="I76" s="28"/>
      <c r="J76" s="28"/>
      <c r="K76" s="31" t="s">
        <v>13</v>
      </c>
      <c r="L76" s="31" t="s">
        <v>13</v>
      </c>
      <c r="M76" s="31" t="s">
        <v>16</v>
      </c>
      <c r="N76" s="31" t="s">
        <v>16</v>
      </c>
      <c r="O76" s="31" t="s">
        <v>16</v>
      </c>
      <c r="P76" s="32" t="s">
        <v>13</v>
      </c>
      <c r="Q76" s="32" t="s">
        <v>18</v>
      </c>
      <c r="R76" s="32" t="s">
        <v>16</v>
      </c>
      <c r="S76" s="32" t="s">
        <v>16</v>
      </c>
      <c r="T76" s="33" t="s">
        <v>16</v>
      </c>
      <c r="U76" s="33" t="s">
        <v>16</v>
      </c>
      <c r="V76" s="33" t="s">
        <v>16</v>
      </c>
      <c r="W76" s="34" t="s">
        <v>16</v>
      </c>
      <c r="X76" s="34" t="s">
        <v>16</v>
      </c>
      <c r="Y76" s="34" t="s">
        <v>16</v>
      </c>
      <c r="Z76" s="34" t="s">
        <v>16</v>
      </c>
      <c r="AA76" s="35" t="s">
        <v>16</v>
      </c>
      <c r="AB76" s="35" t="s">
        <v>16</v>
      </c>
      <c r="AC76" s="35" t="s">
        <v>16</v>
      </c>
      <c r="AD76" s="36" t="s">
        <v>13</v>
      </c>
      <c r="AE76" s="36" t="s">
        <v>18</v>
      </c>
      <c r="AF76" s="36" t="s">
        <v>16</v>
      </c>
      <c r="AG76" s="37" t="s">
        <v>13</v>
      </c>
      <c r="AH76" s="37" t="s">
        <v>16</v>
      </c>
      <c r="AI76" s="37" t="s">
        <v>16</v>
      </c>
      <c r="AJ76" s="37" t="s">
        <v>13</v>
      </c>
      <c r="AK76" s="37" t="s">
        <v>16</v>
      </c>
      <c r="AL76" s="38">
        <f t="shared" si="2"/>
        <v>4</v>
      </c>
      <c r="AM76" s="38">
        <f t="shared" si="3"/>
        <v>2</v>
      </c>
    </row>
    <row r="77" spans="1:39" ht="15" customHeight="1">
      <c r="A77" s="27">
        <v>76</v>
      </c>
      <c r="B77" s="28" t="s">
        <v>127</v>
      </c>
      <c r="C77" s="29" t="s">
        <v>128</v>
      </c>
      <c r="D77" s="28" t="s">
        <v>138</v>
      </c>
      <c r="E77" s="28" t="s">
        <v>139</v>
      </c>
      <c r="F77" s="28" t="s">
        <v>13</v>
      </c>
      <c r="G77" s="28"/>
      <c r="H77" s="28" t="s">
        <v>13</v>
      </c>
      <c r="I77" s="28"/>
      <c r="J77" s="28"/>
      <c r="K77" s="31" t="s">
        <v>16</v>
      </c>
      <c r="L77" s="31" t="s">
        <v>16</v>
      </c>
      <c r="M77" s="31" t="s">
        <v>16</v>
      </c>
      <c r="N77" s="31" t="s">
        <v>16</v>
      </c>
      <c r="O77" s="31" t="s">
        <v>16</v>
      </c>
      <c r="P77" s="32" t="s">
        <v>16</v>
      </c>
      <c r="Q77" s="32" t="s">
        <v>16</v>
      </c>
      <c r="R77" s="32" t="s">
        <v>16</v>
      </c>
      <c r="S77" s="32" t="s">
        <v>16</v>
      </c>
      <c r="T77" s="33" t="s">
        <v>16</v>
      </c>
      <c r="U77" s="33" t="s">
        <v>16</v>
      </c>
      <c r="V77" s="33" t="s">
        <v>16</v>
      </c>
      <c r="W77" s="34" t="s">
        <v>16</v>
      </c>
      <c r="X77" s="34" t="s">
        <v>16</v>
      </c>
      <c r="Y77" s="34" t="s">
        <v>16</v>
      </c>
      <c r="Z77" s="34" t="s">
        <v>16</v>
      </c>
      <c r="AA77" s="35" t="s">
        <v>16</v>
      </c>
      <c r="AB77" s="35" t="s">
        <v>16</v>
      </c>
      <c r="AC77" s="35" t="s">
        <v>16</v>
      </c>
      <c r="AD77" s="36" t="s">
        <v>13</v>
      </c>
      <c r="AE77" s="36" t="s">
        <v>13</v>
      </c>
      <c r="AF77" s="36" t="s">
        <v>16</v>
      </c>
      <c r="AG77" s="37" t="s">
        <v>13</v>
      </c>
      <c r="AH77" s="37" t="s">
        <v>16</v>
      </c>
      <c r="AI77" s="37" t="s">
        <v>16</v>
      </c>
      <c r="AJ77" s="37" t="s">
        <v>13</v>
      </c>
      <c r="AK77" s="37" t="s">
        <v>16</v>
      </c>
      <c r="AL77" s="38">
        <f t="shared" si="2"/>
        <v>2</v>
      </c>
      <c r="AM77" s="38">
        <f t="shared" si="3"/>
        <v>2</v>
      </c>
    </row>
    <row r="78" spans="1:39" ht="15" customHeight="1">
      <c r="A78" s="27">
        <v>77</v>
      </c>
      <c r="B78" s="28" t="s">
        <v>127</v>
      </c>
      <c r="C78" s="29" t="s">
        <v>128</v>
      </c>
      <c r="D78" s="28" t="s">
        <v>140</v>
      </c>
      <c r="E78" s="28" t="s">
        <v>141</v>
      </c>
      <c r="F78" s="28" t="s">
        <v>13</v>
      </c>
      <c r="G78" s="28"/>
      <c r="H78" s="28"/>
      <c r="I78" s="28"/>
      <c r="J78" s="28"/>
      <c r="K78" s="31" t="s">
        <v>16</v>
      </c>
      <c r="L78" s="31" t="s">
        <v>16</v>
      </c>
      <c r="M78" s="31" t="s">
        <v>16</v>
      </c>
      <c r="N78" s="31" t="s">
        <v>16</v>
      </c>
      <c r="O78" s="31" t="s">
        <v>16</v>
      </c>
      <c r="P78" s="32" t="s">
        <v>16</v>
      </c>
      <c r="Q78" s="32" t="s">
        <v>16</v>
      </c>
      <c r="R78" s="32" t="s">
        <v>16</v>
      </c>
      <c r="S78" s="32" t="s">
        <v>16</v>
      </c>
      <c r="T78" s="33" t="s">
        <v>16</v>
      </c>
      <c r="U78" s="33" t="s">
        <v>16</v>
      </c>
      <c r="V78" s="33" t="s">
        <v>16</v>
      </c>
      <c r="W78" s="34" t="s">
        <v>16</v>
      </c>
      <c r="X78" s="34" t="s">
        <v>16</v>
      </c>
      <c r="Y78" s="34" t="s">
        <v>16</v>
      </c>
      <c r="Z78" s="34" t="s">
        <v>16</v>
      </c>
      <c r="AA78" s="35" t="s">
        <v>16</v>
      </c>
      <c r="AB78" s="35" t="s">
        <v>16</v>
      </c>
      <c r="AC78" s="35" t="s">
        <v>16</v>
      </c>
      <c r="AD78" s="36" t="s">
        <v>16</v>
      </c>
      <c r="AE78" s="36" t="s">
        <v>16</v>
      </c>
      <c r="AF78" s="36" t="s">
        <v>16</v>
      </c>
      <c r="AG78" s="37" t="s">
        <v>13</v>
      </c>
      <c r="AH78" s="37" t="s">
        <v>16</v>
      </c>
      <c r="AI78" s="37" t="s">
        <v>16</v>
      </c>
      <c r="AJ78" s="37" t="s">
        <v>13</v>
      </c>
      <c r="AK78" s="37" t="s">
        <v>16</v>
      </c>
      <c r="AL78" s="38">
        <f t="shared" si="2"/>
        <v>1</v>
      </c>
      <c r="AM78" s="38">
        <f t="shared" si="3"/>
        <v>1</v>
      </c>
    </row>
    <row r="79" spans="1:39" ht="15" customHeight="1">
      <c r="A79" s="27">
        <v>78</v>
      </c>
      <c r="B79" s="28" t="s">
        <v>127</v>
      </c>
      <c r="C79" s="29" t="s">
        <v>128</v>
      </c>
      <c r="D79" s="28" t="s">
        <v>142</v>
      </c>
      <c r="E79" s="28" t="s">
        <v>143</v>
      </c>
      <c r="F79" s="28" t="s">
        <v>13</v>
      </c>
      <c r="G79" s="28"/>
      <c r="H79" s="28" t="s">
        <v>13</v>
      </c>
      <c r="I79" s="28"/>
      <c r="J79" s="28"/>
      <c r="K79" s="31" t="s">
        <v>16</v>
      </c>
      <c r="L79" s="31" t="s">
        <v>16</v>
      </c>
      <c r="M79" s="31" t="s">
        <v>16</v>
      </c>
      <c r="N79" s="31" t="s">
        <v>16</v>
      </c>
      <c r="O79" s="31" t="s">
        <v>16</v>
      </c>
      <c r="P79" s="32" t="s">
        <v>16</v>
      </c>
      <c r="Q79" s="32" t="s">
        <v>16</v>
      </c>
      <c r="R79" s="32" t="s">
        <v>16</v>
      </c>
      <c r="S79" s="32" t="s">
        <v>16</v>
      </c>
      <c r="T79" s="33" t="s">
        <v>16</v>
      </c>
      <c r="U79" s="33" t="s">
        <v>16</v>
      </c>
      <c r="V79" s="33" t="s">
        <v>16</v>
      </c>
      <c r="W79" s="34" t="s">
        <v>16</v>
      </c>
      <c r="X79" s="34" t="s">
        <v>16</v>
      </c>
      <c r="Y79" s="34" t="s">
        <v>16</v>
      </c>
      <c r="Z79" s="34" t="s">
        <v>16</v>
      </c>
      <c r="AA79" s="35" t="s">
        <v>16</v>
      </c>
      <c r="AB79" s="35" t="s">
        <v>16</v>
      </c>
      <c r="AC79" s="35" t="s">
        <v>16</v>
      </c>
      <c r="AD79" s="36" t="s">
        <v>16</v>
      </c>
      <c r="AE79" s="36" t="s">
        <v>16</v>
      </c>
      <c r="AF79" s="36" t="s">
        <v>16</v>
      </c>
      <c r="AG79" s="37" t="s">
        <v>13</v>
      </c>
      <c r="AH79" s="37" t="s">
        <v>16</v>
      </c>
      <c r="AI79" s="37" t="s">
        <v>16</v>
      </c>
      <c r="AJ79" s="37" t="s">
        <v>13</v>
      </c>
      <c r="AK79" s="37" t="s">
        <v>16</v>
      </c>
      <c r="AL79" s="38">
        <f t="shared" si="2"/>
        <v>1</v>
      </c>
      <c r="AM79" s="38">
        <f t="shared" si="3"/>
        <v>1</v>
      </c>
    </row>
    <row r="80" spans="1:39" ht="15" customHeight="1">
      <c r="A80" s="27">
        <v>79</v>
      </c>
      <c r="B80" s="28" t="s">
        <v>127</v>
      </c>
      <c r="C80" s="29" t="s">
        <v>128</v>
      </c>
      <c r="D80" s="28" t="s">
        <v>144</v>
      </c>
      <c r="E80" s="28" t="s">
        <v>12</v>
      </c>
      <c r="F80" s="28" t="s">
        <v>13</v>
      </c>
      <c r="G80" s="28"/>
      <c r="H80" s="28" t="s">
        <v>13</v>
      </c>
      <c r="I80" s="28"/>
      <c r="J80" s="28"/>
      <c r="K80" s="31" t="s">
        <v>16</v>
      </c>
      <c r="L80" s="31" t="s">
        <v>16</v>
      </c>
      <c r="M80" s="31" t="s">
        <v>16</v>
      </c>
      <c r="N80" s="31" t="s">
        <v>16</v>
      </c>
      <c r="O80" s="31" t="s">
        <v>16</v>
      </c>
      <c r="P80" s="32" t="s">
        <v>16</v>
      </c>
      <c r="Q80" s="32" t="s">
        <v>16</v>
      </c>
      <c r="R80" s="32" t="s">
        <v>16</v>
      </c>
      <c r="S80" s="32" t="s">
        <v>16</v>
      </c>
      <c r="T80" s="33" t="s">
        <v>16</v>
      </c>
      <c r="U80" s="33" t="s">
        <v>16</v>
      </c>
      <c r="V80" s="33" t="s">
        <v>16</v>
      </c>
      <c r="W80" s="34" t="s">
        <v>16</v>
      </c>
      <c r="X80" s="34" t="s">
        <v>16</v>
      </c>
      <c r="Y80" s="34" t="s">
        <v>16</v>
      </c>
      <c r="Z80" s="34" t="s">
        <v>16</v>
      </c>
      <c r="AA80" s="35" t="s">
        <v>16</v>
      </c>
      <c r="AB80" s="35" t="s">
        <v>16</v>
      </c>
      <c r="AC80" s="35" t="s">
        <v>16</v>
      </c>
      <c r="AD80" s="36" t="s">
        <v>13</v>
      </c>
      <c r="AE80" s="36" t="s">
        <v>13</v>
      </c>
      <c r="AF80" s="36" t="s">
        <v>16</v>
      </c>
      <c r="AG80" s="37" t="s">
        <v>13</v>
      </c>
      <c r="AH80" s="37" t="s">
        <v>16</v>
      </c>
      <c r="AI80" s="37" t="s">
        <v>16</v>
      </c>
      <c r="AJ80" s="37" t="s">
        <v>16</v>
      </c>
      <c r="AK80" s="37" t="s">
        <v>16</v>
      </c>
      <c r="AL80" s="38">
        <f t="shared" si="2"/>
        <v>2</v>
      </c>
      <c r="AM80" s="38">
        <f t="shared" si="3"/>
        <v>1</v>
      </c>
    </row>
    <row r="81" spans="1:39" ht="15" customHeight="1">
      <c r="A81" s="27">
        <v>80</v>
      </c>
      <c r="B81" s="28" t="s">
        <v>127</v>
      </c>
      <c r="C81" s="29" t="s">
        <v>128</v>
      </c>
      <c r="D81" s="28" t="s">
        <v>145</v>
      </c>
      <c r="E81" s="28" t="s">
        <v>12</v>
      </c>
      <c r="F81" s="28" t="s">
        <v>13</v>
      </c>
      <c r="G81" s="28"/>
      <c r="H81" s="28" t="s">
        <v>13</v>
      </c>
      <c r="I81" s="28"/>
      <c r="J81" s="28"/>
      <c r="K81" s="31" t="s">
        <v>16</v>
      </c>
      <c r="L81" s="31" t="s">
        <v>16</v>
      </c>
      <c r="M81" s="31" t="s">
        <v>16</v>
      </c>
      <c r="N81" s="31" t="s">
        <v>16</v>
      </c>
      <c r="O81" s="31" t="s">
        <v>16</v>
      </c>
      <c r="P81" s="32" t="s">
        <v>13</v>
      </c>
      <c r="Q81" s="32" t="s">
        <v>13</v>
      </c>
      <c r="R81" s="32" t="s">
        <v>16</v>
      </c>
      <c r="S81" s="32" t="s">
        <v>16</v>
      </c>
      <c r="T81" s="33" t="s">
        <v>13</v>
      </c>
      <c r="U81" s="33" t="s">
        <v>13</v>
      </c>
      <c r="V81" s="33" t="s">
        <v>13</v>
      </c>
      <c r="W81" s="34" t="s">
        <v>16</v>
      </c>
      <c r="X81" s="34" t="s">
        <v>16</v>
      </c>
      <c r="Y81" s="34" t="s">
        <v>16</v>
      </c>
      <c r="Z81" s="34" t="s">
        <v>16</v>
      </c>
      <c r="AA81" s="35" t="s">
        <v>16</v>
      </c>
      <c r="AB81" s="35" t="s">
        <v>16</v>
      </c>
      <c r="AC81" s="35" t="s">
        <v>16</v>
      </c>
      <c r="AD81" s="36" t="s">
        <v>13</v>
      </c>
      <c r="AE81" s="36" t="s">
        <v>13</v>
      </c>
      <c r="AF81" s="36" t="s">
        <v>16</v>
      </c>
      <c r="AG81" s="37" t="s">
        <v>13</v>
      </c>
      <c r="AH81" s="37" t="s">
        <v>16</v>
      </c>
      <c r="AI81" s="37" t="s">
        <v>16</v>
      </c>
      <c r="AJ81" s="37" t="s">
        <v>13</v>
      </c>
      <c r="AK81" s="37" t="s">
        <v>16</v>
      </c>
      <c r="AL81" s="38">
        <f t="shared" si="2"/>
        <v>4</v>
      </c>
      <c r="AM81" s="38">
        <f t="shared" si="3"/>
        <v>5</v>
      </c>
    </row>
    <row r="82" spans="1:39" ht="15" customHeight="1">
      <c r="A82" s="27">
        <v>81</v>
      </c>
      <c r="B82" s="28" t="s">
        <v>127</v>
      </c>
      <c r="C82" s="29" t="s">
        <v>128</v>
      </c>
      <c r="D82" s="28" t="s">
        <v>146</v>
      </c>
      <c r="E82" s="28" t="s">
        <v>147</v>
      </c>
      <c r="F82" s="28" t="s">
        <v>13</v>
      </c>
      <c r="G82" s="28"/>
      <c r="H82" s="28" t="s">
        <v>13</v>
      </c>
      <c r="I82" s="28"/>
      <c r="J82" s="28"/>
      <c r="K82" s="31" t="s">
        <v>13</v>
      </c>
      <c r="L82" s="31" t="s">
        <v>13</v>
      </c>
      <c r="M82" s="31" t="s">
        <v>16</v>
      </c>
      <c r="N82" s="31" t="s">
        <v>16</v>
      </c>
      <c r="O82" s="31" t="s">
        <v>16</v>
      </c>
      <c r="P82" s="32" t="s">
        <v>13</v>
      </c>
      <c r="Q82" s="32" t="s">
        <v>18</v>
      </c>
      <c r="R82" s="32" t="s">
        <v>16</v>
      </c>
      <c r="S82" s="32" t="s">
        <v>16</v>
      </c>
      <c r="T82" s="33" t="s">
        <v>13</v>
      </c>
      <c r="U82" s="33" t="s">
        <v>13</v>
      </c>
      <c r="V82" s="33" t="s">
        <v>13</v>
      </c>
      <c r="W82" s="34" t="s">
        <v>16</v>
      </c>
      <c r="X82" s="34" t="s">
        <v>16</v>
      </c>
      <c r="Y82" s="34" t="s">
        <v>16</v>
      </c>
      <c r="Z82" s="34" t="s">
        <v>16</v>
      </c>
      <c r="AA82" s="35" t="s">
        <v>16</v>
      </c>
      <c r="AB82" s="35" t="s">
        <v>16</v>
      </c>
      <c r="AC82" s="35" t="s">
        <v>16</v>
      </c>
      <c r="AD82" s="36" t="s">
        <v>13</v>
      </c>
      <c r="AE82" s="36" t="s">
        <v>18</v>
      </c>
      <c r="AF82" s="36" t="s">
        <v>16</v>
      </c>
      <c r="AG82" s="37" t="s">
        <v>13</v>
      </c>
      <c r="AH82" s="37" t="s">
        <v>16</v>
      </c>
      <c r="AI82" s="37" t="s">
        <v>16</v>
      </c>
      <c r="AJ82" s="37" t="s">
        <v>13</v>
      </c>
      <c r="AK82" s="37" t="s">
        <v>16</v>
      </c>
      <c r="AL82" s="38">
        <f t="shared" si="2"/>
        <v>5</v>
      </c>
      <c r="AM82" s="38">
        <f t="shared" si="3"/>
        <v>4</v>
      </c>
    </row>
    <row r="83" spans="1:39" ht="15" customHeight="1">
      <c r="A83" s="27">
        <v>82</v>
      </c>
      <c r="B83" s="28" t="s">
        <v>127</v>
      </c>
      <c r="C83" s="29" t="s">
        <v>148</v>
      </c>
      <c r="D83" s="28" t="s">
        <v>149</v>
      </c>
      <c r="E83" s="28" t="s">
        <v>12</v>
      </c>
      <c r="F83" s="28" t="s">
        <v>13</v>
      </c>
      <c r="G83" s="28" t="s">
        <v>14</v>
      </c>
      <c r="H83" s="28"/>
      <c r="I83" s="28"/>
      <c r="J83" s="28"/>
      <c r="K83" s="31" t="s">
        <v>13</v>
      </c>
      <c r="L83" s="31" t="s">
        <v>13</v>
      </c>
      <c r="M83" s="31" t="s">
        <v>16</v>
      </c>
      <c r="N83" s="31" t="s">
        <v>16</v>
      </c>
      <c r="O83" s="31" t="s">
        <v>16</v>
      </c>
      <c r="P83" s="32" t="s">
        <v>16</v>
      </c>
      <c r="Q83" s="32" t="s">
        <v>16</v>
      </c>
      <c r="R83" s="32" t="s">
        <v>16</v>
      </c>
      <c r="S83" s="32" t="s">
        <v>16</v>
      </c>
      <c r="T83" s="33" t="s">
        <v>16</v>
      </c>
      <c r="U83" s="33" t="s">
        <v>16</v>
      </c>
      <c r="V83" s="33" t="s">
        <v>16</v>
      </c>
      <c r="W83" s="34" t="s">
        <v>16</v>
      </c>
      <c r="X83" s="34" t="s">
        <v>16</v>
      </c>
      <c r="Y83" s="34" t="s">
        <v>16</v>
      </c>
      <c r="Z83" s="34" t="s">
        <v>16</v>
      </c>
      <c r="AA83" s="35" t="s">
        <v>16</v>
      </c>
      <c r="AB83" s="35" t="s">
        <v>16</v>
      </c>
      <c r="AC83" s="35" t="s">
        <v>16</v>
      </c>
      <c r="AD83" s="36" t="s">
        <v>13</v>
      </c>
      <c r="AE83" s="36" t="s">
        <v>13</v>
      </c>
      <c r="AF83" s="36" t="s">
        <v>16</v>
      </c>
      <c r="AG83" s="37" t="s">
        <v>13</v>
      </c>
      <c r="AH83" s="37" t="s">
        <v>16</v>
      </c>
      <c r="AI83" s="37" t="s">
        <v>16</v>
      </c>
      <c r="AJ83" s="37" t="s">
        <v>16</v>
      </c>
      <c r="AK83" s="37" t="s">
        <v>16</v>
      </c>
      <c r="AL83" s="38">
        <f t="shared" si="2"/>
        <v>3</v>
      </c>
      <c r="AM83" s="38">
        <f t="shared" si="3"/>
        <v>2</v>
      </c>
    </row>
    <row r="84" spans="1:39" ht="15" customHeight="1">
      <c r="A84" s="27">
        <v>83</v>
      </c>
      <c r="B84" s="28" t="s">
        <v>127</v>
      </c>
      <c r="C84" s="29" t="s">
        <v>148</v>
      </c>
      <c r="D84" s="28" t="s">
        <v>150</v>
      </c>
      <c r="E84" s="28" t="s">
        <v>130</v>
      </c>
      <c r="F84" s="28" t="s">
        <v>13</v>
      </c>
      <c r="G84" s="28"/>
      <c r="H84" s="28" t="s">
        <v>13</v>
      </c>
      <c r="I84" s="28"/>
      <c r="J84" s="28"/>
      <c r="K84" s="31" t="s">
        <v>13</v>
      </c>
      <c r="L84" s="31" t="s">
        <v>13</v>
      </c>
      <c r="M84" s="31" t="s">
        <v>16</v>
      </c>
      <c r="N84" s="31" t="s">
        <v>16</v>
      </c>
      <c r="O84" s="31" t="s">
        <v>16</v>
      </c>
      <c r="P84" s="32" t="s">
        <v>16</v>
      </c>
      <c r="Q84" s="32" t="s">
        <v>16</v>
      </c>
      <c r="R84" s="32" t="s">
        <v>16</v>
      </c>
      <c r="S84" s="32" t="s">
        <v>16</v>
      </c>
      <c r="T84" s="33" t="s">
        <v>16</v>
      </c>
      <c r="U84" s="33" t="s">
        <v>16</v>
      </c>
      <c r="V84" s="33" t="s">
        <v>16</v>
      </c>
      <c r="W84" s="34" t="s">
        <v>16</v>
      </c>
      <c r="X84" s="34" t="s">
        <v>16</v>
      </c>
      <c r="Y84" s="34" t="s">
        <v>16</v>
      </c>
      <c r="Z84" s="34" t="s">
        <v>16</v>
      </c>
      <c r="AA84" s="35" t="s">
        <v>16</v>
      </c>
      <c r="AB84" s="35" t="s">
        <v>16</v>
      </c>
      <c r="AC84" s="35" t="s">
        <v>16</v>
      </c>
      <c r="AD84" s="36" t="s">
        <v>13</v>
      </c>
      <c r="AE84" s="36" t="s">
        <v>13</v>
      </c>
      <c r="AF84" s="36" t="s">
        <v>16</v>
      </c>
      <c r="AG84" s="37" t="s">
        <v>13</v>
      </c>
      <c r="AH84" s="37" t="s">
        <v>16</v>
      </c>
      <c r="AI84" s="37" t="s">
        <v>16</v>
      </c>
      <c r="AJ84" s="37" t="s">
        <v>16</v>
      </c>
      <c r="AK84" s="37" t="s">
        <v>16</v>
      </c>
      <c r="AL84" s="38">
        <f t="shared" si="2"/>
        <v>3</v>
      </c>
      <c r="AM84" s="38">
        <f t="shared" si="3"/>
        <v>2</v>
      </c>
    </row>
    <row r="85" spans="1:39" ht="15" customHeight="1">
      <c r="A85" s="27">
        <v>84</v>
      </c>
      <c r="B85" s="28" t="s">
        <v>127</v>
      </c>
      <c r="C85" s="29" t="s">
        <v>148</v>
      </c>
      <c r="D85" s="30" t="s">
        <v>151</v>
      </c>
      <c r="E85" s="28" t="s">
        <v>152</v>
      </c>
      <c r="F85" s="28" t="s">
        <v>13</v>
      </c>
      <c r="G85" s="28" t="s">
        <v>14</v>
      </c>
      <c r="H85" s="28"/>
      <c r="I85" s="28"/>
      <c r="J85" s="28"/>
      <c r="K85" s="31" t="s">
        <v>13</v>
      </c>
      <c r="L85" s="31" t="s">
        <v>15</v>
      </c>
      <c r="M85" s="31" t="s">
        <v>16</v>
      </c>
      <c r="N85" s="31" t="s">
        <v>28</v>
      </c>
      <c r="O85" s="31" t="s">
        <v>28</v>
      </c>
      <c r="P85" s="32" t="s">
        <v>16</v>
      </c>
      <c r="Q85" s="32" t="s">
        <v>16</v>
      </c>
      <c r="R85" s="32" t="s">
        <v>16</v>
      </c>
      <c r="S85" s="32" t="s">
        <v>16</v>
      </c>
      <c r="T85" s="33" t="s">
        <v>13</v>
      </c>
      <c r="U85" s="33" t="s">
        <v>13</v>
      </c>
      <c r="V85" s="33" t="s">
        <v>16</v>
      </c>
      <c r="W85" s="34" t="s">
        <v>16</v>
      </c>
      <c r="X85" s="34" t="s">
        <v>16</v>
      </c>
      <c r="Y85" s="34" t="s">
        <v>16</v>
      </c>
      <c r="Z85" s="34" t="s">
        <v>16</v>
      </c>
      <c r="AA85" s="35" t="s">
        <v>16</v>
      </c>
      <c r="AB85" s="35" t="s">
        <v>16</v>
      </c>
      <c r="AC85" s="35" t="s">
        <v>16</v>
      </c>
      <c r="AD85" s="36" t="s">
        <v>13</v>
      </c>
      <c r="AE85" s="36" t="s">
        <v>13</v>
      </c>
      <c r="AF85" s="36" t="s">
        <v>16</v>
      </c>
      <c r="AG85" s="37" t="s">
        <v>13</v>
      </c>
      <c r="AH85" s="37" t="s">
        <v>16</v>
      </c>
      <c r="AI85" s="37" t="s">
        <v>16</v>
      </c>
      <c r="AJ85" s="37" t="s">
        <v>13</v>
      </c>
      <c r="AK85" s="37" t="s">
        <v>16</v>
      </c>
      <c r="AL85" s="38">
        <f t="shared" si="2"/>
        <v>4</v>
      </c>
      <c r="AM85" s="38">
        <f t="shared" si="3"/>
        <v>3</v>
      </c>
    </row>
    <row r="86" spans="1:39" ht="15" customHeight="1">
      <c r="A86" s="27">
        <v>85</v>
      </c>
      <c r="B86" s="28" t="s">
        <v>127</v>
      </c>
      <c r="C86" s="29" t="s">
        <v>148</v>
      </c>
      <c r="D86" s="28" t="s">
        <v>153</v>
      </c>
      <c r="E86" s="28" t="s">
        <v>154</v>
      </c>
      <c r="F86" s="28" t="s">
        <v>13</v>
      </c>
      <c r="G86" s="28" t="s">
        <v>14</v>
      </c>
      <c r="H86" s="28" t="s">
        <v>13</v>
      </c>
      <c r="I86" s="28"/>
      <c r="J86" s="28"/>
      <c r="K86" s="31" t="s">
        <v>13</v>
      </c>
      <c r="L86" s="31" t="s">
        <v>13</v>
      </c>
      <c r="M86" s="31" t="s">
        <v>16</v>
      </c>
      <c r="N86" s="31" t="s">
        <v>16</v>
      </c>
      <c r="O86" s="31" t="s">
        <v>16</v>
      </c>
      <c r="P86" s="32" t="s">
        <v>16</v>
      </c>
      <c r="Q86" s="32" t="s">
        <v>16</v>
      </c>
      <c r="R86" s="32" t="s">
        <v>16</v>
      </c>
      <c r="S86" s="32" t="s">
        <v>16</v>
      </c>
      <c r="T86" s="33" t="s">
        <v>13</v>
      </c>
      <c r="U86" s="33" t="s">
        <v>16</v>
      </c>
      <c r="V86" s="33" t="s">
        <v>16</v>
      </c>
      <c r="W86" s="34" t="s">
        <v>16</v>
      </c>
      <c r="X86" s="34" t="s">
        <v>16</v>
      </c>
      <c r="Y86" s="34" t="s">
        <v>16</v>
      </c>
      <c r="Z86" s="34" t="s">
        <v>16</v>
      </c>
      <c r="AA86" s="35" t="s">
        <v>16</v>
      </c>
      <c r="AB86" s="35" t="s">
        <v>16</v>
      </c>
      <c r="AC86" s="35" t="s">
        <v>16</v>
      </c>
      <c r="AD86" s="36" t="s">
        <v>13</v>
      </c>
      <c r="AE86" s="36" t="s">
        <v>13</v>
      </c>
      <c r="AF86" s="36" t="s">
        <v>16</v>
      </c>
      <c r="AG86" s="37" t="s">
        <v>13</v>
      </c>
      <c r="AH86" s="37" t="s">
        <v>16</v>
      </c>
      <c r="AI86" s="37" t="s">
        <v>16</v>
      </c>
      <c r="AJ86" s="37" t="s">
        <v>16</v>
      </c>
      <c r="AK86" s="37" t="s">
        <v>16</v>
      </c>
      <c r="AL86" s="38">
        <f t="shared" si="2"/>
        <v>4</v>
      </c>
      <c r="AM86" s="38">
        <f t="shared" si="3"/>
        <v>2</v>
      </c>
    </row>
    <row r="87" spans="1:39" ht="15" customHeight="1">
      <c r="A87" s="27">
        <v>86</v>
      </c>
      <c r="B87" s="28" t="s">
        <v>127</v>
      </c>
      <c r="C87" s="29" t="s">
        <v>148</v>
      </c>
      <c r="D87" s="28" t="s">
        <v>155</v>
      </c>
      <c r="E87" s="28" t="s">
        <v>152</v>
      </c>
      <c r="F87" s="28" t="s">
        <v>13</v>
      </c>
      <c r="G87" s="28" t="s">
        <v>14</v>
      </c>
      <c r="H87" s="28"/>
      <c r="I87" s="28"/>
      <c r="J87" s="28"/>
      <c r="K87" s="31" t="s">
        <v>13</v>
      </c>
      <c r="L87" s="31" t="s">
        <v>13</v>
      </c>
      <c r="M87" s="31" t="s">
        <v>16</v>
      </c>
      <c r="N87" s="31" t="s">
        <v>16</v>
      </c>
      <c r="O87" s="31" t="s">
        <v>16</v>
      </c>
      <c r="P87" s="32" t="s">
        <v>16</v>
      </c>
      <c r="Q87" s="32" t="s">
        <v>16</v>
      </c>
      <c r="R87" s="32" t="s">
        <v>16</v>
      </c>
      <c r="S87" s="32" t="s">
        <v>16</v>
      </c>
      <c r="T87" s="33" t="s">
        <v>13</v>
      </c>
      <c r="U87" s="33" t="s">
        <v>13</v>
      </c>
      <c r="V87" s="33" t="s">
        <v>16</v>
      </c>
      <c r="W87" s="34" t="s">
        <v>16</v>
      </c>
      <c r="X87" s="34" t="s">
        <v>16</v>
      </c>
      <c r="Y87" s="34" t="s">
        <v>16</v>
      </c>
      <c r="Z87" s="34" t="s">
        <v>16</v>
      </c>
      <c r="AA87" s="35" t="s">
        <v>16</v>
      </c>
      <c r="AB87" s="35" t="s">
        <v>16</v>
      </c>
      <c r="AC87" s="35" t="s">
        <v>16</v>
      </c>
      <c r="AD87" s="36" t="s">
        <v>13</v>
      </c>
      <c r="AE87" s="36" t="s">
        <v>13</v>
      </c>
      <c r="AF87" s="36" t="s">
        <v>16</v>
      </c>
      <c r="AG87" s="37" t="s">
        <v>13</v>
      </c>
      <c r="AH87" s="37" t="s">
        <v>16</v>
      </c>
      <c r="AI87" s="37" t="s">
        <v>16</v>
      </c>
      <c r="AJ87" s="37" t="s">
        <v>16</v>
      </c>
      <c r="AK87" s="37" t="s">
        <v>16</v>
      </c>
      <c r="AL87" s="38">
        <f t="shared" si="2"/>
        <v>4</v>
      </c>
      <c r="AM87" s="38">
        <f t="shared" si="3"/>
        <v>3</v>
      </c>
    </row>
    <row r="88" spans="1:39" ht="15" customHeight="1">
      <c r="A88" s="27">
        <v>87</v>
      </c>
      <c r="B88" s="28" t="s">
        <v>127</v>
      </c>
      <c r="C88" s="29" t="s">
        <v>148</v>
      </c>
      <c r="D88" s="28" t="s">
        <v>156</v>
      </c>
      <c r="E88" s="28" t="s">
        <v>157</v>
      </c>
      <c r="F88" s="28" t="s">
        <v>13</v>
      </c>
      <c r="G88" s="28" t="s">
        <v>14</v>
      </c>
      <c r="H88" s="28" t="s">
        <v>13</v>
      </c>
      <c r="I88" s="28"/>
      <c r="J88" s="28"/>
      <c r="K88" s="31" t="s">
        <v>13</v>
      </c>
      <c r="L88" s="31" t="s">
        <v>13</v>
      </c>
      <c r="M88" s="31" t="s">
        <v>16</v>
      </c>
      <c r="N88" s="31" t="s">
        <v>16</v>
      </c>
      <c r="O88" s="31" t="s">
        <v>16</v>
      </c>
      <c r="P88" s="32" t="s">
        <v>16</v>
      </c>
      <c r="Q88" s="32" t="s">
        <v>16</v>
      </c>
      <c r="R88" s="32" t="s">
        <v>16</v>
      </c>
      <c r="S88" s="32" t="s">
        <v>16</v>
      </c>
      <c r="T88" s="33" t="s">
        <v>16</v>
      </c>
      <c r="U88" s="33" t="s">
        <v>16</v>
      </c>
      <c r="V88" s="33" t="s">
        <v>16</v>
      </c>
      <c r="W88" s="34" t="s">
        <v>16</v>
      </c>
      <c r="X88" s="34" t="s">
        <v>16</v>
      </c>
      <c r="Y88" s="34" t="s">
        <v>16</v>
      </c>
      <c r="Z88" s="34" t="s">
        <v>16</v>
      </c>
      <c r="AA88" s="35" t="s">
        <v>16</v>
      </c>
      <c r="AB88" s="35" t="s">
        <v>16</v>
      </c>
      <c r="AC88" s="35" t="s">
        <v>16</v>
      </c>
      <c r="AD88" s="36" t="s">
        <v>16</v>
      </c>
      <c r="AE88" s="36" t="s">
        <v>16</v>
      </c>
      <c r="AF88" s="36" t="s">
        <v>16</v>
      </c>
      <c r="AG88" s="37" t="s">
        <v>13</v>
      </c>
      <c r="AH88" s="37" t="s">
        <v>16</v>
      </c>
      <c r="AI88" s="37" t="s">
        <v>16</v>
      </c>
      <c r="AJ88" s="37" t="s">
        <v>16</v>
      </c>
      <c r="AK88" s="37" t="s">
        <v>16</v>
      </c>
      <c r="AL88" s="38">
        <f t="shared" si="2"/>
        <v>2</v>
      </c>
      <c r="AM88" s="38">
        <f t="shared" si="3"/>
        <v>1</v>
      </c>
    </row>
    <row r="89" spans="1:39" ht="15" customHeight="1">
      <c r="A89" s="27">
        <v>88</v>
      </c>
      <c r="B89" s="28" t="s">
        <v>127</v>
      </c>
      <c r="C89" s="29" t="s">
        <v>148</v>
      </c>
      <c r="D89" s="28" t="s">
        <v>158</v>
      </c>
      <c r="E89" s="28" t="s">
        <v>159</v>
      </c>
      <c r="F89" s="28" t="s">
        <v>13</v>
      </c>
      <c r="G89" s="28" t="s">
        <v>14</v>
      </c>
      <c r="H89" s="28"/>
      <c r="I89" s="28"/>
      <c r="J89" s="28"/>
      <c r="K89" s="31" t="s">
        <v>13</v>
      </c>
      <c r="L89" s="31" t="s">
        <v>18</v>
      </c>
      <c r="M89" s="31" t="s">
        <v>16</v>
      </c>
      <c r="N89" s="31" t="s">
        <v>18</v>
      </c>
      <c r="O89" s="31" t="s">
        <v>16</v>
      </c>
      <c r="P89" s="32" t="s">
        <v>13</v>
      </c>
      <c r="Q89" s="32" t="s">
        <v>13</v>
      </c>
      <c r="R89" s="32" t="s">
        <v>16</v>
      </c>
      <c r="S89" s="32" t="s">
        <v>16</v>
      </c>
      <c r="T89" s="33" t="s">
        <v>16</v>
      </c>
      <c r="U89" s="33" t="s">
        <v>16</v>
      </c>
      <c r="V89" s="33" t="s">
        <v>16</v>
      </c>
      <c r="W89" s="34" t="s">
        <v>16</v>
      </c>
      <c r="X89" s="34" t="s">
        <v>16</v>
      </c>
      <c r="Y89" s="34" t="s">
        <v>16</v>
      </c>
      <c r="Z89" s="34" t="s">
        <v>16</v>
      </c>
      <c r="AA89" s="35" t="s">
        <v>16</v>
      </c>
      <c r="AB89" s="35" t="s">
        <v>16</v>
      </c>
      <c r="AC89" s="35" t="s">
        <v>16</v>
      </c>
      <c r="AD89" s="36" t="s">
        <v>13</v>
      </c>
      <c r="AE89" s="36" t="s">
        <v>13</v>
      </c>
      <c r="AF89" s="36" t="s">
        <v>16</v>
      </c>
      <c r="AG89" s="37" t="s">
        <v>13</v>
      </c>
      <c r="AH89" s="37" t="s">
        <v>16</v>
      </c>
      <c r="AI89" s="37" t="s">
        <v>16</v>
      </c>
      <c r="AJ89" s="37" t="s">
        <v>13</v>
      </c>
      <c r="AK89" s="37" t="s">
        <v>16</v>
      </c>
      <c r="AL89" s="38">
        <f t="shared" si="2"/>
        <v>4</v>
      </c>
      <c r="AM89" s="38">
        <f t="shared" si="3"/>
        <v>3</v>
      </c>
    </row>
    <row r="90" spans="1:39" ht="15" customHeight="1">
      <c r="A90" s="27">
        <v>89</v>
      </c>
      <c r="B90" s="28" t="s">
        <v>127</v>
      </c>
      <c r="C90" s="29" t="s">
        <v>148</v>
      </c>
      <c r="D90" s="28" t="s">
        <v>160</v>
      </c>
      <c r="E90" s="28" t="s">
        <v>152</v>
      </c>
      <c r="F90" s="28" t="s">
        <v>13</v>
      </c>
      <c r="G90" s="28" t="s">
        <v>14</v>
      </c>
      <c r="H90" s="28"/>
      <c r="I90" s="28"/>
      <c r="J90" s="28"/>
      <c r="K90" s="31" t="s">
        <v>13</v>
      </c>
      <c r="L90" s="31" t="s">
        <v>15</v>
      </c>
      <c r="M90" s="31" t="s">
        <v>16</v>
      </c>
      <c r="N90" s="31" t="s">
        <v>16</v>
      </c>
      <c r="O90" s="31" t="s">
        <v>16</v>
      </c>
      <c r="P90" s="32" t="s">
        <v>16</v>
      </c>
      <c r="Q90" s="32" t="s">
        <v>16</v>
      </c>
      <c r="R90" s="32" t="s">
        <v>16</v>
      </c>
      <c r="S90" s="32" t="s">
        <v>16</v>
      </c>
      <c r="T90" s="33" t="s">
        <v>16</v>
      </c>
      <c r="U90" s="33" t="s">
        <v>16</v>
      </c>
      <c r="V90" s="33" t="s">
        <v>16</v>
      </c>
      <c r="W90" s="34" t="s">
        <v>16</v>
      </c>
      <c r="X90" s="34" t="s">
        <v>16</v>
      </c>
      <c r="Y90" s="34" t="s">
        <v>16</v>
      </c>
      <c r="Z90" s="34" t="s">
        <v>16</v>
      </c>
      <c r="AA90" s="35" t="s">
        <v>16</v>
      </c>
      <c r="AB90" s="35" t="s">
        <v>16</v>
      </c>
      <c r="AC90" s="35" t="s">
        <v>16</v>
      </c>
      <c r="AD90" s="36" t="s">
        <v>13</v>
      </c>
      <c r="AE90" s="36" t="s">
        <v>18</v>
      </c>
      <c r="AF90" s="36" t="s">
        <v>16</v>
      </c>
      <c r="AG90" s="37" t="s">
        <v>13</v>
      </c>
      <c r="AH90" s="37" t="s">
        <v>16</v>
      </c>
      <c r="AI90" s="37" t="s">
        <v>16</v>
      </c>
      <c r="AJ90" s="37" t="s">
        <v>16</v>
      </c>
      <c r="AK90" s="37" t="s">
        <v>16</v>
      </c>
      <c r="AL90" s="38">
        <f t="shared" si="2"/>
        <v>3</v>
      </c>
      <c r="AM90" s="38">
        <f t="shared" si="3"/>
        <v>0</v>
      </c>
    </row>
    <row r="91" spans="1:39" ht="15" customHeight="1">
      <c r="A91" s="27">
        <v>90</v>
      </c>
      <c r="B91" s="28" t="s">
        <v>127</v>
      </c>
      <c r="C91" s="29" t="s">
        <v>148</v>
      </c>
      <c r="D91" s="28" t="s">
        <v>161</v>
      </c>
      <c r="E91" s="28" t="s">
        <v>162</v>
      </c>
      <c r="F91" s="28" t="s">
        <v>13</v>
      </c>
      <c r="G91" s="28" t="s">
        <v>14</v>
      </c>
      <c r="H91" s="28"/>
      <c r="I91" s="28"/>
      <c r="J91" s="28"/>
      <c r="K91" s="31" t="s">
        <v>16</v>
      </c>
      <c r="L91" s="31" t="s">
        <v>16</v>
      </c>
      <c r="M91" s="31" t="s">
        <v>16</v>
      </c>
      <c r="N91" s="31" t="s">
        <v>16</v>
      </c>
      <c r="O91" s="31" t="s">
        <v>16</v>
      </c>
      <c r="P91" s="32" t="s">
        <v>16</v>
      </c>
      <c r="Q91" s="32" t="s">
        <v>16</v>
      </c>
      <c r="R91" s="32" t="s">
        <v>16</v>
      </c>
      <c r="S91" s="32" t="s">
        <v>16</v>
      </c>
      <c r="T91" s="33" t="s">
        <v>16</v>
      </c>
      <c r="U91" s="33" t="s">
        <v>16</v>
      </c>
      <c r="V91" s="33" t="s">
        <v>16</v>
      </c>
      <c r="W91" s="34" t="s">
        <v>16</v>
      </c>
      <c r="X91" s="34" t="s">
        <v>16</v>
      </c>
      <c r="Y91" s="34" t="s">
        <v>16</v>
      </c>
      <c r="Z91" s="34" t="s">
        <v>16</v>
      </c>
      <c r="AA91" s="35" t="s">
        <v>16</v>
      </c>
      <c r="AB91" s="35" t="s">
        <v>16</v>
      </c>
      <c r="AC91" s="35" t="s">
        <v>16</v>
      </c>
      <c r="AD91" s="36" t="s">
        <v>13</v>
      </c>
      <c r="AE91" s="36" t="s">
        <v>13</v>
      </c>
      <c r="AF91" s="36" t="s">
        <v>16</v>
      </c>
      <c r="AG91" s="37" t="s">
        <v>13</v>
      </c>
      <c r="AH91" s="37" t="s">
        <v>16</v>
      </c>
      <c r="AI91" s="37" t="s">
        <v>16</v>
      </c>
      <c r="AJ91" s="37" t="s">
        <v>16</v>
      </c>
      <c r="AK91" s="37" t="s">
        <v>16</v>
      </c>
      <c r="AL91" s="38">
        <f t="shared" si="2"/>
        <v>2</v>
      </c>
      <c r="AM91" s="38">
        <f t="shared" si="3"/>
        <v>1</v>
      </c>
    </row>
    <row r="92" spans="1:39" ht="15" customHeight="1">
      <c r="A92" s="27">
        <v>91</v>
      </c>
      <c r="B92" s="28" t="s">
        <v>127</v>
      </c>
      <c r="C92" s="29" t="s">
        <v>148</v>
      </c>
      <c r="D92" s="30" t="s">
        <v>163</v>
      </c>
      <c r="E92" s="28" t="s">
        <v>12</v>
      </c>
      <c r="F92" s="28" t="s">
        <v>13</v>
      </c>
      <c r="G92" s="28" t="s">
        <v>14</v>
      </c>
      <c r="H92" s="28"/>
      <c r="I92" s="28"/>
      <c r="J92" s="28"/>
      <c r="K92" s="31" t="s">
        <v>13</v>
      </c>
      <c r="L92" s="31" t="s">
        <v>18</v>
      </c>
      <c r="M92" s="31" t="s">
        <v>16</v>
      </c>
      <c r="N92" s="31" t="s">
        <v>16</v>
      </c>
      <c r="O92" s="31" t="s">
        <v>16</v>
      </c>
      <c r="P92" s="32" t="s">
        <v>16</v>
      </c>
      <c r="Q92" s="32" t="s">
        <v>16</v>
      </c>
      <c r="R92" s="32" t="s">
        <v>16</v>
      </c>
      <c r="S92" s="32" t="s">
        <v>16</v>
      </c>
      <c r="T92" s="33" t="s">
        <v>16</v>
      </c>
      <c r="U92" s="33" t="s">
        <v>16</v>
      </c>
      <c r="V92" s="33" t="s">
        <v>16</v>
      </c>
      <c r="W92" s="34" t="s">
        <v>16</v>
      </c>
      <c r="X92" s="34" t="s">
        <v>16</v>
      </c>
      <c r="Y92" s="34" t="s">
        <v>16</v>
      </c>
      <c r="Z92" s="34" t="s">
        <v>16</v>
      </c>
      <c r="AA92" s="35" t="s">
        <v>16</v>
      </c>
      <c r="AB92" s="35" t="s">
        <v>16</v>
      </c>
      <c r="AC92" s="35" t="s">
        <v>16</v>
      </c>
      <c r="AD92" s="36" t="s">
        <v>13</v>
      </c>
      <c r="AE92" s="36" t="s">
        <v>13</v>
      </c>
      <c r="AF92" s="36" t="s">
        <v>16</v>
      </c>
      <c r="AG92" s="37" t="s">
        <v>13</v>
      </c>
      <c r="AH92" s="37" t="s">
        <v>16</v>
      </c>
      <c r="AI92" s="37" t="s">
        <v>16</v>
      </c>
      <c r="AJ92" s="37" t="s">
        <v>16</v>
      </c>
      <c r="AK92" s="37" t="s">
        <v>16</v>
      </c>
      <c r="AL92" s="38">
        <f t="shared" si="2"/>
        <v>3</v>
      </c>
      <c r="AM92" s="38">
        <f t="shared" si="3"/>
        <v>1</v>
      </c>
    </row>
    <row r="93" spans="1:39" ht="15" customHeight="1">
      <c r="A93" s="27">
        <v>92</v>
      </c>
      <c r="B93" s="28" t="s">
        <v>127</v>
      </c>
      <c r="C93" s="29" t="s">
        <v>164</v>
      </c>
      <c r="D93" s="28" t="s">
        <v>165</v>
      </c>
      <c r="E93" s="28" t="s">
        <v>166</v>
      </c>
      <c r="F93" s="28" t="s">
        <v>13</v>
      </c>
      <c r="G93" s="28"/>
      <c r="H93" s="28"/>
      <c r="I93" s="28"/>
      <c r="J93" s="28"/>
      <c r="K93" s="31" t="s">
        <v>16</v>
      </c>
      <c r="L93" s="31" t="s">
        <v>16</v>
      </c>
      <c r="M93" s="31" t="s">
        <v>16</v>
      </c>
      <c r="N93" s="31" t="s">
        <v>16</v>
      </c>
      <c r="O93" s="31" t="s">
        <v>16</v>
      </c>
      <c r="P93" s="32" t="s">
        <v>16</v>
      </c>
      <c r="Q93" s="32" t="s">
        <v>16</v>
      </c>
      <c r="R93" s="32" t="s">
        <v>16</v>
      </c>
      <c r="S93" s="32" t="s">
        <v>16</v>
      </c>
      <c r="T93" s="33" t="s">
        <v>16</v>
      </c>
      <c r="U93" s="33" t="s">
        <v>16</v>
      </c>
      <c r="V93" s="33" t="s">
        <v>16</v>
      </c>
      <c r="W93" s="34" t="s">
        <v>16</v>
      </c>
      <c r="X93" s="34" t="s">
        <v>16</v>
      </c>
      <c r="Y93" s="34" t="s">
        <v>16</v>
      </c>
      <c r="Z93" s="34" t="s">
        <v>16</v>
      </c>
      <c r="AA93" s="35" t="s">
        <v>16</v>
      </c>
      <c r="AB93" s="35" t="s">
        <v>16</v>
      </c>
      <c r="AC93" s="35" t="s">
        <v>16</v>
      </c>
      <c r="AD93" s="36" t="s">
        <v>13</v>
      </c>
      <c r="AE93" s="36" t="s">
        <v>18</v>
      </c>
      <c r="AF93" s="36" t="s">
        <v>16</v>
      </c>
      <c r="AG93" s="37" t="s">
        <v>13</v>
      </c>
      <c r="AH93" s="37" t="s">
        <v>16</v>
      </c>
      <c r="AI93" s="37" t="s">
        <v>16</v>
      </c>
      <c r="AJ93" s="37" t="s">
        <v>16</v>
      </c>
      <c r="AK93" s="37" t="s">
        <v>16</v>
      </c>
      <c r="AL93" s="38">
        <f t="shared" si="2"/>
        <v>2</v>
      </c>
      <c r="AM93" s="38">
        <f t="shared" si="3"/>
        <v>0</v>
      </c>
    </row>
    <row r="94" spans="1:39" ht="15" customHeight="1">
      <c r="A94" s="27">
        <v>93</v>
      </c>
      <c r="B94" s="28" t="s">
        <v>127</v>
      </c>
      <c r="C94" s="29" t="s">
        <v>164</v>
      </c>
      <c r="D94" s="28" t="s">
        <v>167</v>
      </c>
      <c r="E94" s="28" t="s">
        <v>68</v>
      </c>
      <c r="F94" s="28" t="s">
        <v>13</v>
      </c>
      <c r="G94" s="28"/>
      <c r="H94" s="28" t="s">
        <v>13</v>
      </c>
      <c r="I94" s="28"/>
      <c r="J94" s="28"/>
      <c r="K94" s="31" t="s">
        <v>16</v>
      </c>
      <c r="L94" s="31" t="s">
        <v>16</v>
      </c>
      <c r="M94" s="31" t="s">
        <v>16</v>
      </c>
      <c r="N94" s="31" t="s">
        <v>16</v>
      </c>
      <c r="O94" s="31" t="s">
        <v>16</v>
      </c>
      <c r="P94" s="32" t="s">
        <v>16</v>
      </c>
      <c r="Q94" s="32" t="s">
        <v>16</v>
      </c>
      <c r="R94" s="32" t="s">
        <v>16</v>
      </c>
      <c r="S94" s="32" t="s">
        <v>16</v>
      </c>
      <c r="T94" s="33" t="s">
        <v>16</v>
      </c>
      <c r="U94" s="33" t="s">
        <v>16</v>
      </c>
      <c r="V94" s="33" t="s">
        <v>16</v>
      </c>
      <c r="W94" s="34" t="s">
        <v>16</v>
      </c>
      <c r="X94" s="34" t="s">
        <v>16</v>
      </c>
      <c r="Y94" s="34" t="s">
        <v>16</v>
      </c>
      <c r="Z94" s="34" t="s">
        <v>16</v>
      </c>
      <c r="AA94" s="35" t="s">
        <v>16</v>
      </c>
      <c r="AB94" s="35" t="s">
        <v>16</v>
      </c>
      <c r="AC94" s="35" t="s">
        <v>16</v>
      </c>
      <c r="AD94" s="36" t="s">
        <v>16</v>
      </c>
      <c r="AE94" s="36" t="s">
        <v>16</v>
      </c>
      <c r="AF94" s="36" t="s">
        <v>16</v>
      </c>
      <c r="AG94" s="37" t="s">
        <v>13</v>
      </c>
      <c r="AH94" s="37" t="s">
        <v>16</v>
      </c>
      <c r="AI94" s="37" t="s">
        <v>16</v>
      </c>
      <c r="AJ94" s="37" t="s">
        <v>16</v>
      </c>
      <c r="AK94" s="37" t="s">
        <v>16</v>
      </c>
      <c r="AL94" s="38">
        <f t="shared" si="2"/>
        <v>1</v>
      </c>
      <c r="AM94" s="38">
        <f t="shared" si="3"/>
        <v>0</v>
      </c>
    </row>
    <row r="95" spans="1:39" ht="15" customHeight="1">
      <c r="A95" s="27">
        <v>94</v>
      </c>
      <c r="B95" s="28" t="s">
        <v>127</v>
      </c>
      <c r="C95" s="29" t="s">
        <v>164</v>
      </c>
      <c r="D95" s="28" t="s">
        <v>168</v>
      </c>
      <c r="E95" s="28" t="s">
        <v>166</v>
      </c>
      <c r="F95" s="28" t="s">
        <v>13</v>
      </c>
      <c r="G95" s="28"/>
      <c r="H95" s="28"/>
      <c r="I95" s="28"/>
      <c r="J95" s="28"/>
      <c r="K95" s="31" t="s">
        <v>16</v>
      </c>
      <c r="L95" s="31" t="s">
        <v>16</v>
      </c>
      <c r="M95" s="31" t="s">
        <v>16</v>
      </c>
      <c r="N95" s="31" t="s">
        <v>16</v>
      </c>
      <c r="O95" s="31" t="s">
        <v>16</v>
      </c>
      <c r="P95" s="32" t="s">
        <v>16</v>
      </c>
      <c r="Q95" s="32" t="s">
        <v>16</v>
      </c>
      <c r="R95" s="32" t="s">
        <v>16</v>
      </c>
      <c r="S95" s="32" t="s">
        <v>16</v>
      </c>
      <c r="T95" s="33" t="s">
        <v>16</v>
      </c>
      <c r="U95" s="33" t="s">
        <v>16</v>
      </c>
      <c r="V95" s="33" t="s">
        <v>16</v>
      </c>
      <c r="W95" s="34" t="s">
        <v>16</v>
      </c>
      <c r="X95" s="34" t="s">
        <v>16</v>
      </c>
      <c r="Y95" s="34" t="s">
        <v>16</v>
      </c>
      <c r="Z95" s="34" t="s">
        <v>16</v>
      </c>
      <c r="AA95" s="35" t="s">
        <v>16</v>
      </c>
      <c r="AB95" s="35" t="s">
        <v>16</v>
      </c>
      <c r="AC95" s="35" t="s">
        <v>16</v>
      </c>
      <c r="AD95" s="36" t="s">
        <v>13</v>
      </c>
      <c r="AE95" s="36" t="s">
        <v>13</v>
      </c>
      <c r="AF95" s="36" t="s">
        <v>16</v>
      </c>
      <c r="AG95" s="37" t="s">
        <v>13</v>
      </c>
      <c r="AH95" s="37" t="s">
        <v>16</v>
      </c>
      <c r="AI95" s="37" t="s">
        <v>16</v>
      </c>
      <c r="AJ95" s="37" t="s">
        <v>16</v>
      </c>
      <c r="AK95" s="37" t="s">
        <v>16</v>
      </c>
      <c r="AL95" s="38">
        <f t="shared" si="2"/>
        <v>2</v>
      </c>
      <c r="AM95" s="38">
        <f t="shared" si="3"/>
        <v>1</v>
      </c>
    </row>
    <row r="96" spans="1:39" ht="15" customHeight="1">
      <c r="A96" s="27">
        <v>95</v>
      </c>
      <c r="B96" s="28" t="s">
        <v>127</v>
      </c>
      <c r="C96" s="29" t="s">
        <v>164</v>
      </c>
      <c r="D96" s="28" t="s">
        <v>169</v>
      </c>
      <c r="E96" s="28" t="s">
        <v>166</v>
      </c>
      <c r="F96" s="28" t="s">
        <v>13</v>
      </c>
      <c r="G96" s="28"/>
      <c r="H96" s="28"/>
      <c r="I96" s="28"/>
      <c r="J96" s="28"/>
      <c r="K96" s="31" t="s">
        <v>16</v>
      </c>
      <c r="L96" s="31" t="s">
        <v>16</v>
      </c>
      <c r="M96" s="31" t="s">
        <v>16</v>
      </c>
      <c r="N96" s="31" t="s">
        <v>16</v>
      </c>
      <c r="O96" s="31" t="s">
        <v>16</v>
      </c>
      <c r="P96" s="32" t="s">
        <v>16</v>
      </c>
      <c r="Q96" s="32" t="s">
        <v>16</v>
      </c>
      <c r="R96" s="32" t="s">
        <v>16</v>
      </c>
      <c r="S96" s="32" t="s">
        <v>16</v>
      </c>
      <c r="T96" s="33" t="s">
        <v>16</v>
      </c>
      <c r="U96" s="33" t="s">
        <v>16</v>
      </c>
      <c r="V96" s="33" t="s">
        <v>16</v>
      </c>
      <c r="W96" s="34" t="s">
        <v>16</v>
      </c>
      <c r="X96" s="34" t="s">
        <v>16</v>
      </c>
      <c r="Y96" s="34" t="s">
        <v>16</v>
      </c>
      <c r="Z96" s="34" t="s">
        <v>16</v>
      </c>
      <c r="AA96" s="35" t="s">
        <v>16</v>
      </c>
      <c r="AB96" s="35" t="s">
        <v>16</v>
      </c>
      <c r="AC96" s="35" t="s">
        <v>16</v>
      </c>
      <c r="AD96" s="36" t="s">
        <v>13</v>
      </c>
      <c r="AE96" s="36" t="s">
        <v>18</v>
      </c>
      <c r="AF96" s="36" t="s">
        <v>16</v>
      </c>
      <c r="AG96" s="37" t="s">
        <v>13</v>
      </c>
      <c r="AH96" s="37" t="s">
        <v>16</v>
      </c>
      <c r="AI96" s="37" t="s">
        <v>16</v>
      </c>
      <c r="AJ96" s="37" t="s">
        <v>13</v>
      </c>
      <c r="AK96" s="37" t="s">
        <v>16</v>
      </c>
      <c r="AL96" s="38">
        <f t="shared" si="2"/>
        <v>2</v>
      </c>
      <c r="AM96" s="38">
        <f t="shared" si="3"/>
        <v>1</v>
      </c>
    </row>
    <row r="97" spans="1:39" ht="15" customHeight="1">
      <c r="A97" s="27">
        <v>96</v>
      </c>
      <c r="B97" s="28" t="s">
        <v>127</v>
      </c>
      <c r="C97" s="29" t="s">
        <v>164</v>
      </c>
      <c r="D97" s="28" t="s">
        <v>170</v>
      </c>
      <c r="E97" s="28" t="s">
        <v>141</v>
      </c>
      <c r="F97" s="28" t="s">
        <v>13</v>
      </c>
      <c r="G97" s="28"/>
      <c r="H97" s="28"/>
      <c r="I97" s="28"/>
      <c r="J97" s="28"/>
      <c r="K97" s="31" t="s">
        <v>16</v>
      </c>
      <c r="L97" s="31" t="s">
        <v>16</v>
      </c>
      <c r="M97" s="31" t="s">
        <v>16</v>
      </c>
      <c r="N97" s="31" t="s">
        <v>16</v>
      </c>
      <c r="O97" s="31" t="s">
        <v>16</v>
      </c>
      <c r="P97" s="32" t="s">
        <v>16</v>
      </c>
      <c r="Q97" s="32" t="s">
        <v>16</v>
      </c>
      <c r="R97" s="32" t="s">
        <v>16</v>
      </c>
      <c r="S97" s="32" t="s">
        <v>16</v>
      </c>
      <c r="T97" s="33" t="s">
        <v>16</v>
      </c>
      <c r="U97" s="33" t="s">
        <v>16</v>
      </c>
      <c r="V97" s="33" t="s">
        <v>16</v>
      </c>
      <c r="W97" s="34" t="s">
        <v>16</v>
      </c>
      <c r="X97" s="34" t="s">
        <v>16</v>
      </c>
      <c r="Y97" s="34" t="s">
        <v>16</v>
      </c>
      <c r="Z97" s="34" t="s">
        <v>16</v>
      </c>
      <c r="AA97" s="35" t="s">
        <v>16</v>
      </c>
      <c r="AB97" s="35" t="s">
        <v>16</v>
      </c>
      <c r="AC97" s="35" t="s">
        <v>16</v>
      </c>
      <c r="AD97" s="36" t="s">
        <v>13</v>
      </c>
      <c r="AE97" s="36" t="s">
        <v>13</v>
      </c>
      <c r="AF97" s="36" t="s">
        <v>16</v>
      </c>
      <c r="AG97" s="37" t="s">
        <v>13</v>
      </c>
      <c r="AH97" s="37" t="s">
        <v>16</v>
      </c>
      <c r="AI97" s="37" t="s">
        <v>16</v>
      </c>
      <c r="AJ97" s="37" t="s">
        <v>16</v>
      </c>
      <c r="AK97" s="37" t="s">
        <v>16</v>
      </c>
      <c r="AL97" s="38">
        <f t="shared" si="2"/>
        <v>2</v>
      </c>
      <c r="AM97" s="38">
        <f t="shared" si="3"/>
        <v>1</v>
      </c>
    </row>
    <row r="98" spans="1:39" ht="15" customHeight="1">
      <c r="A98" s="27">
        <v>97</v>
      </c>
      <c r="B98" s="28" t="s">
        <v>127</v>
      </c>
      <c r="C98" s="29" t="s">
        <v>164</v>
      </c>
      <c r="D98" s="28" t="s">
        <v>171</v>
      </c>
      <c r="E98" s="28" t="s">
        <v>68</v>
      </c>
      <c r="F98" s="28" t="s">
        <v>13</v>
      </c>
      <c r="G98" s="28"/>
      <c r="H98" s="28"/>
      <c r="I98" s="28"/>
      <c r="J98" s="28"/>
      <c r="K98" s="31" t="s">
        <v>16</v>
      </c>
      <c r="L98" s="31" t="s">
        <v>16</v>
      </c>
      <c r="M98" s="31" t="s">
        <v>16</v>
      </c>
      <c r="N98" s="31" t="s">
        <v>16</v>
      </c>
      <c r="O98" s="31" t="s">
        <v>16</v>
      </c>
      <c r="P98" s="32" t="s">
        <v>16</v>
      </c>
      <c r="Q98" s="32" t="s">
        <v>16</v>
      </c>
      <c r="R98" s="32" t="s">
        <v>16</v>
      </c>
      <c r="S98" s="32" t="s">
        <v>16</v>
      </c>
      <c r="T98" s="33" t="s">
        <v>16</v>
      </c>
      <c r="U98" s="33" t="s">
        <v>16</v>
      </c>
      <c r="V98" s="33" t="s">
        <v>16</v>
      </c>
      <c r="W98" s="34" t="s">
        <v>16</v>
      </c>
      <c r="X98" s="34" t="s">
        <v>16</v>
      </c>
      <c r="Y98" s="34" t="s">
        <v>16</v>
      </c>
      <c r="Z98" s="34" t="s">
        <v>16</v>
      </c>
      <c r="AA98" s="35" t="s">
        <v>16</v>
      </c>
      <c r="AB98" s="35" t="s">
        <v>16</v>
      </c>
      <c r="AC98" s="35" t="s">
        <v>16</v>
      </c>
      <c r="AD98" s="36" t="s">
        <v>13</v>
      </c>
      <c r="AE98" s="36" t="s">
        <v>13</v>
      </c>
      <c r="AF98" s="36" t="s">
        <v>16</v>
      </c>
      <c r="AG98" s="37" t="s">
        <v>13</v>
      </c>
      <c r="AH98" s="37" t="s">
        <v>16</v>
      </c>
      <c r="AI98" s="37" t="s">
        <v>16</v>
      </c>
      <c r="AJ98" s="37" t="s">
        <v>13</v>
      </c>
      <c r="AK98" s="37" t="s">
        <v>16</v>
      </c>
      <c r="AL98" s="38">
        <f t="shared" si="2"/>
        <v>2</v>
      </c>
      <c r="AM98" s="38">
        <f t="shared" si="3"/>
        <v>2</v>
      </c>
    </row>
    <row r="99" spans="1:39" ht="15" customHeight="1">
      <c r="A99" s="27">
        <v>98</v>
      </c>
      <c r="B99" s="28" t="s">
        <v>127</v>
      </c>
      <c r="C99" s="29" t="s">
        <v>172</v>
      </c>
      <c r="D99" s="28" t="s">
        <v>173</v>
      </c>
      <c r="E99" s="28" t="s">
        <v>174</v>
      </c>
      <c r="F99" s="28" t="s">
        <v>13</v>
      </c>
      <c r="G99" s="28" t="s">
        <v>13</v>
      </c>
      <c r="H99" s="28"/>
      <c r="I99" s="28"/>
      <c r="J99" s="28"/>
      <c r="K99" s="31" t="s">
        <v>13</v>
      </c>
      <c r="L99" s="31" t="s">
        <v>18</v>
      </c>
      <c r="M99" s="31" t="s">
        <v>16</v>
      </c>
      <c r="N99" s="31" t="s">
        <v>13</v>
      </c>
      <c r="O99" s="31" t="s">
        <v>16</v>
      </c>
      <c r="P99" s="32" t="s">
        <v>16</v>
      </c>
      <c r="Q99" s="32" t="s">
        <v>16</v>
      </c>
      <c r="R99" s="32" t="s">
        <v>16</v>
      </c>
      <c r="S99" s="32" t="s">
        <v>16</v>
      </c>
      <c r="T99" s="33" t="s">
        <v>16</v>
      </c>
      <c r="U99" s="33" t="s">
        <v>16</v>
      </c>
      <c r="V99" s="33" t="s">
        <v>16</v>
      </c>
      <c r="W99" s="34" t="s">
        <v>16</v>
      </c>
      <c r="X99" s="34" t="s">
        <v>16</v>
      </c>
      <c r="Y99" s="34" t="s">
        <v>16</v>
      </c>
      <c r="Z99" s="34" t="s">
        <v>16</v>
      </c>
      <c r="AA99" s="35" t="s">
        <v>16</v>
      </c>
      <c r="AB99" s="35" t="s">
        <v>16</v>
      </c>
      <c r="AC99" s="35" t="s">
        <v>16</v>
      </c>
      <c r="AD99" s="36" t="s">
        <v>13</v>
      </c>
      <c r="AE99" s="36" t="s">
        <v>13</v>
      </c>
      <c r="AF99" s="36" t="s">
        <v>16</v>
      </c>
      <c r="AG99" s="37" t="s">
        <v>13</v>
      </c>
      <c r="AH99" s="37" t="s">
        <v>16</v>
      </c>
      <c r="AI99" s="37" t="s">
        <v>16</v>
      </c>
      <c r="AJ99" s="37" t="s">
        <v>13</v>
      </c>
      <c r="AK99" s="37" t="s">
        <v>16</v>
      </c>
      <c r="AL99" s="38">
        <f t="shared" si="2"/>
        <v>3</v>
      </c>
      <c r="AM99" s="38">
        <f t="shared" si="3"/>
        <v>3</v>
      </c>
    </row>
    <row r="100" spans="1:39" ht="15" customHeight="1">
      <c r="A100" s="27">
        <v>99</v>
      </c>
      <c r="B100" s="28" t="s">
        <v>127</v>
      </c>
      <c r="C100" s="29" t="s">
        <v>172</v>
      </c>
      <c r="D100" s="28" t="s">
        <v>175</v>
      </c>
      <c r="E100" s="28" t="s">
        <v>176</v>
      </c>
      <c r="F100" s="28" t="s">
        <v>13</v>
      </c>
      <c r="G100" s="28"/>
      <c r="H100" s="28"/>
      <c r="I100" s="28"/>
      <c r="J100" s="28"/>
      <c r="K100" s="31" t="s">
        <v>13</v>
      </c>
      <c r="L100" s="31" t="s">
        <v>13</v>
      </c>
      <c r="M100" s="31" t="s">
        <v>16</v>
      </c>
      <c r="N100" s="31" t="s">
        <v>16</v>
      </c>
      <c r="O100" s="31" t="s">
        <v>16</v>
      </c>
      <c r="P100" s="32" t="s">
        <v>16</v>
      </c>
      <c r="Q100" s="32" t="s">
        <v>16</v>
      </c>
      <c r="R100" s="32" t="s">
        <v>16</v>
      </c>
      <c r="S100" s="32" t="s">
        <v>16</v>
      </c>
      <c r="T100" s="33" t="s">
        <v>16</v>
      </c>
      <c r="U100" s="33" t="s">
        <v>16</v>
      </c>
      <c r="V100" s="33" t="s">
        <v>16</v>
      </c>
      <c r="W100" s="34" t="s">
        <v>16</v>
      </c>
      <c r="X100" s="34" t="s">
        <v>16</v>
      </c>
      <c r="Y100" s="34" t="s">
        <v>16</v>
      </c>
      <c r="Z100" s="34" t="s">
        <v>16</v>
      </c>
      <c r="AA100" s="35" t="s">
        <v>16</v>
      </c>
      <c r="AB100" s="35" t="s">
        <v>16</v>
      </c>
      <c r="AC100" s="35" t="s">
        <v>16</v>
      </c>
      <c r="AD100" s="36" t="s">
        <v>16</v>
      </c>
      <c r="AE100" s="36" t="s">
        <v>16</v>
      </c>
      <c r="AF100" s="36" t="s">
        <v>16</v>
      </c>
      <c r="AG100" s="37" t="s">
        <v>13</v>
      </c>
      <c r="AH100" s="37" t="s">
        <v>16</v>
      </c>
      <c r="AI100" s="37" t="s">
        <v>16</v>
      </c>
      <c r="AJ100" s="37" t="s">
        <v>16</v>
      </c>
      <c r="AK100" s="37" t="s">
        <v>16</v>
      </c>
      <c r="AL100" s="38">
        <f t="shared" si="2"/>
        <v>2</v>
      </c>
      <c r="AM100" s="38">
        <f t="shared" si="3"/>
        <v>1</v>
      </c>
    </row>
    <row r="101" spans="1:39" ht="15" customHeight="1">
      <c r="A101" s="27">
        <v>100</v>
      </c>
      <c r="B101" s="28" t="s">
        <v>127</v>
      </c>
      <c r="C101" s="29" t="s">
        <v>172</v>
      </c>
      <c r="D101" s="28" t="s">
        <v>177</v>
      </c>
      <c r="E101" s="28" t="s">
        <v>178</v>
      </c>
      <c r="F101" s="28" t="s">
        <v>13</v>
      </c>
      <c r="G101" s="28" t="s">
        <v>13</v>
      </c>
      <c r="H101" s="28"/>
      <c r="I101" s="28"/>
      <c r="J101" s="28"/>
      <c r="K101" s="31" t="s">
        <v>13</v>
      </c>
      <c r="L101" s="31" t="s">
        <v>18</v>
      </c>
      <c r="M101" s="31" t="s">
        <v>13</v>
      </c>
      <c r="N101" s="31" t="s">
        <v>13</v>
      </c>
      <c r="O101" s="31" t="s">
        <v>16</v>
      </c>
      <c r="P101" s="32" t="s">
        <v>16</v>
      </c>
      <c r="Q101" s="32" t="s">
        <v>16</v>
      </c>
      <c r="R101" s="32" t="s">
        <v>16</v>
      </c>
      <c r="S101" s="32" t="s">
        <v>16</v>
      </c>
      <c r="T101" s="33" t="s">
        <v>16</v>
      </c>
      <c r="U101" s="33" t="s">
        <v>16</v>
      </c>
      <c r="V101" s="33" t="s">
        <v>16</v>
      </c>
      <c r="W101" s="34" t="s">
        <v>16</v>
      </c>
      <c r="X101" s="34" t="s">
        <v>16</v>
      </c>
      <c r="Y101" s="34" t="s">
        <v>16</v>
      </c>
      <c r="Z101" s="34" t="s">
        <v>16</v>
      </c>
      <c r="AA101" s="35" t="s">
        <v>16</v>
      </c>
      <c r="AB101" s="35" t="s">
        <v>16</v>
      </c>
      <c r="AC101" s="35" t="s">
        <v>16</v>
      </c>
      <c r="AD101" s="36" t="s">
        <v>16</v>
      </c>
      <c r="AE101" s="36" t="s">
        <v>16</v>
      </c>
      <c r="AF101" s="36" t="s">
        <v>16</v>
      </c>
      <c r="AG101" s="37" t="s">
        <v>13</v>
      </c>
      <c r="AH101" s="37" t="s">
        <v>16</v>
      </c>
      <c r="AI101" s="37" t="s">
        <v>16</v>
      </c>
      <c r="AJ101" s="37" t="s">
        <v>13</v>
      </c>
      <c r="AK101" s="37" t="s">
        <v>16</v>
      </c>
      <c r="AL101" s="38">
        <f t="shared" si="2"/>
        <v>2</v>
      </c>
      <c r="AM101" s="38">
        <f t="shared" si="3"/>
        <v>3</v>
      </c>
    </row>
    <row r="102" spans="1:39" ht="15" customHeight="1">
      <c r="A102" s="27">
        <v>101</v>
      </c>
      <c r="B102" s="28" t="s">
        <v>127</v>
      </c>
      <c r="C102" s="29" t="s">
        <v>172</v>
      </c>
      <c r="D102" s="28" t="s">
        <v>179</v>
      </c>
      <c r="E102" s="28" t="s">
        <v>180</v>
      </c>
      <c r="F102" s="28" t="s">
        <v>13</v>
      </c>
      <c r="G102" s="28" t="s">
        <v>13</v>
      </c>
      <c r="H102" s="28"/>
      <c r="I102" s="28"/>
      <c r="J102" s="28"/>
      <c r="K102" s="31" t="s">
        <v>13</v>
      </c>
      <c r="L102" s="31" t="s">
        <v>18</v>
      </c>
      <c r="M102" s="31" t="s">
        <v>13</v>
      </c>
      <c r="N102" s="31" t="s">
        <v>13</v>
      </c>
      <c r="O102" s="31" t="s">
        <v>16</v>
      </c>
      <c r="P102" s="32" t="s">
        <v>16</v>
      </c>
      <c r="Q102" s="32" t="s">
        <v>16</v>
      </c>
      <c r="R102" s="32" t="s">
        <v>16</v>
      </c>
      <c r="S102" s="32" t="s">
        <v>16</v>
      </c>
      <c r="T102" s="33" t="s">
        <v>16</v>
      </c>
      <c r="U102" s="33" t="s">
        <v>16</v>
      </c>
      <c r="V102" s="33" t="s">
        <v>16</v>
      </c>
      <c r="W102" s="34" t="s">
        <v>16</v>
      </c>
      <c r="X102" s="34" t="s">
        <v>16</v>
      </c>
      <c r="Y102" s="34" t="s">
        <v>16</v>
      </c>
      <c r="Z102" s="34" t="s">
        <v>16</v>
      </c>
      <c r="AA102" s="35" t="s">
        <v>16</v>
      </c>
      <c r="AB102" s="35" t="s">
        <v>16</v>
      </c>
      <c r="AC102" s="35" t="s">
        <v>16</v>
      </c>
      <c r="AD102" s="36" t="s">
        <v>16</v>
      </c>
      <c r="AE102" s="36" t="s">
        <v>16</v>
      </c>
      <c r="AF102" s="36" t="s">
        <v>16</v>
      </c>
      <c r="AG102" s="37" t="s">
        <v>13</v>
      </c>
      <c r="AH102" s="37" t="s">
        <v>16</v>
      </c>
      <c r="AI102" s="37" t="s">
        <v>16</v>
      </c>
      <c r="AJ102" s="37" t="s">
        <v>16</v>
      </c>
      <c r="AK102" s="37" t="s">
        <v>16</v>
      </c>
      <c r="AL102" s="38">
        <f t="shared" si="2"/>
        <v>2</v>
      </c>
      <c r="AM102" s="38">
        <f t="shared" si="3"/>
        <v>2</v>
      </c>
    </row>
    <row r="103" spans="1:39" ht="15" customHeight="1">
      <c r="A103" s="27">
        <v>102</v>
      </c>
      <c r="B103" s="28" t="s">
        <v>127</v>
      </c>
      <c r="C103" s="29" t="s">
        <v>172</v>
      </c>
      <c r="D103" s="28" t="s">
        <v>181</v>
      </c>
      <c r="E103" s="28" t="s">
        <v>182</v>
      </c>
      <c r="F103" s="28" t="s">
        <v>13</v>
      </c>
      <c r="G103" s="28" t="s">
        <v>13</v>
      </c>
      <c r="H103" s="28"/>
      <c r="I103" s="28"/>
      <c r="J103" s="28"/>
      <c r="K103" s="31" t="s">
        <v>13</v>
      </c>
      <c r="L103" s="31" t="s">
        <v>13</v>
      </c>
      <c r="M103" s="31" t="s">
        <v>16</v>
      </c>
      <c r="N103" s="31" t="s">
        <v>13</v>
      </c>
      <c r="O103" s="31" t="s">
        <v>16</v>
      </c>
      <c r="P103" s="32" t="s">
        <v>16</v>
      </c>
      <c r="Q103" s="32" t="s">
        <v>16</v>
      </c>
      <c r="R103" s="32" t="s">
        <v>16</v>
      </c>
      <c r="S103" s="32" t="s">
        <v>16</v>
      </c>
      <c r="T103" s="33" t="s">
        <v>16</v>
      </c>
      <c r="U103" s="33" t="s">
        <v>16</v>
      </c>
      <c r="V103" s="33" t="s">
        <v>16</v>
      </c>
      <c r="W103" s="34" t="s">
        <v>16</v>
      </c>
      <c r="X103" s="34" t="s">
        <v>16</v>
      </c>
      <c r="Y103" s="34" t="s">
        <v>16</v>
      </c>
      <c r="Z103" s="34" t="s">
        <v>16</v>
      </c>
      <c r="AA103" s="35" t="s">
        <v>16</v>
      </c>
      <c r="AB103" s="35" t="s">
        <v>16</v>
      </c>
      <c r="AC103" s="35" t="s">
        <v>16</v>
      </c>
      <c r="AD103" s="36" t="s">
        <v>16</v>
      </c>
      <c r="AE103" s="36" t="s">
        <v>16</v>
      </c>
      <c r="AF103" s="36" t="s">
        <v>16</v>
      </c>
      <c r="AG103" s="37" t="s">
        <v>13</v>
      </c>
      <c r="AH103" s="37" t="s">
        <v>16</v>
      </c>
      <c r="AI103" s="37" t="s">
        <v>16</v>
      </c>
      <c r="AJ103" s="37" t="s">
        <v>13</v>
      </c>
      <c r="AK103" s="37" t="s">
        <v>16</v>
      </c>
      <c r="AL103" s="38">
        <f t="shared" si="2"/>
        <v>2</v>
      </c>
      <c r="AM103" s="38">
        <f t="shared" si="3"/>
        <v>3</v>
      </c>
    </row>
    <row r="104" spans="1:39" ht="15" customHeight="1">
      <c r="A104" s="27">
        <v>103</v>
      </c>
      <c r="B104" s="28" t="s">
        <v>127</v>
      </c>
      <c r="C104" s="29" t="s">
        <v>172</v>
      </c>
      <c r="D104" s="28" t="s">
        <v>183</v>
      </c>
      <c r="E104" s="28" t="s">
        <v>184</v>
      </c>
      <c r="F104" s="28" t="s">
        <v>13</v>
      </c>
      <c r="G104" s="28"/>
      <c r="H104" s="28" t="s">
        <v>13</v>
      </c>
      <c r="I104" s="28"/>
      <c r="J104" s="28"/>
      <c r="K104" s="31" t="s">
        <v>13</v>
      </c>
      <c r="L104" s="31" t="s">
        <v>16</v>
      </c>
      <c r="M104" s="31" t="s">
        <v>16</v>
      </c>
      <c r="N104" s="31" t="s">
        <v>13</v>
      </c>
      <c r="O104" s="31" t="s">
        <v>16</v>
      </c>
      <c r="P104" s="32" t="s">
        <v>16</v>
      </c>
      <c r="Q104" s="32" t="s">
        <v>16</v>
      </c>
      <c r="R104" s="32" t="s">
        <v>16</v>
      </c>
      <c r="S104" s="32" t="s">
        <v>16</v>
      </c>
      <c r="T104" s="33" t="s">
        <v>16</v>
      </c>
      <c r="U104" s="33" t="s">
        <v>16</v>
      </c>
      <c r="V104" s="33" t="s">
        <v>16</v>
      </c>
      <c r="W104" s="34" t="s">
        <v>16</v>
      </c>
      <c r="X104" s="34" t="s">
        <v>16</v>
      </c>
      <c r="Y104" s="34" t="s">
        <v>16</v>
      </c>
      <c r="Z104" s="34" t="s">
        <v>16</v>
      </c>
      <c r="AA104" s="35" t="s">
        <v>16</v>
      </c>
      <c r="AB104" s="35" t="s">
        <v>16</v>
      </c>
      <c r="AC104" s="35" t="s">
        <v>16</v>
      </c>
      <c r="AD104" s="36" t="s">
        <v>13</v>
      </c>
      <c r="AE104" s="36" t="s">
        <v>13</v>
      </c>
      <c r="AF104" s="36" t="s">
        <v>16</v>
      </c>
      <c r="AG104" s="37" t="s">
        <v>13</v>
      </c>
      <c r="AH104" s="37" t="s">
        <v>16</v>
      </c>
      <c r="AI104" s="37" t="s">
        <v>16</v>
      </c>
      <c r="AJ104" s="37" t="s">
        <v>13</v>
      </c>
      <c r="AK104" s="37" t="s">
        <v>16</v>
      </c>
      <c r="AL104" s="38">
        <f t="shared" si="2"/>
        <v>3</v>
      </c>
      <c r="AM104" s="38">
        <f t="shared" si="3"/>
        <v>3</v>
      </c>
    </row>
    <row r="105" spans="1:39" ht="15" customHeight="1">
      <c r="A105" s="27">
        <v>104</v>
      </c>
      <c r="B105" s="28" t="s">
        <v>127</v>
      </c>
      <c r="C105" s="29" t="s">
        <v>172</v>
      </c>
      <c r="D105" s="28" t="s">
        <v>185</v>
      </c>
      <c r="E105" s="28" t="s">
        <v>186</v>
      </c>
      <c r="F105" s="28" t="s">
        <v>13</v>
      </c>
      <c r="G105" s="28" t="s">
        <v>13</v>
      </c>
      <c r="H105" s="28"/>
      <c r="I105" s="28"/>
      <c r="J105" s="28"/>
      <c r="K105" s="31" t="s">
        <v>13</v>
      </c>
      <c r="L105" s="31" t="s">
        <v>16</v>
      </c>
      <c r="M105" s="31" t="s">
        <v>16</v>
      </c>
      <c r="N105" s="31" t="s">
        <v>15</v>
      </c>
      <c r="O105" s="31" t="s">
        <v>13</v>
      </c>
      <c r="P105" s="32" t="s">
        <v>16</v>
      </c>
      <c r="Q105" s="32" t="s">
        <v>16</v>
      </c>
      <c r="R105" s="32" t="s">
        <v>16</v>
      </c>
      <c r="S105" s="32" t="s">
        <v>16</v>
      </c>
      <c r="T105" s="33" t="s">
        <v>13</v>
      </c>
      <c r="U105" s="33" t="s">
        <v>16</v>
      </c>
      <c r="V105" s="33" t="s">
        <v>13</v>
      </c>
      <c r="W105" s="34" t="s">
        <v>16</v>
      </c>
      <c r="X105" s="34" t="s">
        <v>16</v>
      </c>
      <c r="Y105" s="34" t="s">
        <v>16</v>
      </c>
      <c r="Z105" s="34" t="s">
        <v>16</v>
      </c>
      <c r="AA105" s="35" t="s">
        <v>16</v>
      </c>
      <c r="AB105" s="35" t="s">
        <v>16</v>
      </c>
      <c r="AC105" s="35" t="s">
        <v>16</v>
      </c>
      <c r="AD105" s="36" t="s">
        <v>13</v>
      </c>
      <c r="AE105" s="36" t="s">
        <v>13</v>
      </c>
      <c r="AF105" s="36" t="s">
        <v>16</v>
      </c>
      <c r="AG105" s="37" t="s">
        <v>13</v>
      </c>
      <c r="AH105" s="37" t="s">
        <v>16</v>
      </c>
      <c r="AI105" s="37" t="s">
        <v>16</v>
      </c>
      <c r="AJ105" s="37" t="s">
        <v>13</v>
      </c>
      <c r="AK105" s="37" t="s">
        <v>16</v>
      </c>
      <c r="AL105" s="38">
        <f t="shared" si="2"/>
        <v>4</v>
      </c>
      <c r="AM105" s="38">
        <f t="shared" si="3"/>
        <v>4</v>
      </c>
    </row>
    <row r="106" spans="1:39" ht="15" customHeight="1">
      <c r="A106" s="27">
        <v>105</v>
      </c>
      <c r="B106" s="28" t="s">
        <v>127</v>
      </c>
      <c r="C106" s="29" t="s">
        <v>187</v>
      </c>
      <c r="D106" s="28" t="s">
        <v>87</v>
      </c>
      <c r="E106" s="28" t="s">
        <v>188</v>
      </c>
      <c r="F106" s="28" t="s">
        <v>13</v>
      </c>
      <c r="G106" s="28" t="s">
        <v>13</v>
      </c>
      <c r="H106" s="28"/>
      <c r="I106" s="28"/>
      <c r="J106" s="28"/>
      <c r="K106" s="31" t="s">
        <v>13</v>
      </c>
      <c r="L106" s="31" t="s">
        <v>16</v>
      </c>
      <c r="M106" s="31" t="s">
        <v>13</v>
      </c>
      <c r="N106" s="31" t="s">
        <v>16</v>
      </c>
      <c r="O106" s="31" t="s">
        <v>16</v>
      </c>
      <c r="P106" s="32" t="s">
        <v>16</v>
      </c>
      <c r="Q106" s="32" t="s">
        <v>16</v>
      </c>
      <c r="R106" s="32" t="s">
        <v>16</v>
      </c>
      <c r="S106" s="32" t="s">
        <v>16</v>
      </c>
      <c r="T106" s="33" t="s">
        <v>16</v>
      </c>
      <c r="U106" s="33" t="s">
        <v>16</v>
      </c>
      <c r="V106" s="33" t="s">
        <v>16</v>
      </c>
      <c r="W106" s="34" t="s">
        <v>16</v>
      </c>
      <c r="X106" s="34" t="s">
        <v>16</v>
      </c>
      <c r="Y106" s="34" t="s">
        <v>16</v>
      </c>
      <c r="Z106" s="34" t="s">
        <v>16</v>
      </c>
      <c r="AA106" s="35" t="s">
        <v>16</v>
      </c>
      <c r="AB106" s="35" t="s">
        <v>16</v>
      </c>
      <c r="AC106" s="35" t="s">
        <v>16</v>
      </c>
      <c r="AD106" s="36" t="s">
        <v>16</v>
      </c>
      <c r="AE106" s="36" t="s">
        <v>16</v>
      </c>
      <c r="AF106" s="36" t="s">
        <v>16</v>
      </c>
      <c r="AG106" s="37" t="s">
        <v>13</v>
      </c>
      <c r="AH106" s="37" t="s">
        <v>16</v>
      </c>
      <c r="AI106" s="37" t="s">
        <v>16</v>
      </c>
      <c r="AJ106" s="37" t="s">
        <v>13</v>
      </c>
      <c r="AK106" s="37" t="s">
        <v>16</v>
      </c>
      <c r="AL106" s="38">
        <f t="shared" si="2"/>
        <v>2</v>
      </c>
      <c r="AM106" s="38">
        <f t="shared" si="3"/>
        <v>2</v>
      </c>
    </row>
    <row r="107" spans="1:39" ht="15" customHeight="1">
      <c r="A107" s="27">
        <v>106</v>
      </c>
      <c r="B107" s="28" t="s">
        <v>127</v>
      </c>
      <c r="C107" s="29" t="s">
        <v>187</v>
      </c>
      <c r="D107" s="28" t="s">
        <v>189</v>
      </c>
      <c r="E107" s="28" t="s">
        <v>188</v>
      </c>
      <c r="F107" s="28" t="s">
        <v>13</v>
      </c>
      <c r="G107" s="28" t="s">
        <v>13</v>
      </c>
      <c r="H107" s="28"/>
      <c r="I107" s="28"/>
      <c r="J107" s="28"/>
      <c r="K107" s="31" t="s">
        <v>13</v>
      </c>
      <c r="L107" s="31" t="s">
        <v>16</v>
      </c>
      <c r="M107" s="31" t="s">
        <v>18</v>
      </c>
      <c r="N107" s="31" t="s">
        <v>16</v>
      </c>
      <c r="O107" s="31" t="s">
        <v>16</v>
      </c>
      <c r="P107" s="32" t="s">
        <v>16</v>
      </c>
      <c r="Q107" s="32" t="s">
        <v>16</v>
      </c>
      <c r="R107" s="32" t="s">
        <v>16</v>
      </c>
      <c r="S107" s="32" t="s">
        <v>16</v>
      </c>
      <c r="T107" s="33" t="s">
        <v>16</v>
      </c>
      <c r="U107" s="33" t="s">
        <v>16</v>
      </c>
      <c r="V107" s="33" t="s">
        <v>16</v>
      </c>
      <c r="W107" s="34" t="s">
        <v>16</v>
      </c>
      <c r="X107" s="34" t="s">
        <v>16</v>
      </c>
      <c r="Y107" s="34" t="s">
        <v>16</v>
      </c>
      <c r="Z107" s="34" t="s">
        <v>16</v>
      </c>
      <c r="AA107" s="35" t="s">
        <v>16</v>
      </c>
      <c r="AB107" s="35" t="s">
        <v>16</v>
      </c>
      <c r="AC107" s="35" t="s">
        <v>16</v>
      </c>
      <c r="AD107" s="36" t="s">
        <v>13</v>
      </c>
      <c r="AE107" s="36" t="s">
        <v>13</v>
      </c>
      <c r="AF107" s="36" t="s">
        <v>16</v>
      </c>
      <c r="AG107" s="37" t="s">
        <v>13</v>
      </c>
      <c r="AH107" s="37" t="s">
        <v>16</v>
      </c>
      <c r="AI107" s="37" t="s">
        <v>16</v>
      </c>
      <c r="AJ107" s="37" t="s">
        <v>13</v>
      </c>
      <c r="AK107" s="37" t="s">
        <v>16</v>
      </c>
      <c r="AL107" s="38">
        <f t="shared" si="2"/>
        <v>3</v>
      </c>
      <c r="AM107" s="38">
        <f t="shared" si="3"/>
        <v>2</v>
      </c>
    </row>
    <row r="108" spans="1:39" ht="15" customHeight="1">
      <c r="A108" s="27">
        <v>107</v>
      </c>
      <c r="B108" s="28" t="s">
        <v>127</v>
      </c>
      <c r="C108" s="29" t="s">
        <v>187</v>
      </c>
      <c r="D108" s="30" t="s">
        <v>190</v>
      </c>
      <c r="E108" s="28" t="s">
        <v>72</v>
      </c>
      <c r="F108" s="28" t="s">
        <v>13</v>
      </c>
      <c r="G108" s="28" t="s">
        <v>13</v>
      </c>
      <c r="H108" s="28"/>
      <c r="I108" s="28"/>
      <c r="J108" s="28"/>
      <c r="K108" s="31" t="s">
        <v>13</v>
      </c>
      <c r="L108" s="31" t="s">
        <v>13</v>
      </c>
      <c r="M108" s="31" t="s">
        <v>15</v>
      </c>
      <c r="N108" s="31" t="s">
        <v>13</v>
      </c>
      <c r="O108" s="31" t="s">
        <v>28</v>
      </c>
      <c r="P108" s="32" t="s">
        <v>16</v>
      </c>
      <c r="Q108" s="32" t="s">
        <v>16</v>
      </c>
      <c r="R108" s="32" t="s">
        <v>16</v>
      </c>
      <c r="S108" s="32" t="s">
        <v>16</v>
      </c>
      <c r="T108" s="33" t="s">
        <v>16</v>
      </c>
      <c r="U108" s="33" t="s">
        <v>16</v>
      </c>
      <c r="V108" s="33" t="s">
        <v>16</v>
      </c>
      <c r="W108" s="34" t="s">
        <v>16</v>
      </c>
      <c r="X108" s="34" t="s">
        <v>16</v>
      </c>
      <c r="Y108" s="34" t="s">
        <v>16</v>
      </c>
      <c r="Z108" s="34" t="s">
        <v>16</v>
      </c>
      <c r="AA108" s="35" t="s">
        <v>16</v>
      </c>
      <c r="AB108" s="35" t="s">
        <v>16</v>
      </c>
      <c r="AC108" s="35" t="s">
        <v>16</v>
      </c>
      <c r="AD108" s="36" t="s">
        <v>13</v>
      </c>
      <c r="AE108" s="36" t="s">
        <v>13</v>
      </c>
      <c r="AF108" s="36" t="s">
        <v>13</v>
      </c>
      <c r="AG108" s="37" t="s">
        <v>13</v>
      </c>
      <c r="AH108" s="37" t="s">
        <v>16</v>
      </c>
      <c r="AI108" s="37" t="s">
        <v>16</v>
      </c>
      <c r="AJ108" s="37" t="s">
        <v>13</v>
      </c>
      <c r="AK108" s="37" t="s">
        <v>16</v>
      </c>
      <c r="AL108" s="38">
        <f t="shared" si="2"/>
        <v>3</v>
      </c>
      <c r="AM108" s="38">
        <f t="shared" si="3"/>
        <v>5</v>
      </c>
    </row>
    <row r="109" spans="1:39" ht="15" customHeight="1">
      <c r="A109" s="27">
        <v>108</v>
      </c>
      <c r="B109" s="28" t="s">
        <v>191</v>
      </c>
      <c r="C109" s="29" t="s">
        <v>192</v>
      </c>
      <c r="D109" s="28" t="s">
        <v>193</v>
      </c>
      <c r="E109" s="28" t="s">
        <v>194</v>
      </c>
      <c r="F109" s="28"/>
      <c r="G109" s="28"/>
      <c r="H109" s="28"/>
      <c r="I109" s="28" t="s">
        <v>13</v>
      </c>
      <c r="J109" s="28"/>
      <c r="K109" s="31" t="s">
        <v>16</v>
      </c>
      <c r="L109" s="31" t="s">
        <v>16</v>
      </c>
      <c r="M109" s="31" t="s">
        <v>16</v>
      </c>
      <c r="N109" s="31" t="s">
        <v>16</v>
      </c>
      <c r="O109" s="31" t="s">
        <v>16</v>
      </c>
      <c r="P109" s="32" t="s">
        <v>16</v>
      </c>
      <c r="Q109" s="32" t="s">
        <v>16</v>
      </c>
      <c r="R109" s="32" t="s">
        <v>16</v>
      </c>
      <c r="S109" s="32" t="s">
        <v>16</v>
      </c>
      <c r="T109" s="33" t="s">
        <v>13</v>
      </c>
      <c r="U109" s="33" t="s">
        <v>15</v>
      </c>
      <c r="V109" s="33" t="s">
        <v>18</v>
      </c>
      <c r="W109" s="34" t="s">
        <v>16</v>
      </c>
      <c r="X109" s="34" t="s">
        <v>16</v>
      </c>
      <c r="Y109" s="34" t="s">
        <v>16</v>
      </c>
      <c r="Z109" s="34" t="s">
        <v>16</v>
      </c>
      <c r="AA109" s="35" t="s">
        <v>16</v>
      </c>
      <c r="AB109" s="35" t="s">
        <v>16</v>
      </c>
      <c r="AC109" s="35" t="s">
        <v>16</v>
      </c>
      <c r="AD109" s="36" t="s">
        <v>16</v>
      </c>
      <c r="AE109" s="36" t="s">
        <v>16</v>
      </c>
      <c r="AF109" s="36" t="s">
        <v>16</v>
      </c>
      <c r="AG109" s="37" t="s">
        <v>13</v>
      </c>
      <c r="AH109" s="37" t="s">
        <v>16</v>
      </c>
      <c r="AI109" s="37" t="s">
        <v>16</v>
      </c>
      <c r="AJ109" s="37" t="s">
        <v>13</v>
      </c>
      <c r="AK109" s="37" t="s">
        <v>16</v>
      </c>
      <c r="AL109" s="38">
        <f t="shared" si="2"/>
        <v>2</v>
      </c>
      <c r="AM109" s="38">
        <f t="shared" si="3"/>
        <v>1</v>
      </c>
    </row>
    <row r="110" spans="1:39" ht="15" customHeight="1">
      <c r="A110" s="27">
        <v>109</v>
      </c>
      <c r="B110" s="28" t="s">
        <v>191</v>
      </c>
      <c r="C110" s="29" t="s">
        <v>192</v>
      </c>
      <c r="D110" s="28" t="s">
        <v>195</v>
      </c>
      <c r="E110" s="28" t="s">
        <v>194</v>
      </c>
      <c r="F110" s="28"/>
      <c r="G110" s="28"/>
      <c r="H110" s="28"/>
      <c r="I110" s="28" t="s">
        <v>13</v>
      </c>
      <c r="J110" s="28"/>
      <c r="K110" s="31" t="s">
        <v>16</v>
      </c>
      <c r="L110" s="31" t="s">
        <v>16</v>
      </c>
      <c r="M110" s="31" t="s">
        <v>16</v>
      </c>
      <c r="N110" s="31" t="s">
        <v>16</v>
      </c>
      <c r="O110" s="31" t="s">
        <v>16</v>
      </c>
      <c r="P110" s="32" t="s">
        <v>16</v>
      </c>
      <c r="Q110" s="32" t="s">
        <v>16</v>
      </c>
      <c r="R110" s="32" t="s">
        <v>16</v>
      </c>
      <c r="S110" s="32" t="s">
        <v>16</v>
      </c>
      <c r="T110" s="33" t="s">
        <v>13</v>
      </c>
      <c r="U110" s="33" t="s">
        <v>15</v>
      </c>
      <c r="V110" s="33" t="s">
        <v>18</v>
      </c>
      <c r="W110" s="34" t="s">
        <v>16</v>
      </c>
      <c r="X110" s="34" t="s">
        <v>16</v>
      </c>
      <c r="Y110" s="34" t="s">
        <v>16</v>
      </c>
      <c r="Z110" s="34" t="s">
        <v>16</v>
      </c>
      <c r="AA110" s="35" t="s">
        <v>16</v>
      </c>
      <c r="AB110" s="35" t="s">
        <v>16</v>
      </c>
      <c r="AC110" s="35" t="s">
        <v>16</v>
      </c>
      <c r="AD110" s="36" t="s">
        <v>16</v>
      </c>
      <c r="AE110" s="36" t="s">
        <v>16</v>
      </c>
      <c r="AF110" s="36" t="s">
        <v>16</v>
      </c>
      <c r="AG110" s="37" t="s">
        <v>13</v>
      </c>
      <c r="AH110" s="37" t="s">
        <v>16</v>
      </c>
      <c r="AI110" s="37" t="s">
        <v>16</v>
      </c>
      <c r="AJ110" s="37" t="s">
        <v>13</v>
      </c>
      <c r="AK110" s="37" t="s">
        <v>16</v>
      </c>
      <c r="AL110" s="38">
        <f t="shared" si="2"/>
        <v>2</v>
      </c>
      <c r="AM110" s="38">
        <f t="shared" si="3"/>
        <v>1</v>
      </c>
    </row>
    <row r="111" spans="1:39" ht="15" customHeight="1">
      <c r="A111" s="27">
        <v>110</v>
      </c>
      <c r="B111" s="28" t="s">
        <v>191</v>
      </c>
      <c r="C111" s="29" t="s">
        <v>192</v>
      </c>
      <c r="D111" s="30" t="s">
        <v>196</v>
      </c>
      <c r="E111" s="28" t="s">
        <v>194</v>
      </c>
      <c r="F111" s="28"/>
      <c r="G111" s="28"/>
      <c r="H111" s="28"/>
      <c r="I111" s="28" t="s">
        <v>13</v>
      </c>
      <c r="J111" s="28"/>
      <c r="K111" s="31" t="s">
        <v>16</v>
      </c>
      <c r="L111" s="31" t="s">
        <v>16</v>
      </c>
      <c r="M111" s="31" t="s">
        <v>16</v>
      </c>
      <c r="N111" s="31" t="s">
        <v>16</v>
      </c>
      <c r="O111" s="31" t="s">
        <v>16</v>
      </c>
      <c r="P111" s="32" t="s">
        <v>16</v>
      </c>
      <c r="Q111" s="32" t="s">
        <v>16</v>
      </c>
      <c r="R111" s="32" t="s">
        <v>16</v>
      </c>
      <c r="S111" s="32" t="s">
        <v>16</v>
      </c>
      <c r="T111" s="33" t="s">
        <v>13</v>
      </c>
      <c r="U111" s="33" t="s">
        <v>15</v>
      </c>
      <c r="V111" s="33" t="s">
        <v>18</v>
      </c>
      <c r="W111" s="34" t="s">
        <v>16</v>
      </c>
      <c r="X111" s="34" t="s">
        <v>16</v>
      </c>
      <c r="Y111" s="34" t="s">
        <v>16</v>
      </c>
      <c r="Z111" s="34" t="s">
        <v>16</v>
      </c>
      <c r="AA111" s="35" t="s">
        <v>16</v>
      </c>
      <c r="AB111" s="35" t="s">
        <v>16</v>
      </c>
      <c r="AC111" s="35" t="s">
        <v>16</v>
      </c>
      <c r="AD111" s="36" t="s">
        <v>16</v>
      </c>
      <c r="AE111" s="36" t="s">
        <v>16</v>
      </c>
      <c r="AF111" s="36" t="s">
        <v>16</v>
      </c>
      <c r="AG111" s="37" t="s">
        <v>13</v>
      </c>
      <c r="AH111" s="37" t="s">
        <v>16</v>
      </c>
      <c r="AI111" s="37" t="s">
        <v>16</v>
      </c>
      <c r="AJ111" s="37" t="s">
        <v>13</v>
      </c>
      <c r="AK111" s="37" t="s">
        <v>16</v>
      </c>
      <c r="AL111" s="38">
        <f t="shared" si="2"/>
        <v>2</v>
      </c>
      <c r="AM111" s="38">
        <f t="shared" si="3"/>
        <v>1</v>
      </c>
    </row>
    <row r="112" spans="1:39" ht="15" customHeight="1">
      <c r="A112" s="27">
        <v>111</v>
      </c>
      <c r="B112" s="28" t="s">
        <v>191</v>
      </c>
      <c r="C112" s="29" t="s">
        <v>192</v>
      </c>
      <c r="D112" s="28" t="s">
        <v>197</v>
      </c>
      <c r="E112" s="28" t="s">
        <v>194</v>
      </c>
      <c r="F112" s="28"/>
      <c r="G112" s="28"/>
      <c r="H112" s="28"/>
      <c r="I112" s="28" t="s">
        <v>13</v>
      </c>
      <c r="J112" s="28"/>
      <c r="K112" s="31" t="s">
        <v>16</v>
      </c>
      <c r="L112" s="31" t="s">
        <v>16</v>
      </c>
      <c r="M112" s="31" t="s">
        <v>16</v>
      </c>
      <c r="N112" s="31" t="s">
        <v>16</v>
      </c>
      <c r="O112" s="31" t="s">
        <v>16</v>
      </c>
      <c r="P112" s="32" t="s">
        <v>16</v>
      </c>
      <c r="Q112" s="32" t="s">
        <v>16</v>
      </c>
      <c r="R112" s="32" t="s">
        <v>16</v>
      </c>
      <c r="S112" s="32" t="s">
        <v>16</v>
      </c>
      <c r="T112" s="33" t="s">
        <v>13</v>
      </c>
      <c r="U112" s="33" t="s">
        <v>15</v>
      </c>
      <c r="V112" s="33" t="s">
        <v>18</v>
      </c>
      <c r="W112" s="34" t="s">
        <v>16</v>
      </c>
      <c r="X112" s="34" t="s">
        <v>16</v>
      </c>
      <c r="Y112" s="34" t="s">
        <v>16</v>
      </c>
      <c r="Z112" s="34" t="s">
        <v>16</v>
      </c>
      <c r="AA112" s="35" t="s">
        <v>16</v>
      </c>
      <c r="AB112" s="35" t="s">
        <v>16</v>
      </c>
      <c r="AC112" s="35" t="s">
        <v>16</v>
      </c>
      <c r="AD112" s="36" t="s">
        <v>16</v>
      </c>
      <c r="AE112" s="36" t="s">
        <v>16</v>
      </c>
      <c r="AF112" s="36" t="s">
        <v>16</v>
      </c>
      <c r="AG112" s="37" t="s">
        <v>13</v>
      </c>
      <c r="AH112" s="37" t="s">
        <v>16</v>
      </c>
      <c r="AI112" s="37" t="s">
        <v>16</v>
      </c>
      <c r="AJ112" s="37" t="s">
        <v>13</v>
      </c>
      <c r="AK112" s="37" t="s">
        <v>16</v>
      </c>
      <c r="AL112" s="38">
        <f t="shared" si="2"/>
        <v>2</v>
      </c>
      <c r="AM112" s="38">
        <f t="shared" si="3"/>
        <v>1</v>
      </c>
    </row>
    <row r="113" spans="1:39" ht="15" customHeight="1">
      <c r="A113" s="27">
        <v>112</v>
      </c>
      <c r="B113" s="28" t="s">
        <v>191</v>
      </c>
      <c r="C113" s="29" t="s">
        <v>192</v>
      </c>
      <c r="D113" s="28" t="s">
        <v>198</v>
      </c>
      <c r="E113" s="28" t="s">
        <v>199</v>
      </c>
      <c r="F113" s="28"/>
      <c r="G113" s="28"/>
      <c r="H113" s="28"/>
      <c r="I113" s="28" t="s">
        <v>13</v>
      </c>
      <c r="J113" s="28"/>
      <c r="K113" s="31" t="s">
        <v>16</v>
      </c>
      <c r="L113" s="31" t="s">
        <v>16</v>
      </c>
      <c r="M113" s="31" t="s">
        <v>16</v>
      </c>
      <c r="N113" s="31" t="s">
        <v>16</v>
      </c>
      <c r="O113" s="31" t="s">
        <v>16</v>
      </c>
      <c r="P113" s="32" t="s">
        <v>16</v>
      </c>
      <c r="Q113" s="32" t="s">
        <v>16</v>
      </c>
      <c r="R113" s="32" t="s">
        <v>16</v>
      </c>
      <c r="S113" s="32" t="s">
        <v>16</v>
      </c>
      <c r="T113" s="33" t="s">
        <v>13</v>
      </c>
      <c r="U113" s="33" t="s">
        <v>18</v>
      </c>
      <c r="V113" s="33" t="s">
        <v>13</v>
      </c>
      <c r="W113" s="34" t="s">
        <v>16</v>
      </c>
      <c r="X113" s="34" t="s">
        <v>16</v>
      </c>
      <c r="Y113" s="34" t="s">
        <v>16</v>
      </c>
      <c r="Z113" s="34" t="s">
        <v>16</v>
      </c>
      <c r="AA113" s="35" t="s">
        <v>16</v>
      </c>
      <c r="AB113" s="35" t="s">
        <v>16</v>
      </c>
      <c r="AC113" s="35" t="s">
        <v>16</v>
      </c>
      <c r="AD113" s="36" t="s">
        <v>16</v>
      </c>
      <c r="AE113" s="36" t="s">
        <v>16</v>
      </c>
      <c r="AF113" s="36" t="s">
        <v>16</v>
      </c>
      <c r="AG113" s="37" t="s">
        <v>13</v>
      </c>
      <c r="AH113" s="37" t="s">
        <v>16</v>
      </c>
      <c r="AI113" s="37" t="s">
        <v>16</v>
      </c>
      <c r="AJ113" s="37" t="s">
        <v>13</v>
      </c>
      <c r="AK113" s="37" t="s">
        <v>16</v>
      </c>
      <c r="AL113" s="38">
        <f t="shared" si="2"/>
        <v>2</v>
      </c>
      <c r="AM113" s="38">
        <f t="shared" si="3"/>
        <v>2</v>
      </c>
    </row>
    <row r="114" spans="1:39" ht="15" customHeight="1">
      <c r="A114" s="27">
        <v>113</v>
      </c>
      <c r="B114" s="28" t="s">
        <v>191</v>
      </c>
      <c r="C114" s="29" t="s">
        <v>192</v>
      </c>
      <c r="D114" s="28" t="s">
        <v>200</v>
      </c>
      <c r="E114" s="28" t="s">
        <v>201</v>
      </c>
      <c r="F114" s="28"/>
      <c r="G114" s="28"/>
      <c r="H114" s="28"/>
      <c r="I114" s="28" t="s">
        <v>13</v>
      </c>
      <c r="J114" s="28"/>
      <c r="K114" s="31" t="s">
        <v>16</v>
      </c>
      <c r="L114" s="31" t="s">
        <v>16</v>
      </c>
      <c r="M114" s="31" t="s">
        <v>16</v>
      </c>
      <c r="N114" s="31" t="s">
        <v>16</v>
      </c>
      <c r="O114" s="31" t="s">
        <v>16</v>
      </c>
      <c r="P114" s="32" t="s">
        <v>13</v>
      </c>
      <c r="Q114" s="32" t="s">
        <v>16</v>
      </c>
      <c r="R114" s="32" t="s">
        <v>16</v>
      </c>
      <c r="S114" s="32" t="s">
        <v>13</v>
      </c>
      <c r="T114" s="33" t="s">
        <v>13</v>
      </c>
      <c r="U114" s="33" t="s">
        <v>13</v>
      </c>
      <c r="V114" s="33" t="s">
        <v>13</v>
      </c>
      <c r="W114" s="34" t="s">
        <v>16</v>
      </c>
      <c r="X114" s="34" t="s">
        <v>16</v>
      </c>
      <c r="Y114" s="34" t="s">
        <v>16</v>
      </c>
      <c r="Z114" s="34" t="s">
        <v>16</v>
      </c>
      <c r="AA114" s="35" t="s">
        <v>13</v>
      </c>
      <c r="AB114" s="35" t="s">
        <v>16</v>
      </c>
      <c r="AC114" s="35" t="s">
        <v>13</v>
      </c>
      <c r="AD114" s="36" t="s">
        <v>16</v>
      </c>
      <c r="AE114" s="36" t="s">
        <v>16</v>
      </c>
      <c r="AF114" s="36" t="s">
        <v>16</v>
      </c>
      <c r="AG114" s="37" t="s">
        <v>13</v>
      </c>
      <c r="AH114" s="37" t="s">
        <v>16</v>
      </c>
      <c r="AI114" s="37" t="s">
        <v>16</v>
      </c>
      <c r="AJ114" s="37" t="s">
        <v>13</v>
      </c>
      <c r="AK114" s="37" t="s">
        <v>16</v>
      </c>
      <c r="AL114" s="38">
        <f t="shared" si="2"/>
        <v>4</v>
      </c>
      <c r="AM114" s="38">
        <f t="shared" si="3"/>
        <v>5</v>
      </c>
    </row>
    <row r="115" spans="1:39" ht="15" customHeight="1">
      <c r="A115" s="27">
        <v>114</v>
      </c>
      <c r="B115" s="28" t="s">
        <v>191</v>
      </c>
      <c r="C115" s="29" t="s">
        <v>192</v>
      </c>
      <c r="D115" s="28" t="s">
        <v>202</v>
      </c>
      <c r="E115" s="28" t="s">
        <v>203</v>
      </c>
      <c r="F115" s="28"/>
      <c r="G115" s="28"/>
      <c r="H115" s="28"/>
      <c r="I115" s="28" t="s">
        <v>13</v>
      </c>
      <c r="J115" s="28"/>
      <c r="K115" s="31" t="s">
        <v>16</v>
      </c>
      <c r="L115" s="31" t="s">
        <v>16</v>
      </c>
      <c r="M115" s="31" t="s">
        <v>16</v>
      </c>
      <c r="N115" s="31" t="s">
        <v>16</v>
      </c>
      <c r="O115" s="31" t="s">
        <v>16</v>
      </c>
      <c r="P115" s="32" t="s">
        <v>16</v>
      </c>
      <c r="Q115" s="32" t="s">
        <v>16</v>
      </c>
      <c r="R115" s="32" t="s">
        <v>16</v>
      </c>
      <c r="S115" s="32" t="s">
        <v>16</v>
      </c>
      <c r="T115" s="33" t="s">
        <v>13</v>
      </c>
      <c r="U115" s="33" t="s">
        <v>13</v>
      </c>
      <c r="V115" s="33" t="s">
        <v>13</v>
      </c>
      <c r="W115" s="34" t="s">
        <v>16</v>
      </c>
      <c r="X115" s="34" t="s">
        <v>16</v>
      </c>
      <c r="Y115" s="34" t="s">
        <v>16</v>
      </c>
      <c r="Z115" s="34" t="s">
        <v>16</v>
      </c>
      <c r="AA115" s="35" t="s">
        <v>16</v>
      </c>
      <c r="AB115" s="35" t="s">
        <v>16</v>
      </c>
      <c r="AC115" s="35" t="s">
        <v>16</v>
      </c>
      <c r="AD115" s="36" t="s">
        <v>16</v>
      </c>
      <c r="AE115" s="36" t="s">
        <v>16</v>
      </c>
      <c r="AF115" s="36" t="s">
        <v>16</v>
      </c>
      <c r="AG115" s="37" t="s">
        <v>13</v>
      </c>
      <c r="AH115" s="37" t="s">
        <v>16</v>
      </c>
      <c r="AI115" s="37" t="s">
        <v>16</v>
      </c>
      <c r="AJ115" s="37" t="s">
        <v>16</v>
      </c>
      <c r="AK115" s="37" t="s">
        <v>16</v>
      </c>
      <c r="AL115" s="38">
        <f t="shared" si="2"/>
        <v>2</v>
      </c>
      <c r="AM115" s="38">
        <f t="shared" si="3"/>
        <v>2</v>
      </c>
    </row>
    <row r="116" spans="1:39" ht="15" customHeight="1">
      <c r="A116" s="27">
        <v>115</v>
      </c>
      <c r="B116" s="28" t="s">
        <v>191</v>
      </c>
      <c r="C116" s="29" t="s">
        <v>192</v>
      </c>
      <c r="D116" s="30" t="s">
        <v>204</v>
      </c>
      <c r="E116" s="28" t="s">
        <v>205</v>
      </c>
      <c r="F116" s="28"/>
      <c r="G116" s="28"/>
      <c r="H116" s="28"/>
      <c r="I116" s="28" t="s">
        <v>13</v>
      </c>
      <c r="J116" s="28"/>
      <c r="K116" s="31" t="s">
        <v>16</v>
      </c>
      <c r="L116" s="31" t="s">
        <v>16</v>
      </c>
      <c r="M116" s="31" t="s">
        <v>16</v>
      </c>
      <c r="N116" s="31" t="s">
        <v>16</v>
      </c>
      <c r="O116" s="31" t="s">
        <v>16</v>
      </c>
      <c r="P116" s="32" t="s">
        <v>16</v>
      </c>
      <c r="Q116" s="32" t="s">
        <v>16</v>
      </c>
      <c r="R116" s="32" t="s">
        <v>16</v>
      </c>
      <c r="S116" s="32" t="s">
        <v>16</v>
      </c>
      <c r="T116" s="33" t="s">
        <v>13</v>
      </c>
      <c r="U116" s="33" t="s">
        <v>18</v>
      </c>
      <c r="V116" s="33" t="s">
        <v>18</v>
      </c>
      <c r="W116" s="34" t="s">
        <v>16</v>
      </c>
      <c r="X116" s="34" t="s">
        <v>16</v>
      </c>
      <c r="Y116" s="34" t="s">
        <v>16</v>
      </c>
      <c r="Z116" s="34" t="s">
        <v>16</v>
      </c>
      <c r="AA116" s="35" t="s">
        <v>13</v>
      </c>
      <c r="AB116" s="35" t="s">
        <v>16</v>
      </c>
      <c r="AC116" s="35" t="s">
        <v>13</v>
      </c>
      <c r="AD116" s="36" t="s">
        <v>13</v>
      </c>
      <c r="AE116" s="36" t="s">
        <v>18</v>
      </c>
      <c r="AF116" s="36" t="s">
        <v>13</v>
      </c>
      <c r="AG116" s="37" t="s">
        <v>13</v>
      </c>
      <c r="AH116" s="37" t="s">
        <v>16</v>
      </c>
      <c r="AI116" s="37" t="s">
        <v>16</v>
      </c>
      <c r="AJ116" s="37" t="s">
        <v>13</v>
      </c>
      <c r="AK116" s="37" t="s">
        <v>16</v>
      </c>
      <c r="AL116" s="38">
        <f t="shared" si="2"/>
        <v>4</v>
      </c>
      <c r="AM116" s="38">
        <f t="shared" si="3"/>
        <v>3</v>
      </c>
    </row>
    <row r="117" spans="1:39" ht="15" customHeight="1">
      <c r="A117" s="27">
        <v>116</v>
      </c>
      <c r="B117" s="28" t="s">
        <v>191</v>
      </c>
      <c r="C117" s="29" t="s">
        <v>192</v>
      </c>
      <c r="D117" s="28" t="s">
        <v>206</v>
      </c>
      <c r="E117" s="28" t="s">
        <v>207</v>
      </c>
      <c r="F117" s="28"/>
      <c r="G117" s="28"/>
      <c r="H117" s="28"/>
      <c r="I117" s="28" t="s">
        <v>13</v>
      </c>
      <c r="J117" s="28"/>
      <c r="K117" s="31" t="s">
        <v>16</v>
      </c>
      <c r="L117" s="31" t="s">
        <v>16</v>
      </c>
      <c r="M117" s="31" t="s">
        <v>16</v>
      </c>
      <c r="N117" s="31" t="s">
        <v>16</v>
      </c>
      <c r="O117" s="31" t="s">
        <v>16</v>
      </c>
      <c r="P117" s="32" t="s">
        <v>13</v>
      </c>
      <c r="Q117" s="32" t="s">
        <v>18</v>
      </c>
      <c r="R117" s="32" t="s">
        <v>16</v>
      </c>
      <c r="S117" s="32" t="s">
        <v>16</v>
      </c>
      <c r="T117" s="33" t="s">
        <v>13</v>
      </c>
      <c r="U117" s="33" t="s">
        <v>18</v>
      </c>
      <c r="V117" s="33" t="s">
        <v>18</v>
      </c>
      <c r="W117" s="34" t="s">
        <v>16</v>
      </c>
      <c r="X117" s="34" t="s">
        <v>16</v>
      </c>
      <c r="Y117" s="34" t="s">
        <v>16</v>
      </c>
      <c r="Z117" s="34" t="s">
        <v>16</v>
      </c>
      <c r="AA117" s="35" t="s">
        <v>16</v>
      </c>
      <c r="AB117" s="35" t="s">
        <v>16</v>
      </c>
      <c r="AC117" s="35" t="s">
        <v>16</v>
      </c>
      <c r="AD117" s="36" t="s">
        <v>16</v>
      </c>
      <c r="AE117" s="36" t="s">
        <v>16</v>
      </c>
      <c r="AF117" s="36" t="s">
        <v>16</v>
      </c>
      <c r="AG117" s="37" t="s">
        <v>13</v>
      </c>
      <c r="AH117" s="37" t="s">
        <v>16</v>
      </c>
      <c r="AI117" s="37" t="s">
        <v>16</v>
      </c>
      <c r="AJ117" s="37" t="s">
        <v>13</v>
      </c>
      <c r="AK117" s="37" t="s">
        <v>16</v>
      </c>
      <c r="AL117" s="38">
        <f t="shared" si="2"/>
        <v>3</v>
      </c>
      <c r="AM117" s="38">
        <f t="shared" si="3"/>
        <v>1</v>
      </c>
    </row>
    <row r="118" spans="1:39" ht="15" customHeight="1">
      <c r="A118" s="27">
        <v>117</v>
      </c>
      <c r="B118" s="28" t="s">
        <v>191</v>
      </c>
      <c r="C118" s="29" t="s">
        <v>192</v>
      </c>
      <c r="D118" s="28" t="s">
        <v>208</v>
      </c>
      <c r="E118" s="28" t="s">
        <v>209</v>
      </c>
      <c r="F118" s="28"/>
      <c r="G118" s="28"/>
      <c r="H118" s="28"/>
      <c r="I118" s="28" t="s">
        <v>13</v>
      </c>
      <c r="J118" s="28"/>
      <c r="K118" s="31" t="s">
        <v>16</v>
      </c>
      <c r="L118" s="31" t="s">
        <v>16</v>
      </c>
      <c r="M118" s="31" t="s">
        <v>16</v>
      </c>
      <c r="N118" s="31" t="s">
        <v>16</v>
      </c>
      <c r="O118" s="31" t="s">
        <v>16</v>
      </c>
      <c r="P118" s="32" t="s">
        <v>16</v>
      </c>
      <c r="Q118" s="32" t="s">
        <v>16</v>
      </c>
      <c r="R118" s="32" t="s">
        <v>16</v>
      </c>
      <c r="S118" s="32" t="s">
        <v>16</v>
      </c>
      <c r="T118" s="33" t="s">
        <v>13</v>
      </c>
      <c r="U118" s="33" t="s">
        <v>13</v>
      </c>
      <c r="V118" s="33" t="s">
        <v>13</v>
      </c>
      <c r="W118" s="34" t="s">
        <v>16</v>
      </c>
      <c r="X118" s="34" t="s">
        <v>16</v>
      </c>
      <c r="Y118" s="34" t="s">
        <v>16</v>
      </c>
      <c r="Z118" s="34" t="s">
        <v>16</v>
      </c>
      <c r="AA118" s="35" t="s">
        <v>16</v>
      </c>
      <c r="AB118" s="35" t="s">
        <v>16</v>
      </c>
      <c r="AC118" s="35" t="s">
        <v>16</v>
      </c>
      <c r="AD118" s="36" t="s">
        <v>16</v>
      </c>
      <c r="AE118" s="36" t="s">
        <v>16</v>
      </c>
      <c r="AF118" s="36" t="s">
        <v>16</v>
      </c>
      <c r="AG118" s="37" t="s">
        <v>13</v>
      </c>
      <c r="AH118" s="37" t="s">
        <v>16</v>
      </c>
      <c r="AI118" s="37" t="s">
        <v>16</v>
      </c>
      <c r="AJ118" s="37" t="s">
        <v>13</v>
      </c>
      <c r="AK118" s="37" t="s">
        <v>16</v>
      </c>
      <c r="AL118" s="38">
        <f t="shared" si="2"/>
        <v>2</v>
      </c>
      <c r="AM118" s="38">
        <f t="shared" si="3"/>
        <v>3</v>
      </c>
    </row>
    <row r="119" spans="1:39" ht="15" customHeight="1">
      <c r="A119" s="27">
        <v>118</v>
      </c>
      <c r="B119" s="28" t="s">
        <v>191</v>
      </c>
      <c r="C119" s="29" t="s">
        <v>192</v>
      </c>
      <c r="D119" s="28" t="s">
        <v>210</v>
      </c>
      <c r="E119" s="28" t="s">
        <v>211</v>
      </c>
      <c r="F119" s="28"/>
      <c r="G119" s="28"/>
      <c r="H119" s="28"/>
      <c r="I119" s="28" t="s">
        <v>13</v>
      </c>
      <c r="J119" s="28"/>
      <c r="K119" s="31" t="s">
        <v>16</v>
      </c>
      <c r="L119" s="31" t="s">
        <v>16</v>
      </c>
      <c r="M119" s="31" t="s">
        <v>16</v>
      </c>
      <c r="N119" s="31" t="s">
        <v>16</v>
      </c>
      <c r="O119" s="31" t="s">
        <v>16</v>
      </c>
      <c r="P119" s="32" t="s">
        <v>16</v>
      </c>
      <c r="Q119" s="32" t="s">
        <v>16</v>
      </c>
      <c r="R119" s="32" t="s">
        <v>16</v>
      </c>
      <c r="S119" s="32" t="s">
        <v>16</v>
      </c>
      <c r="T119" s="33" t="s">
        <v>13</v>
      </c>
      <c r="U119" s="33" t="s">
        <v>13</v>
      </c>
      <c r="V119" s="33" t="s">
        <v>18</v>
      </c>
      <c r="W119" s="34" t="s">
        <v>16</v>
      </c>
      <c r="X119" s="34" t="s">
        <v>16</v>
      </c>
      <c r="Y119" s="34" t="s">
        <v>16</v>
      </c>
      <c r="Z119" s="34" t="s">
        <v>16</v>
      </c>
      <c r="AA119" s="35" t="s">
        <v>16</v>
      </c>
      <c r="AB119" s="35" t="s">
        <v>16</v>
      </c>
      <c r="AC119" s="35" t="s">
        <v>16</v>
      </c>
      <c r="AD119" s="36" t="s">
        <v>16</v>
      </c>
      <c r="AE119" s="36" t="s">
        <v>16</v>
      </c>
      <c r="AF119" s="36" t="s">
        <v>16</v>
      </c>
      <c r="AG119" s="37" t="s">
        <v>13</v>
      </c>
      <c r="AH119" s="37" t="s">
        <v>16</v>
      </c>
      <c r="AI119" s="37" t="s">
        <v>16</v>
      </c>
      <c r="AJ119" s="37" t="s">
        <v>13</v>
      </c>
      <c r="AK119" s="37" t="s">
        <v>16</v>
      </c>
      <c r="AL119" s="38">
        <f t="shared" si="2"/>
        <v>2</v>
      </c>
      <c r="AM119" s="38">
        <f t="shared" si="3"/>
        <v>2</v>
      </c>
    </row>
    <row r="120" spans="1:39" ht="15" customHeight="1">
      <c r="A120" s="27">
        <v>119</v>
      </c>
      <c r="B120" s="28" t="s">
        <v>191</v>
      </c>
      <c r="C120" s="29" t="s">
        <v>192</v>
      </c>
      <c r="D120" s="28" t="s">
        <v>212</v>
      </c>
      <c r="E120" s="28" t="s">
        <v>209</v>
      </c>
      <c r="F120" s="28"/>
      <c r="G120" s="28"/>
      <c r="H120" s="28"/>
      <c r="I120" s="28" t="s">
        <v>13</v>
      </c>
      <c r="J120" s="28"/>
      <c r="K120" s="31" t="s">
        <v>16</v>
      </c>
      <c r="L120" s="31" t="s">
        <v>16</v>
      </c>
      <c r="M120" s="31" t="s">
        <v>16</v>
      </c>
      <c r="N120" s="31" t="s">
        <v>16</v>
      </c>
      <c r="O120" s="31" t="s">
        <v>16</v>
      </c>
      <c r="P120" s="32" t="s">
        <v>16</v>
      </c>
      <c r="Q120" s="32" t="s">
        <v>16</v>
      </c>
      <c r="R120" s="32" t="s">
        <v>16</v>
      </c>
      <c r="S120" s="32" t="s">
        <v>16</v>
      </c>
      <c r="T120" s="33" t="s">
        <v>13</v>
      </c>
      <c r="U120" s="33" t="s">
        <v>18</v>
      </c>
      <c r="V120" s="33" t="s">
        <v>13</v>
      </c>
      <c r="W120" s="34" t="s">
        <v>16</v>
      </c>
      <c r="X120" s="34" t="s">
        <v>16</v>
      </c>
      <c r="Y120" s="34" t="s">
        <v>16</v>
      </c>
      <c r="Z120" s="34" t="s">
        <v>16</v>
      </c>
      <c r="AA120" s="35" t="s">
        <v>16</v>
      </c>
      <c r="AB120" s="35" t="s">
        <v>16</v>
      </c>
      <c r="AC120" s="35" t="s">
        <v>16</v>
      </c>
      <c r="AD120" s="36" t="s">
        <v>16</v>
      </c>
      <c r="AE120" s="36" t="s">
        <v>16</v>
      </c>
      <c r="AF120" s="36" t="s">
        <v>16</v>
      </c>
      <c r="AG120" s="37" t="s">
        <v>13</v>
      </c>
      <c r="AH120" s="37" t="s">
        <v>16</v>
      </c>
      <c r="AI120" s="37" t="s">
        <v>16</v>
      </c>
      <c r="AJ120" s="37" t="s">
        <v>13</v>
      </c>
      <c r="AK120" s="37" t="s">
        <v>16</v>
      </c>
      <c r="AL120" s="38">
        <f t="shared" si="2"/>
        <v>2</v>
      </c>
      <c r="AM120" s="38">
        <f t="shared" si="3"/>
        <v>2</v>
      </c>
    </row>
    <row r="121" spans="1:39" ht="15" customHeight="1">
      <c r="A121" s="27">
        <v>120</v>
      </c>
      <c r="B121" s="28" t="s">
        <v>191</v>
      </c>
      <c r="C121" s="29" t="s">
        <v>192</v>
      </c>
      <c r="D121" s="28" t="s">
        <v>213</v>
      </c>
      <c r="E121" s="28" t="s">
        <v>209</v>
      </c>
      <c r="F121" s="28"/>
      <c r="G121" s="28"/>
      <c r="H121" s="28"/>
      <c r="I121" s="28" t="s">
        <v>13</v>
      </c>
      <c r="J121" s="28"/>
      <c r="K121" s="31" t="s">
        <v>16</v>
      </c>
      <c r="L121" s="31" t="s">
        <v>16</v>
      </c>
      <c r="M121" s="31" t="s">
        <v>16</v>
      </c>
      <c r="N121" s="31" t="s">
        <v>16</v>
      </c>
      <c r="O121" s="31" t="s">
        <v>16</v>
      </c>
      <c r="P121" s="32" t="s">
        <v>16</v>
      </c>
      <c r="Q121" s="32" t="s">
        <v>16</v>
      </c>
      <c r="R121" s="32" t="s">
        <v>16</v>
      </c>
      <c r="S121" s="32" t="s">
        <v>13</v>
      </c>
      <c r="T121" s="33" t="s">
        <v>13</v>
      </c>
      <c r="U121" s="33" t="s">
        <v>18</v>
      </c>
      <c r="V121" s="33" t="s">
        <v>18</v>
      </c>
      <c r="W121" s="34" t="s">
        <v>16</v>
      </c>
      <c r="X121" s="34" t="s">
        <v>16</v>
      </c>
      <c r="Y121" s="34" t="s">
        <v>16</v>
      </c>
      <c r="Z121" s="34" t="s">
        <v>16</v>
      </c>
      <c r="AA121" s="35" t="s">
        <v>13</v>
      </c>
      <c r="AB121" s="35" t="s">
        <v>16</v>
      </c>
      <c r="AC121" s="35" t="s">
        <v>13</v>
      </c>
      <c r="AD121" s="36" t="s">
        <v>16</v>
      </c>
      <c r="AE121" s="36" t="s">
        <v>16</v>
      </c>
      <c r="AF121" s="36" t="s">
        <v>16</v>
      </c>
      <c r="AG121" s="37" t="s">
        <v>13</v>
      </c>
      <c r="AH121" s="37" t="s">
        <v>16</v>
      </c>
      <c r="AI121" s="37" t="s">
        <v>16</v>
      </c>
      <c r="AJ121" s="37" t="s">
        <v>13</v>
      </c>
      <c r="AK121" s="37" t="s">
        <v>16</v>
      </c>
      <c r="AL121" s="38">
        <f t="shared" si="2"/>
        <v>3</v>
      </c>
      <c r="AM121" s="38">
        <f t="shared" si="3"/>
        <v>3</v>
      </c>
    </row>
    <row r="122" spans="1:39" ht="15" customHeight="1">
      <c r="A122" s="27">
        <v>121</v>
      </c>
      <c r="B122" s="28" t="s">
        <v>191</v>
      </c>
      <c r="C122" s="29" t="s">
        <v>192</v>
      </c>
      <c r="D122" s="28" t="s">
        <v>214</v>
      </c>
      <c r="E122" s="28" t="s">
        <v>215</v>
      </c>
      <c r="F122" s="28"/>
      <c r="G122" s="28"/>
      <c r="H122" s="28"/>
      <c r="I122" s="28" t="s">
        <v>13</v>
      </c>
      <c r="J122" s="28"/>
      <c r="K122" s="31" t="s">
        <v>16</v>
      </c>
      <c r="L122" s="31" t="s">
        <v>16</v>
      </c>
      <c r="M122" s="31" t="s">
        <v>16</v>
      </c>
      <c r="N122" s="31" t="s">
        <v>16</v>
      </c>
      <c r="O122" s="31" t="s">
        <v>16</v>
      </c>
      <c r="P122" s="32" t="s">
        <v>16</v>
      </c>
      <c r="Q122" s="32" t="s">
        <v>16</v>
      </c>
      <c r="R122" s="32" t="s">
        <v>16</v>
      </c>
      <c r="S122" s="32" t="s">
        <v>16</v>
      </c>
      <c r="T122" s="33" t="s">
        <v>13</v>
      </c>
      <c r="U122" s="33" t="s">
        <v>18</v>
      </c>
      <c r="V122" s="33" t="s">
        <v>13</v>
      </c>
      <c r="W122" s="34" t="s">
        <v>16</v>
      </c>
      <c r="X122" s="34" t="s">
        <v>16</v>
      </c>
      <c r="Y122" s="34" t="s">
        <v>16</v>
      </c>
      <c r="Z122" s="34" t="s">
        <v>16</v>
      </c>
      <c r="AA122" s="35" t="s">
        <v>16</v>
      </c>
      <c r="AB122" s="35" t="s">
        <v>16</v>
      </c>
      <c r="AC122" s="35" t="s">
        <v>16</v>
      </c>
      <c r="AD122" s="36" t="s">
        <v>16</v>
      </c>
      <c r="AE122" s="36" t="s">
        <v>16</v>
      </c>
      <c r="AF122" s="36" t="s">
        <v>16</v>
      </c>
      <c r="AG122" s="37" t="s">
        <v>13</v>
      </c>
      <c r="AH122" s="37" t="s">
        <v>16</v>
      </c>
      <c r="AI122" s="37" t="s">
        <v>16</v>
      </c>
      <c r="AJ122" s="37" t="s">
        <v>13</v>
      </c>
      <c r="AK122" s="37" t="s">
        <v>16</v>
      </c>
      <c r="AL122" s="38">
        <f t="shared" si="2"/>
        <v>2</v>
      </c>
      <c r="AM122" s="38">
        <f t="shared" si="3"/>
        <v>2</v>
      </c>
    </row>
    <row r="123" spans="1:39" ht="15" customHeight="1">
      <c r="A123" s="27">
        <v>122</v>
      </c>
      <c r="B123" s="28" t="s">
        <v>191</v>
      </c>
      <c r="C123" s="29" t="s">
        <v>192</v>
      </c>
      <c r="D123" s="28" t="s">
        <v>216</v>
      </c>
      <c r="E123" s="28" t="s">
        <v>217</v>
      </c>
      <c r="F123" s="28"/>
      <c r="G123" s="28"/>
      <c r="H123" s="28"/>
      <c r="I123" s="28" t="s">
        <v>13</v>
      </c>
      <c r="J123" s="28"/>
      <c r="K123" s="31" t="s">
        <v>16</v>
      </c>
      <c r="L123" s="31" t="s">
        <v>16</v>
      </c>
      <c r="M123" s="31" t="s">
        <v>16</v>
      </c>
      <c r="N123" s="31" t="s">
        <v>16</v>
      </c>
      <c r="O123" s="31" t="s">
        <v>16</v>
      </c>
      <c r="P123" s="32" t="s">
        <v>16</v>
      </c>
      <c r="Q123" s="32" t="s">
        <v>16</v>
      </c>
      <c r="R123" s="32" t="s">
        <v>16</v>
      </c>
      <c r="S123" s="32" t="s">
        <v>16</v>
      </c>
      <c r="T123" s="33" t="s">
        <v>13</v>
      </c>
      <c r="U123" s="33" t="s">
        <v>13</v>
      </c>
      <c r="V123" s="33" t="s">
        <v>13</v>
      </c>
      <c r="W123" s="34" t="s">
        <v>16</v>
      </c>
      <c r="X123" s="34" t="s">
        <v>16</v>
      </c>
      <c r="Y123" s="34" t="s">
        <v>16</v>
      </c>
      <c r="Z123" s="34" t="s">
        <v>16</v>
      </c>
      <c r="AA123" s="35" t="s">
        <v>16</v>
      </c>
      <c r="AB123" s="35" t="s">
        <v>16</v>
      </c>
      <c r="AC123" s="35" t="s">
        <v>16</v>
      </c>
      <c r="AD123" s="36" t="s">
        <v>16</v>
      </c>
      <c r="AE123" s="36" t="s">
        <v>16</v>
      </c>
      <c r="AF123" s="36" t="s">
        <v>16</v>
      </c>
      <c r="AG123" s="37" t="s">
        <v>13</v>
      </c>
      <c r="AH123" s="37" t="s">
        <v>16</v>
      </c>
      <c r="AI123" s="37" t="s">
        <v>16</v>
      </c>
      <c r="AJ123" s="37" t="s">
        <v>13</v>
      </c>
      <c r="AK123" s="37" t="s">
        <v>16</v>
      </c>
      <c r="AL123" s="38">
        <f t="shared" si="2"/>
        <v>2</v>
      </c>
      <c r="AM123" s="38">
        <f t="shared" si="3"/>
        <v>3</v>
      </c>
    </row>
    <row r="124" spans="1:39" ht="15" customHeight="1">
      <c r="A124" s="27">
        <v>123</v>
      </c>
      <c r="B124" s="28" t="s">
        <v>191</v>
      </c>
      <c r="C124" s="29" t="s">
        <v>192</v>
      </c>
      <c r="D124" s="28" t="s">
        <v>218</v>
      </c>
      <c r="E124" s="28" t="s">
        <v>215</v>
      </c>
      <c r="F124" s="28"/>
      <c r="G124" s="28"/>
      <c r="H124" s="28"/>
      <c r="I124" s="28" t="s">
        <v>13</v>
      </c>
      <c r="J124" s="28"/>
      <c r="K124" s="31" t="s">
        <v>16</v>
      </c>
      <c r="L124" s="31" t="s">
        <v>16</v>
      </c>
      <c r="M124" s="31" t="s">
        <v>16</v>
      </c>
      <c r="N124" s="31" t="s">
        <v>16</v>
      </c>
      <c r="O124" s="31" t="s">
        <v>16</v>
      </c>
      <c r="P124" s="32" t="s">
        <v>16</v>
      </c>
      <c r="Q124" s="32" t="s">
        <v>16</v>
      </c>
      <c r="R124" s="32" t="s">
        <v>16</v>
      </c>
      <c r="S124" s="32" t="s">
        <v>16</v>
      </c>
      <c r="T124" s="33" t="s">
        <v>13</v>
      </c>
      <c r="U124" s="33" t="s">
        <v>13</v>
      </c>
      <c r="V124" s="33" t="s">
        <v>13</v>
      </c>
      <c r="W124" s="34" t="s">
        <v>16</v>
      </c>
      <c r="X124" s="34" t="s">
        <v>16</v>
      </c>
      <c r="Y124" s="34" t="s">
        <v>16</v>
      </c>
      <c r="Z124" s="34" t="s">
        <v>16</v>
      </c>
      <c r="AA124" s="35" t="s">
        <v>16</v>
      </c>
      <c r="AB124" s="35" t="s">
        <v>16</v>
      </c>
      <c r="AC124" s="35" t="s">
        <v>16</v>
      </c>
      <c r="AD124" s="36" t="s">
        <v>16</v>
      </c>
      <c r="AE124" s="36" t="s">
        <v>16</v>
      </c>
      <c r="AF124" s="36" t="s">
        <v>16</v>
      </c>
      <c r="AG124" s="37" t="s">
        <v>13</v>
      </c>
      <c r="AH124" s="37" t="s">
        <v>16</v>
      </c>
      <c r="AI124" s="37" t="s">
        <v>16</v>
      </c>
      <c r="AJ124" s="37" t="s">
        <v>13</v>
      </c>
      <c r="AK124" s="37" t="s">
        <v>16</v>
      </c>
      <c r="AL124" s="38">
        <f t="shared" si="2"/>
        <v>2</v>
      </c>
      <c r="AM124" s="38">
        <f t="shared" si="3"/>
        <v>3</v>
      </c>
    </row>
    <row r="125" spans="1:39" ht="15" customHeight="1">
      <c r="A125" s="27">
        <v>124</v>
      </c>
      <c r="B125" s="28" t="s">
        <v>191</v>
      </c>
      <c r="C125" s="29" t="s">
        <v>192</v>
      </c>
      <c r="D125" s="28" t="s">
        <v>219</v>
      </c>
      <c r="E125" s="28" t="s">
        <v>220</v>
      </c>
      <c r="F125" s="28"/>
      <c r="G125" s="28"/>
      <c r="H125" s="28"/>
      <c r="I125" s="28" t="s">
        <v>13</v>
      </c>
      <c r="J125" s="28"/>
      <c r="K125" s="31" t="s">
        <v>16</v>
      </c>
      <c r="L125" s="31" t="s">
        <v>16</v>
      </c>
      <c r="M125" s="31" t="s">
        <v>16</v>
      </c>
      <c r="N125" s="31" t="s">
        <v>16</v>
      </c>
      <c r="O125" s="31" t="s">
        <v>16</v>
      </c>
      <c r="P125" s="32" t="s">
        <v>16</v>
      </c>
      <c r="Q125" s="32" t="s">
        <v>16</v>
      </c>
      <c r="R125" s="32" t="s">
        <v>16</v>
      </c>
      <c r="S125" s="32" t="s">
        <v>16</v>
      </c>
      <c r="T125" s="33" t="s">
        <v>13</v>
      </c>
      <c r="U125" s="33" t="s">
        <v>15</v>
      </c>
      <c r="V125" s="33" t="s">
        <v>13</v>
      </c>
      <c r="W125" s="34" t="s">
        <v>16</v>
      </c>
      <c r="X125" s="34" t="s">
        <v>16</v>
      </c>
      <c r="Y125" s="34" t="s">
        <v>16</v>
      </c>
      <c r="Z125" s="34" t="s">
        <v>16</v>
      </c>
      <c r="AA125" s="35" t="s">
        <v>16</v>
      </c>
      <c r="AB125" s="35" t="s">
        <v>16</v>
      </c>
      <c r="AC125" s="35" t="s">
        <v>16</v>
      </c>
      <c r="AD125" s="36" t="s">
        <v>16</v>
      </c>
      <c r="AE125" s="36" t="s">
        <v>16</v>
      </c>
      <c r="AF125" s="36" t="s">
        <v>16</v>
      </c>
      <c r="AG125" s="37" t="s">
        <v>13</v>
      </c>
      <c r="AH125" s="37" t="s">
        <v>16</v>
      </c>
      <c r="AI125" s="37" t="s">
        <v>16</v>
      </c>
      <c r="AJ125" s="37" t="s">
        <v>13</v>
      </c>
      <c r="AK125" s="37" t="s">
        <v>16</v>
      </c>
      <c r="AL125" s="38">
        <f t="shared" si="2"/>
        <v>2</v>
      </c>
      <c r="AM125" s="38">
        <f t="shared" si="3"/>
        <v>2</v>
      </c>
    </row>
    <row r="126" spans="1:39" ht="15" customHeight="1">
      <c r="A126" s="27">
        <v>125</v>
      </c>
      <c r="B126" s="28" t="s">
        <v>191</v>
      </c>
      <c r="C126" s="29" t="s">
        <v>192</v>
      </c>
      <c r="D126" s="28" t="s">
        <v>221</v>
      </c>
      <c r="E126" s="28" t="s">
        <v>209</v>
      </c>
      <c r="F126" s="28"/>
      <c r="G126" s="28"/>
      <c r="H126" s="28"/>
      <c r="I126" s="28" t="s">
        <v>13</v>
      </c>
      <c r="J126" s="28"/>
      <c r="K126" s="31" t="s">
        <v>16</v>
      </c>
      <c r="L126" s="31" t="s">
        <v>16</v>
      </c>
      <c r="M126" s="31" t="s">
        <v>16</v>
      </c>
      <c r="N126" s="31" t="s">
        <v>16</v>
      </c>
      <c r="O126" s="31" t="s">
        <v>16</v>
      </c>
      <c r="P126" s="32" t="s">
        <v>16</v>
      </c>
      <c r="Q126" s="32" t="s">
        <v>16</v>
      </c>
      <c r="R126" s="32" t="s">
        <v>16</v>
      </c>
      <c r="S126" s="32" t="s">
        <v>16</v>
      </c>
      <c r="T126" s="33" t="s">
        <v>13</v>
      </c>
      <c r="U126" s="33" t="s">
        <v>15</v>
      </c>
      <c r="V126" s="33" t="s">
        <v>18</v>
      </c>
      <c r="W126" s="34" t="s">
        <v>16</v>
      </c>
      <c r="X126" s="34" t="s">
        <v>16</v>
      </c>
      <c r="Y126" s="34" t="s">
        <v>16</v>
      </c>
      <c r="Z126" s="34" t="s">
        <v>16</v>
      </c>
      <c r="AA126" s="35" t="s">
        <v>16</v>
      </c>
      <c r="AB126" s="35" t="s">
        <v>16</v>
      </c>
      <c r="AC126" s="35" t="s">
        <v>16</v>
      </c>
      <c r="AD126" s="36" t="s">
        <v>16</v>
      </c>
      <c r="AE126" s="36" t="s">
        <v>16</v>
      </c>
      <c r="AF126" s="36" t="s">
        <v>16</v>
      </c>
      <c r="AG126" s="37" t="s">
        <v>13</v>
      </c>
      <c r="AH126" s="37" t="s">
        <v>16</v>
      </c>
      <c r="AI126" s="37" t="s">
        <v>16</v>
      </c>
      <c r="AJ126" s="37" t="s">
        <v>13</v>
      </c>
      <c r="AK126" s="37" t="s">
        <v>16</v>
      </c>
      <c r="AL126" s="38">
        <f t="shared" si="2"/>
        <v>2</v>
      </c>
      <c r="AM126" s="38">
        <f t="shared" si="3"/>
        <v>1</v>
      </c>
    </row>
    <row r="127" spans="1:39" ht="15" customHeight="1">
      <c r="A127" s="27">
        <v>126</v>
      </c>
      <c r="B127" s="28" t="s">
        <v>191</v>
      </c>
      <c r="C127" s="29" t="s">
        <v>192</v>
      </c>
      <c r="D127" s="28" t="s">
        <v>222</v>
      </c>
      <c r="E127" s="28" t="s">
        <v>205</v>
      </c>
      <c r="F127" s="28"/>
      <c r="G127" s="28"/>
      <c r="H127" s="28"/>
      <c r="I127" s="28" t="s">
        <v>13</v>
      </c>
      <c r="J127" s="28"/>
      <c r="K127" s="31" t="s">
        <v>16</v>
      </c>
      <c r="L127" s="31" t="s">
        <v>16</v>
      </c>
      <c r="M127" s="31" t="s">
        <v>16</v>
      </c>
      <c r="N127" s="31" t="s">
        <v>16</v>
      </c>
      <c r="O127" s="31" t="s">
        <v>16</v>
      </c>
      <c r="P127" s="32" t="s">
        <v>16</v>
      </c>
      <c r="Q127" s="32" t="s">
        <v>16</v>
      </c>
      <c r="R127" s="32" t="s">
        <v>16</v>
      </c>
      <c r="S127" s="32" t="s">
        <v>16</v>
      </c>
      <c r="T127" s="33" t="s">
        <v>13</v>
      </c>
      <c r="U127" s="33" t="s">
        <v>13</v>
      </c>
      <c r="V127" s="33" t="s">
        <v>13</v>
      </c>
      <c r="W127" s="34" t="s">
        <v>16</v>
      </c>
      <c r="X127" s="34" t="s">
        <v>16</v>
      </c>
      <c r="Y127" s="34" t="s">
        <v>16</v>
      </c>
      <c r="Z127" s="34" t="s">
        <v>16</v>
      </c>
      <c r="AA127" s="35" t="s">
        <v>16</v>
      </c>
      <c r="AB127" s="35" t="s">
        <v>16</v>
      </c>
      <c r="AC127" s="35" t="s">
        <v>16</v>
      </c>
      <c r="AD127" s="36" t="s">
        <v>16</v>
      </c>
      <c r="AE127" s="36" t="s">
        <v>16</v>
      </c>
      <c r="AF127" s="36" t="s">
        <v>16</v>
      </c>
      <c r="AG127" s="37" t="s">
        <v>13</v>
      </c>
      <c r="AH127" s="37" t="s">
        <v>16</v>
      </c>
      <c r="AI127" s="37" t="s">
        <v>16</v>
      </c>
      <c r="AJ127" s="37" t="s">
        <v>16</v>
      </c>
      <c r="AK127" s="37" t="s">
        <v>16</v>
      </c>
      <c r="AL127" s="38">
        <f t="shared" si="2"/>
        <v>2</v>
      </c>
      <c r="AM127" s="38">
        <f t="shared" si="3"/>
        <v>2</v>
      </c>
    </row>
    <row r="128" spans="1:39" ht="15" customHeight="1">
      <c r="A128" s="27">
        <v>127</v>
      </c>
      <c r="B128" s="28" t="s">
        <v>191</v>
      </c>
      <c r="C128" s="29" t="s">
        <v>192</v>
      </c>
      <c r="D128" s="28" t="s">
        <v>223</v>
      </c>
      <c r="E128" s="28" t="s">
        <v>72</v>
      </c>
      <c r="F128" s="28"/>
      <c r="G128" s="28"/>
      <c r="H128" s="28"/>
      <c r="I128" s="28" t="s">
        <v>13</v>
      </c>
      <c r="J128" s="28"/>
      <c r="K128" s="31" t="s">
        <v>16</v>
      </c>
      <c r="L128" s="31" t="s">
        <v>16</v>
      </c>
      <c r="M128" s="31" t="s">
        <v>16</v>
      </c>
      <c r="N128" s="31" t="s">
        <v>16</v>
      </c>
      <c r="O128" s="31" t="s">
        <v>16</v>
      </c>
      <c r="P128" s="32" t="s">
        <v>16</v>
      </c>
      <c r="Q128" s="32" t="s">
        <v>16</v>
      </c>
      <c r="R128" s="32" t="s">
        <v>16</v>
      </c>
      <c r="S128" s="32" t="s">
        <v>16</v>
      </c>
      <c r="T128" s="33" t="s">
        <v>13</v>
      </c>
      <c r="U128" s="33" t="s">
        <v>18</v>
      </c>
      <c r="V128" s="33" t="s">
        <v>13</v>
      </c>
      <c r="W128" s="34" t="s">
        <v>16</v>
      </c>
      <c r="X128" s="34" t="s">
        <v>16</v>
      </c>
      <c r="Y128" s="34" t="s">
        <v>16</v>
      </c>
      <c r="Z128" s="34" t="s">
        <v>16</v>
      </c>
      <c r="AA128" s="35" t="s">
        <v>16</v>
      </c>
      <c r="AB128" s="35" t="s">
        <v>16</v>
      </c>
      <c r="AC128" s="35" t="s">
        <v>16</v>
      </c>
      <c r="AD128" s="36" t="s">
        <v>16</v>
      </c>
      <c r="AE128" s="36" t="s">
        <v>16</v>
      </c>
      <c r="AF128" s="36" t="s">
        <v>16</v>
      </c>
      <c r="AG128" s="37" t="s">
        <v>13</v>
      </c>
      <c r="AH128" s="37" t="s">
        <v>16</v>
      </c>
      <c r="AI128" s="37" t="s">
        <v>16</v>
      </c>
      <c r="AJ128" s="37" t="s">
        <v>13</v>
      </c>
      <c r="AK128" s="37" t="s">
        <v>16</v>
      </c>
      <c r="AL128" s="38">
        <f t="shared" si="2"/>
        <v>2</v>
      </c>
      <c r="AM128" s="38">
        <f t="shared" si="3"/>
        <v>2</v>
      </c>
    </row>
    <row r="129" spans="1:39" ht="15" customHeight="1">
      <c r="A129" s="27">
        <v>128</v>
      </c>
      <c r="B129" s="28" t="s">
        <v>191</v>
      </c>
      <c r="C129" s="29" t="s">
        <v>192</v>
      </c>
      <c r="D129" s="30" t="s">
        <v>224</v>
      </c>
      <c r="E129" s="28" t="s">
        <v>72</v>
      </c>
      <c r="F129" s="28"/>
      <c r="G129" s="28"/>
      <c r="H129" s="28"/>
      <c r="I129" s="28" t="s">
        <v>13</v>
      </c>
      <c r="J129" s="28"/>
      <c r="K129" s="31" t="s">
        <v>16</v>
      </c>
      <c r="L129" s="31" t="s">
        <v>16</v>
      </c>
      <c r="M129" s="31" t="s">
        <v>16</v>
      </c>
      <c r="N129" s="31" t="s">
        <v>16</v>
      </c>
      <c r="O129" s="31" t="s">
        <v>16</v>
      </c>
      <c r="P129" s="32" t="s">
        <v>13</v>
      </c>
      <c r="Q129" s="32" t="s">
        <v>13</v>
      </c>
      <c r="R129" s="32" t="s">
        <v>16</v>
      </c>
      <c r="S129" s="32" t="s">
        <v>16</v>
      </c>
      <c r="T129" s="33" t="s">
        <v>13</v>
      </c>
      <c r="U129" s="33" t="s">
        <v>15</v>
      </c>
      <c r="V129" s="33" t="s">
        <v>18</v>
      </c>
      <c r="W129" s="34" t="s">
        <v>16</v>
      </c>
      <c r="X129" s="34" t="s">
        <v>16</v>
      </c>
      <c r="Y129" s="34" t="s">
        <v>16</v>
      </c>
      <c r="Z129" s="34" t="s">
        <v>18</v>
      </c>
      <c r="AA129" s="35" t="s">
        <v>16</v>
      </c>
      <c r="AB129" s="35" t="s">
        <v>16</v>
      </c>
      <c r="AC129" s="35" t="s">
        <v>16</v>
      </c>
      <c r="AD129" s="36" t="s">
        <v>16</v>
      </c>
      <c r="AE129" s="36" t="s">
        <v>16</v>
      </c>
      <c r="AF129" s="36" t="s">
        <v>16</v>
      </c>
      <c r="AG129" s="37" t="s">
        <v>13</v>
      </c>
      <c r="AH129" s="37" t="s">
        <v>16</v>
      </c>
      <c r="AI129" s="37" t="s">
        <v>16</v>
      </c>
      <c r="AJ129" s="37" t="s">
        <v>13</v>
      </c>
      <c r="AK129" s="37" t="s">
        <v>16</v>
      </c>
      <c r="AL129" s="38">
        <f t="shared" si="2"/>
        <v>3</v>
      </c>
      <c r="AM129" s="38">
        <f t="shared" si="3"/>
        <v>2</v>
      </c>
    </row>
    <row r="130" spans="1:39" ht="15" customHeight="1">
      <c r="A130" s="27">
        <v>129</v>
      </c>
      <c r="B130" s="28" t="s">
        <v>191</v>
      </c>
      <c r="C130" s="29" t="s">
        <v>192</v>
      </c>
      <c r="D130" s="28" t="s">
        <v>225</v>
      </c>
      <c r="E130" s="28" t="s">
        <v>205</v>
      </c>
      <c r="F130" s="28"/>
      <c r="G130" s="28"/>
      <c r="H130" s="28"/>
      <c r="I130" s="28" t="s">
        <v>13</v>
      </c>
      <c r="J130" s="28"/>
      <c r="K130" s="31" t="s">
        <v>16</v>
      </c>
      <c r="L130" s="31" t="s">
        <v>16</v>
      </c>
      <c r="M130" s="31" t="s">
        <v>16</v>
      </c>
      <c r="N130" s="31" t="s">
        <v>16</v>
      </c>
      <c r="O130" s="31" t="s">
        <v>16</v>
      </c>
      <c r="P130" s="32" t="s">
        <v>13</v>
      </c>
      <c r="Q130" s="32" t="s">
        <v>18</v>
      </c>
      <c r="R130" s="32" t="s">
        <v>16</v>
      </c>
      <c r="S130" s="32" t="s">
        <v>16</v>
      </c>
      <c r="T130" s="33" t="s">
        <v>13</v>
      </c>
      <c r="U130" s="33" t="s">
        <v>18</v>
      </c>
      <c r="V130" s="33" t="s">
        <v>18</v>
      </c>
      <c r="W130" s="34" t="s">
        <v>16</v>
      </c>
      <c r="X130" s="34" t="s">
        <v>16</v>
      </c>
      <c r="Y130" s="34" t="s">
        <v>16</v>
      </c>
      <c r="Z130" s="34" t="s">
        <v>15</v>
      </c>
      <c r="AA130" s="35" t="s">
        <v>16</v>
      </c>
      <c r="AB130" s="35" t="s">
        <v>16</v>
      </c>
      <c r="AC130" s="35" t="s">
        <v>16</v>
      </c>
      <c r="AD130" s="36" t="s">
        <v>16</v>
      </c>
      <c r="AE130" s="36" t="s">
        <v>16</v>
      </c>
      <c r="AF130" s="36" t="s">
        <v>16</v>
      </c>
      <c r="AG130" s="37" t="s">
        <v>13</v>
      </c>
      <c r="AH130" s="37" t="s">
        <v>16</v>
      </c>
      <c r="AI130" s="37" t="s">
        <v>16</v>
      </c>
      <c r="AJ130" s="37" t="s">
        <v>13</v>
      </c>
      <c r="AK130" s="37" t="s">
        <v>16</v>
      </c>
      <c r="AL130" s="38">
        <f t="shared" si="2"/>
        <v>3</v>
      </c>
      <c r="AM130" s="38">
        <f t="shared" si="3"/>
        <v>1</v>
      </c>
    </row>
    <row r="131" spans="1:39" ht="15" customHeight="1">
      <c r="A131" s="27">
        <v>130</v>
      </c>
      <c r="B131" s="28" t="s">
        <v>191</v>
      </c>
      <c r="C131" s="29" t="s">
        <v>192</v>
      </c>
      <c r="D131" s="28" t="s">
        <v>226</v>
      </c>
      <c r="E131" s="28" t="s">
        <v>227</v>
      </c>
      <c r="F131" s="28"/>
      <c r="G131" s="28"/>
      <c r="H131" s="28"/>
      <c r="I131" s="28" t="s">
        <v>13</v>
      </c>
      <c r="J131" s="28"/>
      <c r="K131" s="31" t="s">
        <v>16</v>
      </c>
      <c r="L131" s="31" t="s">
        <v>16</v>
      </c>
      <c r="M131" s="31" t="s">
        <v>16</v>
      </c>
      <c r="N131" s="31" t="s">
        <v>16</v>
      </c>
      <c r="O131" s="31" t="s">
        <v>16</v>
      </c>
      <c r="P131" s="32" t="s">
        <v>16</v>
      </c>
      <c r="Q131" s="32" t="s">
        <v>16</v>
      </c>
      <c r="R131" s="32" t="s">
        <v>16</v>
      </c>
      <c r="S131" s="32" t="s">
        <v>16</v>
      </c>
      <c r="T131" s="33" t="s">
        <v>13</v>
      </c>
      <c r="U131" s="33" t="s">
        <v>16</v>
      </c>
      <c r="V131" s="33" t="s">
        <v>18</v>
      </c>
      <c r="W131" s="34" t="s">
        <v>16</v>
      </c>
      <c r="X131" s="34" t="s">
        <v>16</v>
      </c>
      <c r="Y131" s="34" t="s">
        <v>16</v>
      </c>
      <c r="Z131" s="34" t="s">
        <v>16</v>
      </c>
      <c r="AA131" s="35" t="s">
        <v>16</v>
      </c>
      <c r="AB131" s="35" t="s">
        <v>16</v>
      </c>
      <c r="AC131" s="35" t="s">
        <v>16</v>
      </c>
      <c r="AD131" s="36" t="s">
        <v>16</v>
      </c>
      <c r="AE131" s="36" t="s">
        <v>16</v>
      </c>
      <c r="AF131" s="36" t="s">
        <v>16</v>
      </c>
      <c r="AG131" s="37" t="s">
        <v>13</v>
      </c>
      <c r="AH131" s="37" t="s">
        <v>16</v>
      </c>
      <c r="AI131" s="37" t="s">
        <v>16</v>
      </c>
      <c r="AJ131" s="37" t="s">
        <v>13</v>
      </c>
      <c r="AK131" s="37" t="s">
        <v>16</v>
      </c>
      <c r="AL131" s="38">
        <f t="shared" ref="AL131:AL194" si="4">COUNTIF(K131,"x")+(COUNTIF(P131,"x")+COUNTIF(T131,"x")+COUNTIF(W131,"x")+COUNTIF(AA131,"x")+COUNTIF(AD131,"x")+COUNTIF(AG131,"x"))</f>
        <v>2</v>
      </c>
      <c r="AM131" s="38">
        <f t="shared" ref="AM131:AM194" si="5">COUNTIF(L131:O131,"x")+(COUNTIF(Q131:S131,"x")+COUNTIF(U131:V131,"x")+COUNTIF(X131:Z131,"x")+COUNTIF(AB131:AC131,"x")+COUNTIF(AE131:AF131,"x")+COUNTIF(AH131:AK131,"x"))</f>
        <v>1</v>
      </c>
    </row>
    <row r="132" spans="1:39" ht="15" customHeight="1">
      <c r="A132" s="27">
        <v>131</v>
      </c>
      <c r="B132" s="28" t="s">
        <v>191</v>
      </c>
      <c r="C132" s="29" t="s">
        <v>192</v>
      </c>
      <c r="D132" s="28" t="s">
        <v>228</v>
      </c>
      <c r="E132" s="28" t="s">
        <v>229</v>
      </c>
      <c r="F132" s="28"/>
      <c r="G132" s="28"/>
      <c r="H132" s="28"/>
      <c r="I132" s="28" t="s">
        <v>13</v>
      </c>
      <c r="J132" s="28"/>
      <c r="K132" s="31" t="s">
        <v>16</v>
      </c>
      <c r="L132" s="31" t="s">
        <v>16</v>
      </c>
      <c r="M132" s="31" t="s">
        <v>16</v>
      </c>
      <c r="N132" s="31" t="s">
        <v>16</v>
      </c>
      <c r="O132" s="31" t="s">
        <v>16</v>
      </c>
      <c r="P132" s="32" t="s">
        <v>16</v>
      </c>
      <c r="Q132" s="32" t="s">
        <v>16</v>
      </c>
      <c r="R132" s="32" t="s">
        <v>16</v>
      </c>
      <c r="S132" s="32" t="s">
        <v>16</v>
      </c>
      <c r="T132" s="33" t="s">
        <v>13</v>
      </c>
      <c r="U132" s="33" t="s">
        <v>15</v>
      </c>
      <c r="V132" s="33" t="s">
        <v>13</v>
      </c>
      <c r="W132" s="34" t="s">
        <v>16</v>
      </c>
      <c r="X132" s="34" t="s">
        <v>16</v>
      </c>
      <c r="Y132" s="34" t="s">
        <v>16</v>
      </c>
      <c r="Z132" s="34" t="s">
        <v>16</v>
      </c>
      <c r="AA132" s="35" t="s">
        <v>16</v>
      </c>
      <c r="AB132" s="35" t="s">
        <v>16</v>
      </c>
      <c r="AC132" s="35" t="s">
        <v>16</v>
      </c>
      <c r="AD132" s="36" t="s">
        <v>16</v>
      </c>
      <c r="AE132" s="36" t="s">
        <v>16</v>
      </c>
      <c r="AF132" s="36" t="s">
        <v>16</v>
      </c>
      <c r="AG132" s="37" t="s">
        <v>13</v>
      </c>
      <c r="AH132" s="37" t="s">
        <v>16</v>
      </c>
      <c r="AI132" s="37" t="s">
        <v>16</v>
      </c>
      <c r="AJ132" s="37" t="s">
        <v>13</v>
      </c>
      <c r="AK132" s="37" t="s">
        <v>16</v>
      </c>
      <c r="AL132" s="38">
        <f t="shared" si="4"/>
        <v>2</v>
      </c>
      <c r="AM132" s="38">
        <f t="shared" si="5"/>
        <v>2</v>
      </c>
    </row>
    <row r="133" spans="1:39" ht="15" customHeight="1">
      <c r="A133" s="27">
        <v>132</v>
      </c>
      <c r="B133" s="28" t="s">
        <v>191</v>
      </c>
      <c r="C133" s="29" t="s">
        <v>192</v>
      </c>
      <c r="D133" s="28" t="s">
        <v>230</v>
      </c>
      <c r="E133" s="28" t="s">
        <v>207</v>
      </c>
      <c r="F133" s="28"/>
      <c r="G133" s="28"/>
      <c r="H133" s="28"/>
      <c r="I133" s="28" t="s">
        <v>13</v>
      </c>
      <c r="J133" s="28"/>
      <c r="K133" s="31" t="s">
        <v>16</v>
      </c>
      <c r="L133" s="31" t="s">
        <v>16</v>
      </c>
      <c r="M133" s="31" t="s">
        <v>16</v>
      </c>
      <c r="N133" s="31" t="s">
        <v>16</v>
      </c>
      <c r="O133" s="31" t="s">
        <v>16</v>
      </c>
      <c r="P133" s="32" t="s">
        <v>13</v>
      </c>
      <c r="Q133" s="32" t="s">
        <v>18</v>
      </c>
      <c r="R133" s="32" t="s">
        <v>16</v>
      </c>
      <c r="S133" s="32" t="s">
        <v>16</v>
      </c>
      <c r="T133" s="33" t="s">
        <v>13</v>
      </c>
      <c r="U133" s="33" t="s">
        <v>15</v>
      </c>
      <c r="V133" s="33" t="s">
        <v>15</v>
      </c>
      <c r="W133" s="34" t="s">
        <v>16</v>
      </c>
      <c r="X133" s="34" t="s">
        <v>16</v>
      </c>
      <c r="Y133" s="34" t="s">
        <v>16</v>
      </c>
      <c r="Z133" s="34" t="s">
        <v>16</v>
      </c>
      <c r="AA133" s="35" t="s">
        <v>16</v>
      </c>
      <c r="AB133" s="35" t="s">
        <v>16</v>
      </c>
      <c r="AC133" s="35" t="s">
        <v>16</v>
      </c>
      <c r="AD133" s="36" t="s">
        <v>16</v>
      </c>
      <c r="AE133" s="36" t="s">
        <v>16</v>
      </c>
      <c r="AF133" s="36" t="s">
        <v>16</v>
      </c>
      <c r="AG133" s="37" t="s">
        <v>13</v>
      </c>
      <c r="AH133" s="37" t="s">
        <v>16</v>
      </c>
      <c r="AI133" s="37" t="s">
        <v>16</v>
      </c>
      <c r="AJ133" s="37" t="s">
        <v>18</v>
      </c>
      <c r="AK133" s="37" t="s">
        <v>16</v>
      </c>
      <c r="AL133" s="38">
        <f t="shared" si="4"/>
        <v>3</v>
      </c>
      <c r="AM133" s="38">
        <f t="shared" si="5"/>
        <v>0</v>
      </c>
    </row>
    <row r="134" spans="1:39" ht="15" customHeight="1">
      <c r="A134" s="27">
        <v>133</v>
      </c>
      <c r="B134" s="28" t="s">
        <v>191</v>
      </c>
      <c r="C134" s="29" t="s">
        <v>192</v>
      </c>
      <c r="D134" s="28" t="s">
        <v>231</v>
      </c>
      <c r="E134" s="28" t="s">
        <v>209</v>
      </c>
      <c r="F134" s="28"/>
      <c r="G134" s="28"/>
      <c r="H134" s="28"/>
      <c r="I134" s="28" t="s">
        <v>13</v>
      </c>
      <c r="J134" s="28"/>
      <c r="K134" s="31" t="s">
        <v>16</v>
      </c>
      <c r="L134" s="31" t="s">
        <v>16</v>
      </c>
      <c r="M134" s="31" t="s">
        <v>16</v>
      </c>
      <c r="N134" s="31" t="s">
        <v>16</v>
      </c>
      <c r="O134" s="31" t="s">
        <v>16</v>
      </c>
      <c r="P134" s="32" t="s">
        <v>13</v>
      </c>
      <c r="Q134" s="32" t="s">
        <v>18</v>
      </c>
      <c r="R134" s="32" t="s">
        <v>16</v>
      </c>
      <c r="S134" s="32" t="s">
        <v>16</v>
      </c>
      <c r="T134" s="33" t="s">
        <v>13</v>
      </c>
      <c r="U134" s="33" t="s">
        <v>18</v>
      </c>
      <c r="V134" s="33" t="s">
        <v>18</v>
      </c>
      <c r="W134" s="34" t="s">
        <v>16</v>
      </c>
      <c r="X134" s="34" t="s">
        <v>16</v>
      </c>
      <c r="Y134" s="34" t="s">
        <v>16</v>
      </c>
      <c r="Z134" s="34" t="s">
        <v>16</v>
      </c>
      <c r="AA134" s="35" t="s">
        <v>16</v>
      </c>
      <c r="AB134" s="35" t="s">
        <v>16</v>
      </c>
      <c r="AC134" s="35" t="s">
        <v>16</v>
      </c>
      <c r="AD134" s="36" t="s">
        <v>16</v>
      </c>
      <c r="AE134" s="36" t="s">
        <v>16</v>
      </c>
      <c r="AF134" s="36" t="s">
        <v>16</v>
      </c>
      <c r="AG134" s="37" t="s">
        <v>13</v>
      </c>
      <c r="AH134" s="37" t="s">
        <v>16</v>
      </c>
      <c r="AI134" s="37" t="s">
        <v>16</v>
      </c>
      <c r="AJ134" s="37" t="s">
        <v>13</v>
      </c>
      <c r="AK134" s="37" t="s">
        <v>16</v>
      </c>
      <c r="AL134" s="38">
        <f t="shared" si="4"/>
        <v>3</v>
      </c>
      <c r="AM134" s="38">
        <f t="shared" si="5"/>
        <v>1</v>
      </c>
    </row>
    <row r="135" spans="1:39" ht="15" customHeight="1">
      <c r="A135" s="27">
        <v>134</v>
      </c>
      <c r="B135" s="28" t="s">
        <v>191</v>
      </c>
      <c r="C135" s="29" t="s">
        <v>192</v>
      </c>
      <c r="D135" s="28" t="s">
        <v>232</v>
      </c>
      <c r="E135" s="28" t="s">
        <v>209</v>
      </c>
      <c r="F135" s="28"/>
      <c r="G135" s="28"/>
      <c r="H135" s="28"/>
      <c r="I135" s="28" t="s">
        <v>13</v>
      </c>
      <c r="J135" s="28"/>
      <c r="K135" s="31" t="s">
        <v>16</v>
      </c>
      <c r="L135" s="31" t="s">
        <v>16</v>
      </c>
      <c r="M135" s="31" t="s">
        <v>16</v>
      </c>
      <c r="N135" s="31" t="s">
        <v>16</v>
      </c>
      <c r="O135" s="31" t="s">
        <v>16</v>
      </c>
      <c r="P135" s="32" t="s">
        <v>13</v>
      </c>
      <c r="Q135" s="32" t="s">
        <v>18</v>
      </c>
      <c r="R135" s="32" t="s">
        <v>16</v>
      </c>
      <c r="S135" s="32" t="s">
        <v>16</v>
      </c>
      <c r="T135" s="33" t="s">
        <v>13</v>
      </c>
      <c r="U135" s="33" t="s">
        <v>18</v>
      </c>
      <c r="V135" s="33" t="s">
        <v>18</v>
      </c>
      <c r="W135" s="34" t="s">
        <v>16</v>
      </c>
      <c r="X135" s="34" t="s">
        <v>16</v>
      </c>
      <c r="Y135" s="34" t="s">
        <v>16</v>
      </c>
      <c r="Z135" s="34" t="s">
        <v>16</v>
      </c>
      <c r="AA135" s="35" t="s">
        <v>16</v>
      </c>
      <c r="AB135" s="35" t="s">
        <v>16</v>
      </c>
      <c r="AC135" s="35" t="s">
        <v>16</v>
      </c>
      <c r="AD135" s="36" t="s">
        <v>16</v>
      </c>
      <c r="AE135" s="36" t="s">
        <v>16</v>
      </c>
      <c r="AF135" s="36" t="s">
        <v>16</v>
      </c>
      <c r="AG135" s="37" t="s">
        <v>13</v>
      </c>
      <c r="AH135" s="37" t="s">
        <v>16</v>
      </c>
      <c r="AI135" s="37" t="s">
        <v>16</v>
      </c>
      <c r="AJ135" s="37" t="s">
        <v>13</v>
      </c>
      <c r="AK135" s="37" t="s">
        <v>16</v>
      </c>
      <c r="AL135" s="38">
        <f t="shared" si="4"/>
        <v>3</v>
      </c>
      <c r="AM135" s="38">
        <f t="shared" si="5"/>
        <v>1</v>
      </c>
    </row>
    <row r="136" spans="1:39" ht="15" customHeight="1">
      <c r="A136" s="27">
        <v>135</v>
      </c>
      <c r="B136" s="28" t="s">
        <v>191</v>
      </c>
      <c r="C136" s="29" t="s">
        <v>192</v>
      </c>
      <c r="D136" s="28" t="s">
        <v>233</v>
      </c>
      <c r="E136" s="28" t="s">
        <v>215</v>
      </c>
      <c r="F136" s="28"/>
      <c r="G136" s="28"/>
      <c r="H136" s="28"/>
      <c r="I136" s="28" t="s">
        <v>13</v>
      </c>
      <c r="J136" s="28"/>
      <c r="K136" s="31" t="s">
        <v>16</v>
      </c>
      <c r="L136" s="31" t="s">
        <v>16</v>
      </c>
      <c r="M136" s="31" t="s">
        <v>16</v>
      </c>
      <c r="N136" s="31" t="s">
        <v>16</v>
      </c>
      <c r="O136" s="31" t="s">
        <v>16</v>
      </c>
      <c r="P136" s="32" t="s">
        <v>13</v>
      </c>
      <c r="Q136" s="32" t="s">
        <v>18</v>
      </c>
      <c r="R136" s="32" t="s">
        <v>16</v>
      </c>
      <c r="S136" s="32" t="s">
        <v>16</v>
      </c>
      <c r="T136" s="33" t="s">
        <v>13</v>
      </c>
      <c r="U136" s="33" t="s">
        <v>15</v>
      </c>
      <c r="V136" s="33" t="s">
        <v>18</v>
      </c>
      <c r="W136" s="34" t="s">
        <v>16</v>
      </c>
      <c r="X136" s="34" t="s">
        <v>16</v>
      </c>
      <c r="Y136" s="34" t="s">
        <v>16</v>
      </c>
      <c r="Z136" s="34" t="s">
        <v>15</v>
      </c>
      <c r="AA136" s="35" t="s">
        <v>16</v>
      </c>
      <c r="AB136" s="35" t="s">
        <v>16</v>
      </c>
      <c r="AC136" s="35" t="s">
        <v>16</v>
      </c>
      <c r="AD136" s="36" t="s">
        <v>16</v>
      </c>
      <c r="AE136" s="36" t="s">
        <v>16</v>
      </c>
      <c r="AF136" s="36" t="s">
        <v>16</v>
      </c>
      <c r="AG136" s="37" t="s">
        <v>13</v>
      </c>
      <c r="AH136" s="37" t="s">
        <v>16</v>
      </c>
      <c r="AI136" s="37" t="s">
        <v>16</v>
      </c>
      <c r="AJ136" s="37" t="s">
        <v>18</v>
      </c>
      <c r="AK136" s="37" t="s">
        <v>16</v>
      </c>
      <c r="AL136" s="38">
        <f t="shared" si="4"/>
        <v>3</v>
      </c>
      <c r="AM136" s="38">
        <f t="shared" si="5"/>
        <v>0</v>
      </c>
    </row>
    <row r="137" spans="1:39" ht="15" customHeight="1">
      <c r="A137" s="27">
        <v>136</v>
      </c>
      <c r="B137" s="28" t="s">
        <v>191</v>
      </c>
      <c r="C137" s="29" t="s">
        <v>192</v>
      </c>
      <c r="D137" s="28" t="s">
        <v>234</v>
      </c>
      <c r="E137" s="28" t="s">
        <v>235</v>
      </c>
      <c r="F137" s="28"/>
      <c r="G137" s="28"/>
      <c r="H137" s="28"/>
      <c r="I137" s="28" t="s">
        <v>13</v>
      </c>
      <c r="J137" s="28"/>
      <c r="K137" s="31" t="s">
        <v>16</v>
      </c>
      <c r="L137" s="31" t="s">
        <v>16</v>
      </c>
      <c r="M137" s="31" t="s">
        <v>16</v>
      </c>
      <c r="N137" s="31" t="s">
        <v>16</v>
      </c>
      <c r="O137" s="31" t="s">
        <v>16</v>
      </c>
      <c r="P137" s="32" t="s">
        <v>13</v>
      </c>
      <c r="Q137" s="32" t="s">
        <v>13</v>
      </c>
      <c r="R137" s="32" t="s">
        <v>16</v>
      </c>
      <c r="S137" s="32" t="s">
        <v>16</v>
      </c>
      <c r="T137" s="33" t="s">
        <v>13</v>
      </c>
      <c r="U137" s="33" t="s">
        <v>13</v>
      </c>
      <c r="V137" s="33" t="s">
        <v>13</v>
      </c>
      <c r="W137" s="34" t="s">
        <v>16</v>
      </c>
      <c r="X137" s="34" t="s">
        <v>16</v>
      </c>
      <c r="Y137" s="34" t="s">
        <v>16</v>
      </c>
      <c r="Z137" s="34" t="s">
        <v>16</v>
      </c>
      <c r="AA137" s="35" t="s">
        <v>16</v>
      </c>
      <c r="AB137" s="35" t="s">
        <v>16</v>
      </c>
      <c r="AC137" s="35" t="s">
        <v>16</v>
      </c>
      <c r="AD137" s="36" t="s">
        <v>16</v>
      </c>
      <c r="AE137" s="36" t="s">
        <v>16</v>
      </c>
      <c r="AF137" s="36" t="s">
        <v>16</v>
      </c>
      <c r="AG137" s="37" t="s">
        <v>13</v>
      </c>
      <c r="AH137" s="37" t="s">
        <v>16</v>
      </c>
      <c r="AI137" s="37" t="s">
        <v>16</v>
      </c>
      <c r="AJ137" s="37" t="s">
        <v>13</v>
      </c>
      <c r="AK137" s="37" t="s">
        <v>16</v>
      </c>
      <c r="AL137" s="38">
        <f t="shared" si="4"/>
        <v>3</v>
      </c>
      <c r="AM137" s="38">
        <f t="shared" si="5"/>
        <v>4</v>
      </c>
    </row>
    <row r="138" spans="1:39" ht="15" customHeight="1">
      <c r="A138" s="27">
        <v>137</v>
      </c>
      <c r="B138" s="28" t="s">
        <v>191</v>
      </c>
      <c r="C138" s="29" t="s">
        <v>192</v>
      </c>
      <c r="D138" s="28" t="s">
        <v>236</v>
      </c>
      <c r="E138" s="28" t="s">
        <v>237</v>
      </c>
      <c r="F138" s="28"/>
      <c r="G138" s="28"/>
      <c r="H138" s="28"/>
      <c r="I138" s="28" t="s">
        <v>13</v>
      </c>
      <c r="J138" s="28"/>
      <c r="K138" s="31" t="s">
        <v>16</v>
      </c>
      <c r="L138" s="31" t="s">
        <v>16</v>
      </c>
      <c r="M138" s="31" t="s">
        <v>16</v>
      </c>
      <c r="N138" s="31" t="s">
        <v>16</v>
      </c>
      <c r="O138" s="31" t="s">
        <v>16</v>
      </c>
      <c r="P138" s="32" t="s">
        <v>16</v>
      </c>
      <c r="Q138" s="32" t="s">
        <v>16</v>
      </c>
      <c r="R138" s="32" t="s">
        <v>16</v>
      </c>
      <c r="S138" s="32" t="s">
        <v>16</v>
      </c>
      <c r="T138" s="33" t="s">
        <v>13</v>
      </c>
      <c r="U138" s="33" t="s">
        <v>18</v>
      </c>
      <c r="V138" s="33" t="s">
        <v>18</v>
      </c>
      <c r="W138" s="34" t="s">
        <v>16</v>
      </c>
      <c r="X138" s="34" t="s">
        <v>16</v>
      </c>
      <c r="Y138" s="34" t="s">
        <v>16</v>
      </c>
      <c r="Z138" s="34" t="s">
        <v>16</v>
      </c>
      <c r="AA138" s="35" t="s">
        <v>16</v>
      </c>
      <c r="AB138" s="35" t="s">
        <v>16</v>
      </c>
      <c r="AC138" s="35" t="s">
        <v>16</v>
      </c>
      <c r="AD138" s="36" t="s">
        <v>16</v>
      </c>
      <c r="AE138" s="36" t="s">
        <v>16</v>
      </c>
      <c r="AF138" s="36" t="s">
        <v>16</v>
      </c>
      <c r="AG138" s="37" t="s">
        <v>13</v>
      </c>
      <c r="AH138" s="37" t="s">
        <v>16</v>
      </c>
      <c r="AI138" s="37" t="s">
        <v>16</v>
      </c>
      <c r="AJ138" s="37" t="s">
        <v>18</v>
      </c>
      <c r="AK138" s="37" t="s">
        <v>16</v>
      </c>
      <c r="AL138" s="38">
        <f t="shared" si="4"/>
        <v>2</v>
      </c>
      <c r="AM138" s="38">
        <f t="shared" si="5"/>
        <v>0</v>
      </c>
    </row>
    <row r="139" spans="1:39" ht="15" customHeight="1">
      <c r="A139" s="27">
        <v>138</v>
      </c>
      <c r="B139" s="28" t="s">
        <v>191</v>
      </c>
      <c r="C139" s="29" t="s">
        <v>192</v>
      </c>
      <c r="D139" s="28" t="s">
        <v>238</v>
      </c>
      <c r="E139" s="28" t="s">
        <v>194</v>
      </c>
      <c r="F139" s="28"/>
      <c r="G139" s="28"/>
      <c r="H139" s="28"/>
      <c r="I139" s="28" t="s">
        <v>13</v>
      </c>
      <c r="J139" s="28"/>
      <c r="K139" s="31" t="s">
        <v>16</v>
      </c>
      <c r="L139" s="31" t="s">
        <v>16</v>
      </c>
      <c r="M139" s="31" t="s">
        <v>16</v>
      </c>
      <c r="N139" s="31" t="s">
        <v>16</v>
      </c>
      <c r="O139" s="31" t="s">
        <v>16</v>
      </c>
      <c r="P139" s="32" t="s">
        <v>13</v>
      </c>
      <c r="Q139" s="32" t="s">
        <v>18</v>
      </c>
      <c r="R139" s="32" t="s">
        <v>16</v>
      </c>
      <c r="S139" s="32" t="s">
        <v>13</v>
      </c>
      <c r="T139" s="33" t="s">
        <v>13</v>
      </c>
      <c r="U139" s="33" t="s">
        <v>15</v>
      </c>
      <c r="V139" s="33" t="s">
        <v>18</v>
      </c>
      <c r="W139" s="34" t="s">
        <v>16</v>
      </c>
      <c r="X139" s="34" t="s">
        <v>16</v>
      </c>
      <c r="Y139" s="34" t="s">
        <v>16</v>
      </c>
      <c r="Z139" s="34" t="s">
        <v>16</v>
      </c>
      <c r="AA139" s="35" t="s">
        <v>13</v>
      </c>
      <c r="AB139" s="35" t="s">
        <v>16</v>
      </c>
      <c r="AC139" s="35" t="s">
        <v>18</v>
      </c>
      <c r="AD139" s="36" t="s">
        <v>13</v>
      </c>
      <c r="AE139" s="36" t="s">
        <v>13</v>
      </c>
      <c r="AF139" s="36" t="s">
        <v>13</v>
      </c>
      <c r="AG139" s="37" t="s">
        <v>13</v>
      </c>
      <c r="AH139" s="37" t="s">
        <v>16</v>
      </c>
      <c r="AI139" s="37" t="s">
        <v>16</v>
      </c>
      <c r="AJ139" s="37" t="s">
        <v>18</v>
      </c>
      <c r="AK139" s="37" t="s">
        <v>16</v>
      </c>
      <c r="AL139" s="38">
        <f t="shared" si="4"/>
        <v>5</v>
      </c>
      <c r="AM139" s="38">
        <f t="shared" si="5"/>
        <v>3</v>
      </c>
    </row>
    <row r="140" spans="1:39" ht="15" customHeight="1">
      <c r="A140" s="27">
        <v>139</v>
      </c>
      <c r="B140" s="28" t="s">
        <v>191</v>
      </c>
      <c r="C140" s="29" t="s">
        <v>192</v>
      </c>
      <c r="D140" s="30" t="s">
        <v>239</v>
      </c>
      <c r="E140" s="28" t="s">
        <v>72</v>
      </c>
      <c r="F140" s="28"/>
      <c r="G140" s="28"/>
      <c r="H140" s="28"/>
      <c r="I140" s="28" t="s">
        <v>13</v>
      </c>
      <c r="J140" s="28"/>
      <c r="K140" s="31" t="s">
        <v>16</v>
      </c>
      <c r="L140" s="31" t="s">
        <v>16</v>
      </c>
      <c r="M140" s="31" t="s">
        <v>16</v>
      </c>
      <c r="N140" s="31" t="s">
        <v>16</v>
      </c>
      <c r="O140" s="31" t="s">
        <v>16</v>
      </c>
      <c r="P140" s="32" t="s">
        <v>13</v>
      </c>
      <c r="Q140" s="32" t="s">
        <v>18</v>
      </c>
      <c r="R140" s="32" t="s">
        <v>16</v>
      </c>
      <c r="S140" s="32" t="s">
        <v>16</v>
      </c>
      <c r="T140" s="33" t="s">
        <v>13</v>
      </c>
      <c r="U140" s="33" t="s">
        <v>15</v>
      </c>
      <c r="V140" s="33" t="s">
        <v>15</v>
      </c>
      <c r="W140" s="34" t="s">
        <v>16</v>
      </c>
      <c r="X140" s="34" t="s">
        <v>16</v>
      </c>
      <c r="Y140" s="34" t="s">
        <v>16</v>
      </c>
      <c r="Z140" s="34" t="s">
        <v>16</v>
      </c>
      <c r="AA140" s="35" t="s">
        <v>13</v>
      </c>
      <c r="AB140" s="35" t="s">
        <v>16</v>
      </c>
      <c r="AC140" s="35" t="s">
        <v>13</v>
      </c>
      <c r="AD140" s="36" t="s">
        <v>16</v>
      </c>
      <c r="AE140" s="36" t="s">
        <v>16</v>
      </c>
      <c r="AF140" s="36" t="s">
        <v>16</v>
      </c>
      <c r="AG140" s="37" t="s">
        <v>13</v>
      </c>
      <c r="AH140" s="37" t="s">
        <v>16</v>
      </c>
      <c r="AI140" s="37" t="s">
        <v>16</v>
      </c>
      <c r="AJ140" s="37" t="s">
        <v>18</v>
      </c>
      <c r="AK140" s="37" t="s">
        <v>16</v>
      </c>
      <c r="AL140" s="38">
        <f t="shared" si="4"/>
        <v>4</v>
      </c>
      <c r="AM140" s="38">
        <f t="shared" si="5"/>
        <v>1</v>
      </c>
    </row>
    <row r="141" spans="1:39" ht="15" customHeight="1">
      <c r="A141" s="27">
        <v>140</v>
      </c>
      <c r="B141" s="28" t="s">
        <v>191</v>
      </c>
      <c r="C141" s="29" t="s">
        <v>192</v>
      </c>
      <c r="D141" s="28" t="s">
        <v>240</v>
      </c>
      <c r="E141" s="28" t="s">
        <v>235</v>
      </c>
      <c r="F141" s="28"/>
      <c r="G141" s="28"/>
      <c r="H141" s="28"/>
      <c r="I141" s="28" t="s">
        <v>13</v>
      </c>
      <c r="J141" s="28"/>
      <c r="K141" s="31" t="s">
        <v>16</v>
      </c>
      <c r="L141" s="31" t="s">
        <v>16</v>
      </c>
      <c r="M141" s="31" t="s">
        <v>16</v>
      </c>
      <c r="N141" s="31" t="s">
        <v>16</v>
      </c>
      <c r="O141" s="31" t="s">
        <v>16</v>
      </c>
      <c r="P141" s="32" t="s">
        <v>13</v>
      </c>
      <c r="Q141" s="32" t="s">
        <v>15</v>
      </c>
      <c r="R141" s="32" t="s">
        <v>16</v>
      </c>
      <c r="S141" s="32" t="s">
        <v>16</v>
      </c>
      <c r="T141" s="33" t="s">
        <v>13</v>
      </c>
      <c r="U141" s="33" t="s">
        <v>16</v>
      </c>
      <c r="V141" s="33" t="s">
        <v>15</v>
      </c>
      <c r="W141" s="34" t="s">
        <v>16</v>
      </c>
      <c r="X141" s="34" t="s">
        <v>16</v>
      </c>
      <c r="Y141" s="34" t="s">
        <v>16</v>
      </c>
      <c r="Z141" s="34" t="s">
        <v>16</v>
      </c>
      <c r="AA141" s="35" t="s">
        <v>16</v>
      </c>
      <c r="AB141" s="35" t="s">
        <v>16</v>
      </c>
      <c r="AC141" s="35" t="s">
        <v>16</v>
      </c>
      <c r="AD141" s="36" t="s">
        <v>16</v>
      </c>
      <c r="AE141" s="36" t="s">
        <v>16</v>
      </c>
      <c r="AF141" s="36" t="s">
        <v>16</v>
      </c>
      <c r="AG141" s="37" t="s">
        <v>13</v>
      </c>
      <c r="AH141" s="37" t="s">
        <v>16</v>
      </c>
      <c r="AI141" s="37" t="s">
        <v>16</v>
      </c>
      <c r="AJ141" s="37" t="s">
        <v>13</v>
      </c>
      <c r="AK141" s="37" t="s">
        <v>16</v>
      </c>
      <c r="AL141" s="38">
        <f t="shared" si="4"/>
        <v>3</v>
      </c>
      <c r="AM141" s="38">
        <f t="shared" si="5"/>
        <v>1</v>
      </c>
    </row>
    <row r="142" spans="1:39" ht="15" customHeight="1">
      <c r="A142" s="27">
        <v>141</v>
      </c>
      <c r="B142" s="28" t="s">
        <v>191</v>
      </c>
      <c r="C142" s="29" t="s">
        <v>192</v>
      </c>
      <c r="D142" s="28" t="s">
        <v>241</v>
      </c>
      <c r="E142" s="28" t="s">
        <v>242</v>
      </c>
      <c r="F142" s="28"/>
      <c r="G142" s="28"/>
      <c r="H142" s="28"/>
      <c r="I142" s="28" t="s">
        <v>13</v>
      </c>
      <c r="J142" s="28"/>
      <c r="K142" s="31" t="s">
        <v>16</v>
      </c>
      <c r="L142" s="31" t="s">
        <v>16</v>
      </c>
      <c r="M142" s="31" t="s">
        <v>16</v>
      </c>
      <c r="N142" s="31" t="s">
        <v>16</v>
      </c>
      <c r="O142" s="31" t="s">
        <v>16</v>
      </c>
      <c r="P142" s="32" t="s">
        <v>13</v>
      </c>
      <c r="Q142" s="32" t="s">
        <v>18</v>
      </c>
      <c r="R142" s="32" t="s">
        <v>16</v>
      </c>
      <c r="S142" s="32" t="s">
        <v>13</v>
      </c>
      <c r="T142" s="33" t="s">
        <v>13</v>
      </c>
      <c r="U142" s="33" t="s">
        <v>18</v>
      </c>
      <c r="V142" s="33" t="s">
        <v>13</v>
      </c>
      <c r="W142" s="34" t="s">
        <v>16</v>
      </c>
      <c r="X142" s="34" t="s">
        <v>16</v>
      </c>
      <c r="Y142" s="34" t="s">
        <v>16</v>
      </c>
      <c r="Z142" s="34" t="s">
        <v>16</v>
      </c>
      <c r="AA142" s="35" t="s">
        <v>16</v>
      </c>
      <c r="AB142" s="35" t="s">
        <v>16</v>
      </c>
      <c r="AC142" s="35" t="s">
        <v>16</v>
      </c>
      <c r="AD142" s="36" t="s">
        <v>13</v>
      </c>
      <c r="AE142" s="36" t="s">
        <v>13</v>
      </c>
      <c r="AF142" s="36" t="s">
        <v>16</v>
      </c>
      <c r="AG142" s="37" t="s">
        <v>13</v>
      </c>
      <c r="AH142" s="37" t="s">
        <v>16</v>
      </c>
      <c r="AI142" s="37" t="s">
        <v>16</v>
      </c>
      <c r="AJ142" s="37" t="s">
        <v>18</v>
      </c>
      <c r="AK142" s="37" t="s">
        <v>16</v>
      </c>
      <c r="AL142" s="38">
        <f t="shared" si="4"/>
        <v>4</v>
      </c>
      <c r="AM142" s="38">
        <f t="shared" si="5"/>
        <v>3</v>
      </c>
    </row>
    <row r="143" spans="1:39" ht="15" customHeight="1">
      <c r="A143" s="27">
        <v>142</v>
      </c>
      <c r="B143" s="28" t="s">
        <v>191</v>
      </c>
      <c r="C143" s="29" t="s">
        <v>243</v>
      </c>
      <c r="D143" s="28" t="s">
        <v>244</v>
      </c>
      <c r="E143" s="28" t="s">
        <v>205</v>
      </c>
      <c r="F143" s="28"/>
      <c r="G143" s="28"/>
      <c r="H143" s="28"/>
      <c r="I143" s="28" t="s">
        <v>13</v>
      </c>
      <c r="J143" s="28"/>
      <c r="K143" s="31" t="s">
        <v>16</v>
      </c>
      <c r="L143" s="31" t="s">
        <v>16</v>
      </c>
      <c r="M143" s="31" t="s">
        <v>16</v>
      </c>
      <c r="N143" s="31" t="s">
        <v>16</v>
      </c>
      <c r="O143" s="31" t="s">
        <v>16</v>
      </c>
      <c r="P143" s="32" t="s">
        <v>13</v>
      </c>
      <c r="Q143" s="32" t="s">
        <v>16</v>
      </c>
      <c r="R143" s="32" t="s">
        <v>16</v>
      </c>
      <c r="S143" s="32" t="s">
        <v>13</v>
      </c>
      <c r="T143" s="33" t="s">
        <v>13</v>
      </c>
      <c r="U143" s="33" t="s">
        <v>16</v>
      </c>
      <c r="V143" s="33" t="s">
        <v>13</v>
      </c>
      <c r="W143" s="34" t="s">
        <v>16</v>
      </c>
      <c r="X143" s="34" t="s">
        <v>16</v>
      </c>
      <c r="Y143" s="34" t="s">
        <v>16</v>
      </c>
      <c r="Z143" s="34" t="s">
        <v>16</v>
      </c>
      <c r="AA143" s="35" t="s">
        <v>16</v>
      </c>
      <c r="AB143" s="35" t="s">
        <v>16</v>
      </c>
      <c r="AC143" s="35" t="s">
        <v>16</v>
      </c>
      <c r="AD143" s="36" t="s">
        <v>16</v>
      </c>
      <c r="AE143" s="36" t="s">
        <v>16</v>
      </c>
      <c r="AF143" s="36" t="s">
        <v>16</v>
      </c>
      <c r="AG143" s="37" t="s">
        <v>16</v>
      </c>
      <c r="AH143" s="37" t="s">
        <v>16</v>
      </c>
      <c r="AI143" s="37" t="s">
        <v>16</v>
      </c>
      <c r="AJ143" s="37" t="s">
        <v>16</v>
      </c>
      <c r="AK143" s="37" t="s">
        <v>16</v>
      </c>
      <c r="AL143" s="38">
        <f t="shared" si="4"/>
        <v>2</v>
      </c>
      <c r="AM143" s="38">
        <f t="shared" si="5"/>
        <v>2</v>
      </c>
    </row>
    <row r="144" spans="1:39" ht="15" customHeight="1">
      <c r="A144" s="27">
        <v>143</v>
      </c>
      <c r="B144" s="28" t="s">
        <v>191</v>
      </c>
      <c r="C144" s="29" t="s">
        <v>243</v>
      </c>
      <c r="D144" s="28" t="s">
        <v>245</v>
      </c>
      <c r="E144" s="28" t="s">
        <v>72</v>
      </c>
      <c r="F144" s="28"/>
      <c r="G144" s="28"/>
      <c r="H144" s="28"/>
      <c r="I144" s="28" t="s">
        <v>13</v>
      </c>
      <c r="J144" s="28"/>
      <c r="K144" s="31" t="s">
        <v>16</v>
      </c>
      <c r="L144" s="31" t="s">
        <v>16</v>
      </c>
      <c r="M144" s="31" t="s">
        <v>16</v>
      </c>
      <c r="N144" s="31" t="s">
        <v>16</v>
      </c>
      <c r="O144" s="31" t="s">
        <v>16</v>
      </c>
      <c r="P144" s="32" t="s">
        <v>16</v>
      </c>
      <c r="Q144" s="32" t="s">
        <v>16</v>
      </c>
      <c r="R144" s="32" t="s">
        <v>16</v>
      </c>
      <c r="S144" s="32" t="s">
        <v>16</v>
      </c>
      <c r="T144" s="33" t="s">
        <v>13</v>
      </c>
      <c r="U144" s="33" t="s">
        <v>18</v>
      </c>
      <c r="V144" s="33" t="s">
        <v>13</v>
      </c>
      <c r="W144" s="34" t="s">
        <v>16</v>
      </c>
      <c r="X144" s="34" t="s">
        <v>16</v>
      </c>
      <c r="Y144" s="34" t="s">
        <v>16</v>
      </c>
      <c r="Z144" s="34" t="s">
        <v>16</v>
      </c>
      <c r="AA144" s="35" t="s">
        <v>16</v>
      </c>
      <c r="AB144" s="35" t="s">
        <v>16</v>
      </c>
      <c r="AC144" s="35" t="s">
        <v>16</v>
      </c>
      <c r="AD144" s="36" t="s">
        <v>16</v>
      </c>
      <c r="AE144" s="36" t="s">
        <v>16</v>
      </c>
      <c r="AF144" s="36" t="s">
        <v>16</v>
      </c>
      <c r="AG144" s="37" t="s">
        <v>16</v>
      </c>
      <c r="AH144" s="37" t="s">
        <v>16</v>
      </c>
      <c r="AI144" s="37" t="s">
        <v>16</v>
      </c>
      <c r="AJ144" s="37" t="s">
        <v>13</v>
      </c>
      <c r="AK144" s="37" t="s">
        <v>16</v>
      </c>
      <c r="AL144" s="38">
        <f t="shared" si="4"/>
        <v>1</v>
      </c>
      <c r="AM144" s="38">
        <f t="shared" si="5"/>
        <v>2</v>
      </c>
    </row>
    <row r="145" spans="1:39" ht="15" customHeight="1">
      <c r="A145" s="27">
        <v>144</v>
      </c>
      <c r="B145" s="28" t="s">
        <v>191</v>
      </c>
      <c r="C145" s="29" t="s">
        <v>243</v>
      </c>
      <c r="D145" s="28" t="s">
        <v>246</v>
      </c>
      <c r="E145" s="28" t="s">
        <v>72</v>
      </c>
      <c r="F145" s="28"/>
      <c r="G145" s="28"/>
      <c r="H145" s="28"/>
      <c r="I145" s="28" t="s">
        <v>13</v>
      </c>
      <c r="J145" s="28"/>
      <c r="K145" s="31" t="s">
        <v>16</v>
      </c>
      <c r="L145" s="31" t="s">
        <v>16</v>
      </c>
      <c r="M145" s="31" t="s">
        <v>16</v>
      </c>
      <c r="N145" s="31" t="s">
        <v>16</v>
      </c>
      <c r="O145" s="31" t="s">
        <v>16</v>
      </c>
      <c r="P145" s="32" t="s">
        <v>16</v>
      </c>
      <c r="Q145" s="32" t="s">
        <v>16</v>
      </c>
      <c r="R145" s="32" t="s">
        <v>16</v>
      </c>
      <c r="S145" s="32" t="s">
        <v>16</v>
      </c>
      <c r="T145" s="33" t="s">
        <v>13</v>
      </c>
      <c r="U145" s="33" t="s">
        <v>16</v>
      </c>
      <c r="V145" s="33" t="s">
        <v>13</v>
      </c>
      <c r="W145" s="34" t="s">
        <v>16</v>
      </c>
      <c r="X145" s="34" t="s">
        <v>16</v>
      </c>
      <c r="Y145" s="34" t="s">
        <v>16</v>
      </c>
      <c r="Z145" s="34" t="s">
        <v>16</v>
      </c>
      <c r="AA145" s="35" t="s">
        <v>16</v>
      </c>
      <c r="AB145" s="35" t="s">
        <v>16</v>
      </c>
      <c r="AC145" s="35" t="s">
        <v>16</v>
      </c>
      <c r="AD145" s="36" t="s">
        <v>16</v>
      </c>
      <c r="AE145" s="36" t="s">
        <v>16</v>
      </c>
      <c r="AF145" s="36" t="s">
        <v>16</v>
      </c>
      <c r="AG145" s="37" t="s">
        <v>16</v>
      </c>
      <c r="AH145" s="37" t="s">
        <v>16</v>
      </c>
      <c r="AI145" s="37" t="s">
        <v>16</v>
      </c>
      <c r="AJ145" s="37" t="s">
        <v>16</v>
      </c>
      <c r="AK145" s="37" t="s">
        <v>16</v>
      </c>
      <c r="AL145" s="38">
        <f t="shared" si="4"/>
        <v>1</v>
      </c>
      <c r="AM145" s="38">
        <f t="shared" si="5"/>
        <v>1</v>
      </c>
    </row>
    <row r="146" spans="1:39" ht="15" customHeight="1">
      <c r="A146" s="27">
        <v>145</v>
      </c>
      <c r="B146" s="28" t="s">
        <v>191</v>
      </c>
      <c r="C146" s="29" t="s">
        <v>243</v>
      </c>
      <c r="D146" s="28" t="s">
        <v>247</v>
      </c>
      <c r="E146" s="28" t="s">
        <v>207</v>
      </c>
      <c r="F146" s="28"/>
      <c r="G146" s="28"/>
      <c r="H146" s="28"/>
      <c r="I146" s="28" t="s">
        <v>13</v>
      </c>
      <c r="J146" s="28"/>
      <c r="K146" s="31" t="s">
        <v>16</v>
      </c>
      <c r="L146" s="31" t="s">
        <v>16</v>
      </c>
      <c r="M146" s="31" t="s">
        <v>16</v>
      </c>
      <c r="N146" s="31" t="s">
        <v>16</v>
      </c>
      <c r="O146" s="31" t="s">
        <v>16</v>
      </c>
      <c r="P146" s="32" t="s">
        <v>16</v>
      </c>
      <c r="Q146" s="32" t="s">
        <v>16</v>
      </c>
      <c r="R146" s="32" t="s">
        <v>16</v>
      </c>
      <c r="S146" s="32" t="s">
        <v>16</v>
      </c>
      <c r="T146" s="33" t="s">
        <v>13</v>
      </c>
      <c r="U146" s="33" t="s">
        <v>16</v>
      </c>
      <c r="V146" s="33" t="s">
        <v>18</v>
      </c>
      <c r="W146" s="34" t="s">
        <v>16</v>
      </c>
      <c r="X146" s="34" t="s">
        <v>16</v>
      </c>
      <c r="Y146" s="34" t="s">
        <v>16</v>
      </c>
      <c r="Z146" s="34" t="s">
        <v>16</v>
      </c>
      <c r="AA146" s="35" t="s">
        <v>16</v>
      </c>
      <c r="AB146" s="35" t="s">
        <v>16</v>
      </c>
      <c r="AC146" s="35" t="s">
        <v>16</v>
      </c>
      <c r="AD146" s="36" t="s">
        <v>13</v>
      </c>
      <c r="AE146" s="36" t="s">
        <v>13</v>
      </c>
      <c r="AF146" s="36" t="s">
        <v>16</v>
      </c>
      <c r="AG146" s="37" t="s">
        <v>16</v>
      </c>
      <c r="AH146" s="37" t="s">
        <v>16</v>
      </c>
      <c r="AI146" s="37" t="s">
        <v>16</v>
      </c>
      <c r="AJ146" s="37" t="s">
        <v>18</v>
      </c>
      <c r="AK146" s="37" t="s">
        <v>16</v>
      </c>
      <c r="AL146" s="38">
        <f t="shared" si="4"/>
        <v>2</v>
      </c>
      <c r="AM146" s="38">
        <f t="shared" si="5"/>
        <v>1</v>
      </c>
    </row>
    <row r="147" spans="1:39" ht="15" customHeight="1">
      <c r="A147" s="27">
        <v>146</v>
      </c>
      <c r="B147" s="28" t="s">
        <v>191</v>
      </c>
      <c r="C147" s="29" t="s">
        <v>243</v>
      </c>
      <c r="D147" s="28" t="s">
        <v>248</v>
      </c>
      <c r="E147" s="28" t="s">
        <v>205</v>
      </c>
      <c r="F147" s="28"/>
      <c r="G147" s="28"/>
      <c r="H147" s="28"/>
      <c r="I147" s="28" t="s">
        <v>13</v>
      </c>
      <c r="J147" s="28"/>
      <c r="K147" s="31" t="s">
        <v>16</v>
      </c>
      <c r="L147" s="31" t="s">
        <v>16</v>
      </c>
      <c r="M147" s="31" t="s">
        <v>16</v>
      </c>
      <c r="N147" s="31" t="s">
        <v>16</v>
      </c>
      <c r="O147" s="31" t="s">
        <v>16</v>
      </c>
      <c r="P147" s="32" t="s">
        <v>13</v>
      </c>
      <c r="Q147" s="32" t="s">
        <v>13</v>
      </c>
      <c r="R147" s="32" t="s">
        <v>16</v>
      </c>
      <c r="S147" s="32" t="s">
        <v>16</v>
      </c>
      <c r="T147" s="33" t="s">
        <v>13</v>
      </c>
      <c r="U147" s="33" t="s">
        <v>16</v>
      </c>
      <c r="V147" s="33" t="s">
        <v>13</v>
      </c>
      <c r="W147" s="34" t="s">
        <v>16</v>
      </c>
      <c r="X147" s="34" t="s">
        <v>16</v>
      </c>
      <c r="Y147" s="34" t="s">
        <v>16</v>
      </c>
      <c r="Z147" s="34" t="s">
        <v>16</v>
      </c>
      <c r="AA147" s="35" t="s">
        <v>13</v>
      </c>
      <c r="AB147" s="35" t="s">
        <v>16</v>
      </c>
      <c r="AC147" s="35" t="s">
        <v>16</v>
      </c>
      <c r="AD147" s="36" t="s">
        <v>13</v>
      </c>
      <c r="AE147" s="36" t="s">
        <v>13</v>
      </c>
      <c r="AF147" s="36" t="s">
        <v>16</v>
      </c>
      <c r="AG147" s="37" t="s">
        <v>13</v>
      </c>
      <c r="AH147" s="37" t="s">
        <v>16</v>
      </c>
      <c r="AI147" s="37" t="s">
        <v>16</v>
      </c>
      <c r="AJ147" s="37" t="s">
        <v>13</v>
      </c>
      <c r="AK147" s="37" t="s">
        <v>16</v>
      </c>
      <c r="AL147" s="38">
        <f t="shared" si="4"/>
        <v>5</v>
      </c>
      <c r="AM147" s="38">
        <f t="shared" si="5"/>
        <v>4</v>
      </c>
    </row>
    <row r="148" spans="1:39" ht="15" customHeight="1">
      <c r="A148" s="27">
        <v>147</v>
      </c>
      <c r="B148" s="28" t="s">
        <v>191</v>
      </c>
      <c r="C148" s="29" t="s">
        <v>243</v>
      </c>
      <c r="D148" s="28" t="s">
        <v>249</v>
      </c>
      <c r="E148" s="28" t="s">
        <v>93</v>
      </c>
      <c r="F148" s="28"/>
      <c r="G148" s="28"/>
      <c r="H148" s="28"/>
      <c r="I148" s="28" t="s">
        <v>13</v>
      </c>
      <c r="J148" s="28" t="s">
        <v>13</v>
      </c>
      <c r="K148" s="31" t="s">
        <v>13</v>
      </c>
      <c r="L148" s="31" t="s">
        <v>13</v>
      </c>
      <c r="M148" s="31" t="s">
        <v>13</v>
      </c>
      <c r="N148" s="31" t="s">
        <v>16</v>
      </c>
      <c r="O148" s="31" t="s">
        <v>16</v>
      </c>
      <c r="P148" s="32" t="s">
        <v>16</v>
      </c>
      <c r="Q148" s="32" t="s">
        <v>16</v>
      </c>
      <c r="R148" s="32" t="s">
        <v>16</v>
      </c>
      <c r="S148" s="32" t="s">
        <v>16</v>
      </c>
      <c r="T148" s="33" t="s">
        <v>13</v>
      </c>
      <c r="U148" s="33" t="s">
        <v>13</v>
      </c>
      <c r="V148" s="33" t="s">
        <v>13</v>
      </c>
      <c r="W148" s="34" t="s">
        <v>16</v>
      </c>
      <c r="X148" s="34" t="s">
        <v>16</v>
      </c>
      <c r="Y148" s="34" t="s">
        <v>16</v>
      </c>
      <c r="Z148" s="34" t="s">
        <v>16</v>
      </c>
      <c r="AA148" s="35" t="s">
        <v>16</v>
      </c>
      <c r="AB148" s="35" t="s">
        <v>16</v>
      </c>
      <c r="AC148" s="35" t="s">
        <v>16</v>
      </c>
      <c r="AD148" s="36" t="s">
        <v>13</v>
      </c>
      <c r="AE148" s="36" t="s">
        <v>15</v>
      </c>
      <c r="AF148" s="36" t="s">
        <v>16</v>
      </c>
      <c r="AG148" s="37" t="s">
        <v>13</v>
      </c>
      <c r="AH148" s="37" t="s">
        <v>16</v>
      </c>
      <c r="AI148" s="37" t="s">
        <v>16</v>
      </c>
      <c r="AJ148" s="37" t="s">
        <v>13</v>
      </c>
      <c r="AK148" s="37" t="s">
        <v>16</v>
      </c>
      <c r="AL148" s="38">
        <f t="shared" si="4"/>
        <v>4</v>
      </c>
      <c r="AM148" s="38">
        <f t="shared" si="5"/>
        <v>5</v>
      </c>
    </row>
    <row r="149" spans="1:39" ht="15" customHeight="1">
      <c r="A149" s="27">
        <v>148</v>
      </c>
      <c r="B149" s="28" t="s">
        <v>191</v>
      </c>
      <c r="C149" s="29" t="s">
        <v>243</v>
      </c>
      <c r="D149" s="30" t="s">
        <v>250</v>
      </c>
      <c r="E149" s="28" t="s">
        <v>251</v>
      </c>
      <c r="F149" s="28"/>
      <c r="G149" s="28"/>
      <c r="H149" s="28"/>
      <c r="I149" s="28" t="s">
        <v>13</v>
      </c>
      <c r="J149" s="28" t="s">
        <v>13</v>
      </c>
      <c r="K149" s="31" t="s">
        <v>16</v>
      </c>
      <c r="L149" s="31" t="s">
        <v>16</v>
      </c>
      <c r="M149" s="31" t="s">
        <v>16</v>
      </c>
      <c r="N149" s="31" t="s">
        <v>16</v>
      </c>
      <c r="O149" s="31" t="s">
        <v>13</v>
      </c>
      <c r="P149" s="32" t="s">
        <v>16</v>
      </c>
      <c r="Q149" s="32" t="s">
        <v>16</v>
      </c>
      <c r="R149" s="32" t="s">
        <v>16</v>
      </c>
      <c r="S149" s="32" t="s">
        <v>16</v>
      </c>
      <c r="T149" s="33" t="s">
        <v>13</v>
      </c>
      <c r="U149" s="33" t="s">
        <v>16</v>
      </c>
      <c r="V149" s="33" t="s">
        <v>13</v>
      </c>
      <c r="W149" s="34" t="s">
        <v>16</v>
      </c>
      <c r="X149" s="34" t="s">
        <v>16</v>
      </c>
      <c r="Y149" s="34" t="s">
        <v>16</v>
      </c>
      <c r="Z149" s="34" t="s">
        <v>16</v>
      </c>
      <c r="AA149" s="35" t="s">
        <v>16</v>
      </c>
      <c r="AB149" s="35" t="s">
        <v>16</v>
      </c>
      <c r="AC149" s="35" t="s">
        <v>16</v>
      </c>
      <c r="AD149" s="36" t="s">
        <v>13</v>
      </c>
      <c r="AE149" s="36" t="s">
        <v>13</v>
      </c>
      <c r="AF149" s="36" t="s">
        <v>16</v>
      </c>
      <c r="AG149" s="37" t="s">
        <v>13</v>
      </c>
      <c r="AH149" s="37" t="s">
        <v>16</v>
      </c>
      <c r="AI149" s="37" t="s">
        <v>16</v>
      </c>
      <c r="AJ149" s="37" t="s">
        <v>13</v>
      </c>
      <c r="AK149" s="37" t="s">
        <v>16</v>
      </c>
      <c r="AL149" s="38">
        <f t="shared" si="4"/>
        <v>3</v>
      </c>
      <c r="AM149" s="38">
        <f t="shared" si="5"/>
        <v>4</v>
      </c>
    </row>
    <row r="150" spans="1:39" ht="15" customHeight="1">
      <c r="A150" s="27">
        <v>149</v>
      </c>
      <c r="B150" s="28" t="s">
        <v>191</v>
      </c>
      <c r="C150" s="29" t="s">
        <v>243</v>
      </c>
      <c r="D150" s="28" t="s">
        <v>252</v>
      </c>
      <c r="E150" s="28" t="s">
        <v>251</v>
      </c>
      <c r="F150" s="28"/>
      <c r="G150" s="28"/>
      <c r="H150" s="28"/>
      <c r="I150" s="28"/>
      <c r="J150" s="28" t="s">
        <v>13</v>
      </c>
      <c r="K150" s="31" t="s">
        <v>16</v>
      </c>
      <c r="L150" s="31" t="s">
        <v>16</v>
      </c>
      <c r="M150" s="31" t="s">
        <v>16</v>
      </c>
      <c r="N150" s="31" t="s">
        <v>18</v>
      </c>
      <c r="O150" s="31" t="s">
        <v>16</v>
      </c>
      <c r="P150" s="32" t="s">
        <v>16</v>
      </c>
      <c r="Q150" s="32" t="s">
        <v>16</v>
      </c>
      <c r="R150" s="32" t="s">
        <v>16</v>
      </c>
      <c r="S150" s="32" t="s">
        <v>16</v>
      </c>
      <c r="T150" s="33" t="s">
        <v>13</v>
      </c>
      <c r="U150" s="33" t="s">
        <v>16</v>
      </c>
      <c r="V150" s="33" t="s">
        <v>13</v>
      </c>
      <c r="W150" s="34" t="s">
        <v>16</v>
      </c>
      <c r="X150" s="34" t="s">
        <v>16</v>
      </c>
      <c r="Y150" s="34" t="s">
        <v>16</v>
      </c>
      <c r="Z150" s="34" t="s">
        <v>16</v>
      </c>
      <c r="AA150" s="35" t="s">
        <v>16</v>
      </c>
      <c r="AB150" s="35" t="s">
        <v>16</v>
      </c>
      <c r="AC150" s="35" t="s">
        <v>16</v>
      </c>
      <c r="AD150" s="36" t="s">
        <v>13</v>
      </c>
      <c r="AE150" s="36" t="s">
        <v>13</v>
      </c>
      <c r="AF150" s="36" t="s">
        <v>16</v>
      </c>
      <c r="AG150" s="37" t="s">
        <v>13</v>
      </c>
      <c r="AH150" s="37" t="s">
        <v>16</v>
      </c>
      <c r="AI150" s="37" t="s">
        <v>16</v>
      </c>
      <c r="AJ150" s="37" t="s">
        <v>13</v>
      </c>
      <c r="AK150" s="37" t="s">
        <v>16</v>
      </c>
      <c r="AL150" s="38">
        <f t="shared" si="4"/>
        <v>3</v>
      </c>
      <c r="AM150" s="38">
        <f t="shared" si="5"/>
        <v>3</v>
      </c>
    </row>
    <row r="151" spans="1:39" ht="15" customHeight="1">
      <c r="A151" s="27">
        <v>150</v>
      </c>
      <c r="B151" s="28" t="s">
        <v>191</v>
      </c>
      <c r="C151" s="29" t="s">
        <v>243</v>
      </c>
      <c r="D151" s="28" t="s">
        <v>253</v>
      </c>
      <c r="E151" s="28" t="s">
        <v>251</v>
      </c>
      <c r="F151" s="28"/>
      <c r="G151" s="28"/>
      <c r="H151" s="28"/>
      <c r="I151" s="28"/>
      <c r="J151" s="28" t="s">
        <v>13</v>
      </c>
      <c r="K151" s="31" t="s">
        <v>16</v>
      </c>
      <c r="L151" s="31" t="s">
        <v>16</v>
      </c>
      <c r="M151" s="31" t="s">
        <v>16</v>
      </c>
      <c r="N151" s="31" t="s">
        <v>16</v>
      </c>
      <c r="O151" s="31" t="s">
        <v>16</v>
      </c>
      <c r="P151" s="32" t="s">
        <v>16</v>
      </c>
      <c r="Q151" s="32" t="s">
        <v>16</v>
      </c>
      <c r="R151" s="32" t="s">
        <v>16</v>
      </c>
      <c r="S151" s="32" t="s">
        <v>16</v>
      </c>
      <c r="T151" s="33" t="s">
        <v>13</v>
      </c>
      <c r="U151" s="33" t="s">
        <v>16</v>
      </c>
      <c r="V151" s="33" t="s">
        <v>16</v>
      </c>
      <c r="W151" s="34" t="s">
        <v>16</v>
      </c>
      <c r="X151" s="34" t="s">
        <v>16</v>
      </c>
      <c r="Y151" s="34" t="s">
        <v>16</v>
      </c>
      <c r="Z151" s="34" t="s">
        <v>16</v>
      </c>
      <c r="AA151" s="35" t="s">
        <v>16</v>
      </c>
      <c r="AB151" s="35" t="s">
        <v>16</v>
      </c>
      <c r="AC151" s="35" t="s">
        <v>16</v>
      </c>
      <c r="AD151" s="36" t="s">
        <v>16</v>
      </c>
      <c r="AE151" s="36" t="s">
        <v>16</v>
      </c>
      <c r="AF151" s="36" t="s">
        <v>16</v>
      </c>
      <c r="AG151" s="37" t="s">
        <v>13</v>
      </c>
      <c r="AH151" s="37" t="s">
        <v>16</v>
      </c>
      <c r="AI151" s="37" t="s">
        <v>16</v>
      </c>
      <c r="AJ151" s="37" t="s">
        <v>13</v>
      </c>
      <c r="AK151" s="37" t="s">
        <v>16</v>
      </c>
      <c r="AL151" s="38">
        <f t="shared" si="4"/>
        <v>2</v>
      </c>
      <c r="AM151" s="38">
        <f t="shared" si="5"/>
        <v>1</v>
      </c>
    </row>
    <row r="152" spans="1:39" ht="15" customHeight="1">
      <c r="A152" s="27">
        <v>151</v>
      </c>
      <c r="B152" s="28" t="s">
        <v>191</v>
      </c>
      <c r="C152" s="29" t="s">
        <v>243</v>
      </c>
      <c r="D152" s="28" t="s">
        <v>254</v>
      </c>
      <c r="E152" s="28" t="s">
        <v>255</v>
      </c>
      <c r="F152" s="28"/>
      <c r="G152" s="28"/>
      <c r="H152" s="28"/>
      <c r="I152" s="28"/>
      <c r="J152" s="28" t="s">
        <v>13</v>
      </c>
      <c r="K152" s="31" t="s">
        <v>16</v>
      </c>
      <c r="L152" s="31" t="s">
        <v>16</v>
      </c>
      <c r="M152" s="31" t="s">
        <v>16</v>
      </c>
      <c r="N152" s="31" t="s">
        <v>16</v>
      </c>
      <c r="O152" s="31" t="s">
        <v>16</v>
      </c>
      <c r="P152" s="32" t="s">
        <v>16</v>
      </c>
      <c r="Q152" s="32" t="s">
        <v>16</v>
      </c>
      <c r="R152" s="32" t="s">
        <v>16</v>
      </c>
      <c r="S152" s="32" t="s">
        <v>16</v>
      </c>
      <c r="T152" s="33" t="s">
        <v>13</v>
      </c>
      <c r="U152" s="33" t="s">
        <v>16</v>
      </c>
      <c r="V152" s="33" t="s">
        <v>16</v>
      </c>
      <c r="W152" s="34" t="s">
        <v>16</v>
      </c>
      <c r="X152" s="34" t="s">
        <v>16</v>
      </c>
      <c r="Y152" s="34" t="s">
        <v>16</v>
      </c>
      <c r="Z152" s="34" t="s">
        <v>16</v>
      </c>
      <c r="AA152" s="35" t="s">
        <v>16</v>
      </c>
      <c r="AB152" s="35" t="s">
        <v>16</v>
      </c>
      <c r="AC152" s="35" t="s">
        <v>16</v>
      </c>
      <c r="AD152" s="36" t="s">
        <v>16</v>
      </c>
      <c r="AE152" s="36" t="s">
        <v>16</v>
      </c>
      <c r="AF152" s="36" t="s">
        <v>16</v>
      </c>
      <c r="AG152" s="37" t="s">
        <v>13</v>
      </c>
      <c r="AH152" s="37" t="s">
        <v>16</v>
      </c>
      <c r="AI152" s="37" t="s">
        <v>16</v>
      </c>
      <c r="AJ152" s="37" t="s">
        <v>13</v>
      </c>
      <c r="AK152" s="37" t="s">
        <v>16</v>
      </c>
      <c r="AL152" s="38">
        <f t="shared" si="4"/>
        <v>2</v>
      </c>
      <c r="AM152" s="38">
        <f t="shared" si="5"/>
        <v>1</v>
      </c>
    </row>
    <row r="153" spans="1:39" ht="15" customHeight="1">
      <c r="A153" s="27">
        <v>152</v>
      </c>
      <c r="B153" s="28" t="s">
        <v>191</v>
      </c>
      <c r="C153" s="29" t="s">
        <v>243</v>
      </c>
      <c r="D153" s="28" t="s">
        <v>256</v>
      </c>
      <c r="E153" s="28" t="s">
        <v>257</v>
      </c>
      <c r="F153" s="28"/>
      <c r="G153" s="28"/>
      <c r="H153" s="28"/>
      <c r="I153" s="28" t="s">
        <v>13</v>
      </c>
      <c r="J153" s="28" t="s">
        <v>13</v>
      </c>
      <c r="K153" s="31" t="s">
        <v>16</v>
      </c>
      <c r="L153" s="31" t="s">
        <v>16</v>
      </c>
      <c r="M153" s="31" t="s">
        <v>16</v>
      </c>
      <c r="N153" s="31" t="s">
        <v>16</v>
      </c>
      <c r="O153" s="31" t="s">
        <v>16</v>
      </c>
      <c r="P153" s="32" t="s">
        <v>16</v>
      </c>
      <c r="Q153" s="32" t="s">
        <v>16</v>
      </c>
      <c r="R153" s="32" t="s">
        <v>16</v>
      </c>
      <c r="S153" s="32" t="s">
        <v>16</v>
      </c>
      <c r="T153" s="33" t="s">
        <v>13</v>
      </c>
      <c r="U153" s="33" t="s">
        <v>16</v>
      </c>
      <c r="V153" s="33" t="s">
        <v>13</v>
      </c>
      <c r="W153" s="34" t="s">
        <v>16</v>
      </c>
      <c r="X153" s="34" t="s">
        <v>16</v>
      </c>
      <c r="Y153" s="34" t="s">
        <v>16</v>
      </c>
      <c r="Z153" s="34" t="s">
        <v>16</v>
      </c>
      <c r="AA153" s="35" t="s">
        <v>16</v>
      </c>
      <c r="AB153" s="35" t="s">
        <v>16</v>
      </c>
      <c r="AC153" s="35" t="s">
        <v>16</v>
      </c>
      <c r="AD153" s="36" t="s">
        <v>13</v>
      </c>
      <c r="AE153" s="36" t="s">
        <v>13</v>
      </c>
      <c r="AF153" s="36" t="s">
        <v>16</v>
      </c>
      <c r="AG153" s="37" t="s">
        <v>16</v>
      </c>
      <c r="AH153" s="37" t="s">
        <v>16</v>
      </c>
      <c r="AI153" s="37" t="s">
        <v>16</v>
      </c>
      <c r="AJ153" s="37" t="s">
        <v>16</v>
      </c>
      <c r="AK153" s="37" t="s">
        <v>16</v>
      </c>
      <c r="AL153" s="38">
        <f t="shared" si="4"/>
        <v>2</v>
      </c>
      <c r="AM153" s="38">
        <f t="shared" si="5"/>
        <v>2</v>
      </c>
    </row>
    <row r="154" spans="1:39" ht="15" customHeight="1">
      <c r="A154" s="27">
        <v>153</v>
      </c>
      <c r="B154" s="28" t="s">
        <v>191</v>
      </c>
      <c r="C154" s="29" t="s">
        <v>243</v>
      </c>
      <c r="D154" s="28" t="s">
        <v>258</v>
      </c>
      <c r="E154" s="28" t="s">
        <v>259</v>
      </c>
      <c r="F154" s="28"/>
      <c r="G154" s="28"/>
      <c r="H154" s="28"/>
      <c r="I154" s="28" t="s">
        <v>13</v>
      </c>
      <c r="J154" s="28" t="s">
        <v>13</v>
      </c>
      <c r="K154" s="31" t="s">
        <v>13</v>
      </c>
      <c r="L154" s="31" t="s">
        <v>16</v>
      </c>
      <c r="M154" s="31" t="s">
        <v>13</v>
      </c>
      <c r="N154" s="31" t="s">
        <v>15</v>
      </c>
      <c r="O154" s="31" t="s">
        <v>13</v>
      </c>
      <c r="P154" s="32" t="s">
        <v>16</v>
      </c>
      <c r="Q154" s="32" t="s">
        <v>16</v>
      </c>
      <c r="R154" s="32" t="s">
        <v>16</v>
      </c>
      <c r="S154" s="32" t="s">
        <v>16</v>
      </c>
      <c r="T154" s="33" t="s">
        <v>16</v>
      </c>
      <c r="U154" s="33" t="s">
        <v>16</v>
      </c>
      <c r="V154" s="33" t="s">
        <v>16</v>
      </c>
      <c r="W154" s="34" t="s">
        <v>16</v>
      </c>
      <c r="X154" s="34" t="s">
        <v>16</v>
      </c>
      <c r="Y154" s="34" t="s">
        <v>16</v>
      </c>
      <c r="Z154" s="34" t="s">
        <v>16</v>
      </c>
      <c r="AA154" s="35" t="s">
        <v>16</v>
      </c>
      <c r="AB154" s="35" t="s">
        <v>16</v>
      </c>
      <c r="AC154" s="35" t="s">
        <v>16</v>
      </c>
      <c r="AD154" s="36" t="s">
        <v>13</v>
      </c>
      <c r="AE154" s="36" t="s">
        <v>13</v>
      </c>
      <c r="AF154" s="36" t="s">
        <v>16</v>
      </c>
      <c r="AG154" s="37" t="s">
        <v>13</v>
      </c>
      <c r="AH154" s="37" t="s">
        <v>16</v>
      </c>
      <c r="AI154" s="37" t="s">
        <v>16</v>
      </c>
      <c r="AJ154" s="37" t="s">
        <v>13</v>
      </c>
      <c r="AK154" s="37" t="s">
        <v>16</v>
      </c>
      <c r="AL154" s="38">
        <f t="shared" si="4"/>
        <v>3</v>
      </c>
      <c r="AM154" s="38">
        <f t="shared" si="5"/>
        <v>4</v>
      </c>
    </row>
    <row r="155" spans="1:39" ht="15" customHeight="1">
      <c r="A155" s="27">
        <v>154</v>
      </c>
      <c r="B155" s="28" t="s">
        <v>191</v>
      </c>
      <c r="C155" s="29" t="s">
        <v>243</v>
      </c>
      <c r="D155" s="28" t="s">
        <v>260</v>
      </c>
      <c r="E155" s="28" t="s">
        <v>255</v>
      </c>
      <c r="F155" s="28"/>
      <c r="G155" s="28"/>
      <c r="H155" s="28"/>
      <c r="I155" s="28"/>
      <c r="J155" s="28" t="s">
        <v>13</v>
      </c>
      <c r="K155" s="31" t="s">
        <v>13</v>
      </c>
      <c r="L155" s="31" t="s">
        <v>16</v>
      </c>
      <c r="M155" s="31" t="s">
        <v>16</v>
      </c>
      <c r="N155" s="31" t="s">
        <v>18</v>
      </c>
      <c r="O155" s="31" t="s">
        <v>13</v>
      </c>
      <c r="P155" s="32" t="s">
        <v>16</v>
      </c>
      <c r="Q155" s="32" t="s">
        <v>16</v>
      </c>
      <c r="R155" s="32" t="s">
        <v>16</v>
      </c>
      <c r="S155" s="32" t="s">
        <v>16</v>
      </c>
      <c r="T155" s="33" t="s">
        <v>16</v>
      </c>
      <c r="U155" s="33" t="s">
        <v>16</v>
      </c>
      <c r="V155" s="33" t="s">
        <v>16</v>
      </c>
      <c r="W155" s="34" t="s">
        <v>16</v>
      </c>
      <c r="X155" s="34" t="s">
        <v>16</v>
      </c>
      <c r="Y155" s="34" t="s">
        <v>16</v>
      </c>
      <c r="Z155" s="34" t="s">
        <v>16</v>
      </c>
      <c r="AA155" s="35" t="s">
        <v>16</v>
      </c>
      <c r="AB155" s="35" t="s">
        <v>16</v>
      </c>
      <c r="AC155" s="35" t="s">
        <v>16</v>
      </c>
      <c r="AD155" s="36" t="s">
        <v>13</v>
      </c>
      <c r="AE155" s="36" t="s">
        <v>13</v>
      </c>
      <c r="AF155" s="36" t="s">
        <v>16</v>
      </c>
      <c r="AG155" s="37" t="s">
        <v>13</v>
      </c>
      <c r="AH155" s="37" t="s">
        <v>16</v>
      </c>
      <c r="AI155" s="37" t="s">
        <v>16</v>
      </c>
      <c r="AJ155" s="37" t="s">
        <v>13</v>
      </c>
      <c r="AK155" s="37" t="s">
        <v>16</v>
      </c>
      <c r="AL155" s="38">
        <f t="shared" si="4"/>
        <v>3</v>
      </c>
      <c r="AM155" s="38">
        <f t="shared" si="5"/>
        <v>3</v>
      </c>
    </row>
    <row r="156" spans="1:39" ht="15" customHeight="1">
      <c r="A156" s="27">
        <v>155</v>
      </c>
      <c r="B156" s="28" t="s">
        <v>191</v>
      </c>
      <c r="C156" s="29" t="s">
        <v>243</v>
      </c>
      <c r="D156" s="28" t="s">
        <v>261</v>
      </c>
      <c r="E156" s="28" t="s">
        <v>205</v>
      </c>
      <c r="F156" s="28"/>
      <c r="G156" s="28"/>
      <c r="H156" s="28"/>
      <c r="I156" s="28" t="s">
        <v>13</v>
      </c>
      <c r="J156" s="28" t="s">
        <v>13</v>
      </c>
      <c r="K156" s="31" t="s">
        <v>16</v>
      </c>
      <c r="L156" s="31" t="s">
        <v>16</v>
      </c>
      <c r="M156" s="31" t="s">
        <v>13</v>
      </c>
      <c r="N156" s="31" t="s">
        <v>15</v>
      </c>
      <c r="O156" s="31" t="s">
        <v>13</v>
      </c>
      <c r="P156" s="32" t="s">
        <v>16</v>
      </c>
      <c r="Q156" s="32" t="s">
        <v>16</v>
      </c>
      <c r="R156" s="32" t="s">
        <v>16</v>
      </c>
      <c r="S156" s="32" t="s">
        <v>16</v>
      </c>
      <c r="T156" s="33" t="s">
        <v>16</v>
      </c>
      <c r="U156" s="33" t="s">
        <v>16</v>
      </c>
      <c r="V156" s="33" t="s">
        <v>16</v>
      </c>
      <c r="W156" s="34" t="s">
        <v>16</v>
      </c>
      <c r="X156" s="34" t="s">
        <v>16</v>
      </c>
      <c r="Y156" s="34" t="s">
        <v>16</v>
      </c>
      <c r="Z156" s="34" t="s">
        <v>16</v>
      </c>
      <c r="AA156" s="35" t="s">
        <v>16</v>
      </c>
      <c r="AB156" s="35" t="s">
        <v>16</v>
      </c>
      <c r="AC156" s="35" t="s">
        <v>16</v>
      </c>
      <c r="AD156" s="36" t="s">
        <v>13</v>
      </c>
      <c r="AE156" s="36" t="s">
        <v>13</v>
      </c>
      <c r="AF156" s="36" t="s">
        <v>16</v>
      </c>
      <c r="AG156" s="37" t="s">
        <v>13</v>
      </c>
      <c r="AH156" s="37" t="s">
        <v>16</v>
      </c>
      <c r="AI156" s="37" t="s">
        <v>16</v>
      </c>
      <c r="AJ156" s="37" t="s">
        <v>13</v>
      </c>
      <c r="AK156" s="37" t="s">
        <v>16</v>
      </c>
      <c r="AL156" s="38">
        <f t="shared" si="4"/>
        <v>2</v>
      </c>
      <c r="AM156" s="38">
        <f t="shared" si="5"/>
        <v>4</v>
      </c>
    </row>
    <row r="157" spans="1:39" ht="15" customHeight="1">
      <c r="A157" s="27">
        <v>156</v>
      </c>
      <c r="B157" s="28" t="s">
        <v>191</v>
      </c>
      <c r="C157" s="29" t="s">
        <v>243</v>
      </c>
      <c r="D157" s="28" t="s">
        <v>262</v>
      </c>
      <c r="E157" s="28" t="s">
        <v>263</v>
      </c>
      <c r="F157" s="28"/>
      <c r="G157" s="28"/>
      <c r="H157" s="28"/>
      <c r="I157" s="28"/>
      <c r="J157" s="28" t="s">
        <v>13</v>
      </c>
      <c r="K157" s="31" t="s">
        <v>13</v>
      </c>
      <c r="L157" s="31" t="s">
        <v>16</v>
      </c>
      <c r="M157" s="31" t="s">
        <v>16</v>
      </c>
      <c r="N157" s="31" t="s">
        <v>13</v>
      </c>
      <c r="O157" s="31" t="s">
        <v>13</v>
      </c>
      <c r="P157" s="32" t="s">
        <v>16</v>
      </c>
      <c r="Q157" s="32" t="s">
        <v>16</v>
      </c>
      <c r="R157" s="32" t="s">
        <v>16</v>
      </c>
      <c r="S157" s="32" t="s">
        <v>16</v>
      </c>
      <c r="T157" s="33" t="s">
        <v>16</v>
      </c>
      <c r="U157" s="33" t="s">
        <v>16</v>
      </c>
      <c r="V157" s="33" t="s">
        <v>16</v>
      </c>
      <c r="W157" s="34" t="s">
        <v>16</v>
      </c>
      <c r="X157" s="34" t="s">
        <v>16</v>
      </c>
      <c r="Y157" s="34" t="s">
        <v>16</v>
      </c>
      <c r="Z157" s="34" t="s">
        <v>16</v>
      </c>
      <c r="AA157" s="35" t="s">
        <v>16</v>
      </c>
      <c r="AB157" s="35" t="s">
        <v>16</v>
      </c>
      <c r="AC157" s="35" t="s">
        <v>16</v>
      </c>
      <c r="AD157" s="36" t="s">
        <v>16</v>
      </c>
      <c r="AE157" s="36" t="s">
        <v>16</v>
      </c>
      <c r="AF157" s="36" t="s">
        <v>16</v>
      </c>
      <c r="AG157" s="37" t="s">
        <v>13</v>
      </c>
      <c r="AH157" s="37" t="s">
        <v>16</v>
      </c>
      <c r="AI157" s="37" t="s">
        <v>16</v>
      </c>
      <c r="AJ157" s="37" t="s">
        <v>13</v>
      </c>
      <c r="AK157" s="37" t="s">
        <v>16</v>
      </c>
      <c r="AL157" s="38">
        <f t="shared" si="4"/>
        <v>2</v>
      </c>
      <c r="AM157" s="38">
        <f t="shared" si="5"/>
        <v>3</v>
      </c>
    </row>
    <row r="158" spans="1:39" ht="15" customHeight="1">
      <c r="A158" s="27">
        <v>157</v>
      </c>
      <c r="B158" s="28" t="s">
        <v>191</v>
      </c>
      <c r="C158" s="29" t="s">
        <v>243</v>
      </c>
      <c r="D158" s="28" t="s">
        <v>264</v>
      </c>
      <c r="E158" s="28" t="s">
        <v>265</v>
      </c>
      <c r="F158" s="28"/>
      <c r="G158" s="28"/>
      <c r="H158" s="28"/>
      <c r="I158" s="28" t="s">
        <v>13</v>
      </c>
      <c r="J158" s="28" t="s">
        <v>13</v>
      </c>
      <c r="K158" s="31" t="s">
        <v>13</v>
      </c>
      <c r="L158" s="31" t="s">
        <v>16</v>
      </c>
      <c r="M158" s="31" t="s">
        <v>13</v>
      </c>
      <c r="N158" s="31" t="s">
        <v>13</v>
      </c>
      <c r="O158" s="31" t="s">
        <v>13</v>
      </c>
      <c r="P158" s="32" t="s">
        <v>16</v>
      </c>
      <c r="Q158" s="32" t="s">
        <v>16</v>
      </c>
      <c r="R158" s="32" t="s">
        <v>16</v>
      </c>
      <c r="S158" s="32" t="s">
        <v>16</v>
      </c>
      <c r="T158" s="33" t="s">
        <v>16</v>
      </c>
      <c r="U158" s="33" t="s">
        <v>16</v>
      </c>
      <c r="V158" s="33" t="s">
        <v>16</v>
      </c>
      <c r="W158" s="34" t="s">
        <v>16</v>
      </c>
      <c r="X158" s="34" t="s">
        <v>16</v>
      </c>
      <c r="Y158" s="34" t="s">
        <v>16</v>
      </c>
      <c r="Z158" s="34" t="s">
        <v>16</v>
      </c>
      <c r="AA158" s="35" t="s">
        <v>16</v>
      </c>
      <c r="AB158" s="35" t="s">
        <v>16</v>
      </c>
      <c r="AC158" s="35" t="s">
        <v>16</v>
      </c>
      <c r="AD158" s="36" t="s">
        <v>13</v>
      </c>
      <c r="AE158" s="36" t="s">
        <v>13</v>
      </c>
      <c r="AF158" s="36" t="s">
        <v>16</v>
      </c>
      <c r="AG158" s="37" t="s">
        <v>13</v>
      </c>
      <c r="AH158" s="37" t="s">
        <v>16</v>
      </c>
      <c r="AI158" s="37" t="s">
        <v>16</v>
      </c>
      <c r="AJ158" s="37" t="s">
        <v>13</v>
      </c>
      <c r="AK158" s="37" t="s">
        <v>16</v>
      </c>
      <c r="AL158" s="38">
        <f t="shared" si="4"/>
        <v>3</v>
      </c>
      <c r="AM158" s="38">
        <f t="shared" si="5"/>
        <v>5</v>
      </c>
    </row>
    <row r="159" spans="1:39" ht="15" customHeight="1">
      <c r="A159" s="27">
        <v>158</v>
      </c>
      <c r="B159" s="28" t="s">
        <v>191</v>
      </c>
      <c r="C159" s="29" t="s">
        <v>243</v>
      </c>
      <c r="D159" s="28" t="s">
        <v>266</v>
      </c>
      <c r="E159" s="28" t="s">
        <v>207</v>
      </c>
      <c r="F159" s="28"/>
      <c r="G159" s="28"/>
      <c r="H159" s="28"/>
      <c r="I159" s="28"/>
      <c r="J159" s="28" t="s">
        <v>13</v>
      </c>
      <c r="K159" s="31" t="s">
        <v>13</v>
      </c>
      <c r="L159" s="31" t="s">
        <v>16</v>
      </c>
      <c r="M159" s="31" t="s">
        <v>16</v>
      </c>
      <c r="N159" s="31" t="s">
        <v>16</v>
      </c>
      <c r="O159" s="31" t="s">
        <v>15</v>
      </c>
      <c r="P159" s="32" t="s">
        <v>16</v>
      </c>
      <c r="Q159" s="32" t="s">
        <v>16</v>
      </c>
      <c r="R159" s="32" t="s">
        <v>16</v>
      </c>
      <c r="S159" s="32" t="s">
        <v>16</v>
      </c>
      <c r="T159" s="33" t="s">
        <v>16</v>
      </c>
      <c r="U159" s="33" t="s">
        <v>16</v>
      </c>
      <c r="V159" s="33" t="s">
        <v>16</v>
      </c>
      <c r="W159" s="34" t="s">
        <v>16</v>
      </c>
      <c r="X159" s="34" t="s">
        <v>16</v>
      </c>
      <c r="Y159" s="34" t="s">
        <v>16</v>
      </c>
      <c r="Z159" s="34" t="s">
        <v>16</v>
      </c>
      <c r="AA159" s="35" t="s">
        <v>16</v>
      </c>
      <c r="AB159" s="35" t="s">
        <v>16</v>
      </c>
      <c r="AC159" s="35" t="s">
        <v>16</v>
      </c>
      <c r="AD159" s="36" t="s">
        <v>13</v>
      </c>
      <c r="AE159" s="36" t="s">
        <v>13</v>
      </c>
      <c r="AF159" s="36" t="s">
        <v>13</v>
      </c>
      <c r="AG159" s="37" t="s">
        <v>13</v>
      </c>
      <c r="AH159" s="37" t="s">
        <v>16</v>
      </c>
      <c r="AI159" s="37" t="s">
        <v>16</v>
      </c>
      <c r="AJ159" s="37" t="s">
        <v>13</v>
      </c>
      <c r="AK159" s="37" t="s">
        <v>16</v>
      </c>
      <c r="AL159" s="38">
        <f t="shared" si="4"/>
        <v>3</v>
      </c>
      <c r="AM159" s="38">
        <f t="shared" si="5"/>
        <v>3</v>
      </c>
    </row>
    <row r="160" spans="1:39" ht="15" customHeight="1">
      <c r="A160" s="27">
        <v>159</v>
      </c>
      <c r="B160" s="28" t="s">
        <v>191</v>
      </c>
      <c r="C160" s="29" t="s">
        <v>243</v>
      </c>
      <c r="D160" s="30" t="s">
        <v>267</v>
      </c>
      <c r="E160" s="28" t="s">
        <v>268</v>
      </c>
      <c r="F160" s="28"/>
      <c r="G160" s="28"/>
      <c r="H160" s="28"/>
      <c r="I160" s="28" t="s">
        <v>13</v>
      </c>
      <c r="J160" s="28" t="s">
        <v>13</v>
      </c>
      <c r="K160" s="31" t="s">
        <v>16</v>
      </c>
      <c r="L160" s="31" t="s">
        <v>16</v>
      </c>
      <c r="M160" s="31" t="s">
        <v>16</v>
      </c>
      <c r="N160" s="31" t="s">
        <v>16</v>
      </c>
      <c r="O160" s="31" t="s">
        <v>13</v>
      </c>
      <c r="P160" s="32" t="s">
        <v>16</v>
      </c>
      <c r="Q160" s="32" t="s">
        <v>16</v>
      </c>
      <c r="R160" s="32" t="s">
        <v>16</v>
      </c>
      <c r="S160" s="32" t="s">
        <v>16</v>
      </c>
      <c r="T160" s="33" t="s">
        <v>13</v>
      </c>
      <c r="U160" s="33" t="s">
        <v>16</v>
      </c>
      <c r="V160" s="33" t="s">
        <v>18</v>
      </c>
      <c r="W160" s="34" t="s">
        <v>16</v>
      </c>
      <c r="X160" s="34" t="s">
        <v>16</v>
      </c>
      <c r="Y160" s="34" t="s">
        <v>16</v>
      </c>
      <c r="Z160" s="34" t="s">
        <v>16</v>
      </c>
      <c r="AA160" s="35" t="s">
        <v>16</v>
      </c>
      <c r="AB160" s="35" t="s">
        <v>16</v>
      </c>
      <c r="AC160" s="35" t="s">
        <v>16</v>
      </c>
      <c r="AD160" s="36" t="s">
        <v>16</v>
      </c>
      <c r="AE160" s="36" t="s">
        <v>16</v>
      </c>
      <c r="AF160" s="36" t="s">
        <v>16</v>
      </c>
      <c r="AG160" s="37" t="s">
        <v>13</v>
      </c>
      <c r="AH160" s="37" t="s">
        <v>16</v>
      </c>
      <c r="AI160" s="37" t="s">
        <v>16</v>
      </c>
      <c r="AJ160" s="37" t="s">
        <v>13</v>
      </c>
      <c r="AK160" s="37" t="s">
        <v>16</v>
      </c>
      <c r="AL160" s="38">
        <f t="shared" si="4"/>
        <v>2</v>
      </c>
      <c r="AM160" s="38">
        <f t="shared" si="5"/>
        <v>2</v>
      </c>
    </row>
    <row r="161" spans="1:39" ht="15" customHeight="1">
      <c r="A161" s="27">
        <v>160</v>
      </c>
      <c r="B161" s="28" t="s">
        <v>191</v>
      </c>
      <c r="C161" s="29" t="s">
        <v>243</v>
      </c>
      <c r="D161" s="28" t="s">
        <v>269</v>
      </c>
      <c r="E161" s="28" t="s">
        <v>255</v>
      </c>
      <c r="F161" s="28"/>
      <c r="G161" s="28"/>
      <c r="H161" s="28"/>
      <c r="I161" s="28"/>
      <c r="J161" s="28" t="s">
        <v>13</v>
      </c>
      <c r="K161" s="31" t="s">
        <v>16</v>
      </c>
      <c r="L161" s="31" t="s">
        <v>16</v>
      </c>
      <c r="M161" s="31" t="s">
        <v>16</v>
      </c>
      <c r="N161" s="31" t="s">
        <v>16</v>
      </c>
      <c r="O161" s="31" t="s">
        <v>13</v>
      </c>
      <c r="P161" s="32" t="s">
        <v>16</v>
      </c>
      <c r="Q161" s="32" t="s">
        <v>16</v>
      </c>
      <c r="R161" s="32" t="s">
        <v>16</v>
      </c>
      <c r="S161" s="32" t="s">
        <v>16</v>
      </c>
      <c r="T161" s="33" t="s">
        <v>13</v>
      </c>
      <c r="U161" s="33" t="s">
        <v>16</v>
      </c>
      <c r="V161" s="33" t="s">
        <v>13</v>
      </c>
      <c r="W161" s="34" t="s">
        <v>16</v>
      </c>
      <c r="X161" s="34" t="s">
        <v>16</v>
      </c>
      <c r="Y161" s="34" t="s">
        <v>16</v>
      </c>
      <c r="Z161" s="34" t="s">
        <v>16</v>
      </c>
      <c r="AA161" s="35" t="s">
        <v>16</v>
      </c>
      <c r="AB161" s="35" t="s">
        <v>16</v>
      </c>
      <c r="AC161" s="35" t="s">
        <v>16</v>
      </c>
      <c r="AD161" s="36" t="s">
        <v>16</v>
      </c>
      <c r="AE161" s="36" t="s">
        <v>16</v>
      </c>
      <c r="AF161" s="36" t="s">
        <v>16</v>
      </c>
      <c r="AG161" s="37" t="s">
        <v>13</v>
      </c>
      <c r="AH161" s="37" t="s">
        <v>16</v>
      </c>
      <c r="AI161" s="37" t="s">
        <v>16</v>
      </c>
      <c r="AJ161" s="37" t="s">
        <v>13</v>
      </c>
      <c r="AK161" s="37" t="s">
        <v>16</v>
      </c>
      <c r="AL161" s="38">
        <f t="shared" si="4"/>
        <v>2</v>
      </c>
      <c r="AM161" s="38">
        <f t="shared" si="5"/>
        <v>3</v>
      </c>
    </row>
    <row r="162" spans="1:39" ht="15" customHeight="1">
      <c r="A162" s="27">
        <v>161</v>
      </c>
      <c r="B162" s="28" t="s">
        <v>191</v>
      </c>
      <c r="C162" s="29" t="s">
        <v>243</v>
      </c>
      <c r="D162" s="28" t="s">
        <v>270</v>
      </c>
      <c r="E162" s="28" t="s">
        <v>271</v>
      </c>
      <c r="F162" s="28"/>
      <c r="G162" s="28"/>
      <c r="H162" s="28"/>
      <c r="I162" s="28"/>
      <c r="J162" s="28" t="s">
        <v>13</v>
      </c>
      <c r="K162" s="31" t="s">
        <v>16</v>
      </c>
      <c r="L162" s="31" t="s">
        <v>16</v>
      </c>
      <c r="M162" s="31" t="s">
        <v>16</v>
      </c>
      <c r="N162" s="31" t="s">
        <v>16</v>
      </c>
      <c r="O162" s="31" t="s">
        <v>13</v>
      </c>
      <c r="P162" s="32" t="s">
        <v>16</v>
      </c>
      <c r="Q162" s="32" t="s">
        <v>16</v>
      </c>
      <c r="R162" s="32" t="s">
        <v>16</v>
      </c>
      <c r="S162" s="32" t="s">
        <v>16</v>
      </c>
      <c r="T162" s="33" t="s">
        <v>13</v>
      </c>
      <c r="U162" s="33" t="s">
        <v>16</v>
      </c>
      <c r="V162" s="33" t="s">
        <v>13</v>
      </c>
      <c r="W162" s="34" t="s">
        <v>16</v>
      </c>
      <c r="X162" s="34" t="s">
        <v>16</v>
      </c>
      <c r="Y162" s="34" t="s">
        <v>16</v>
      </c>
      <c r="Z162" s="34" t="s">
        <v>16</v>
      </c>
      <c r="AA162" s="35" t="s">
        <v>16</v>
      </c>
      <c r="AB162" s="35" t="s">
        <v>16</v>
      </c>
      <c r="AC162" s="35" t="s">
        <v>16</v>
      </c>
      <c r="AD162" s="36" t="s">
        <v>16</v>
      </c>
      <c r="AE162" s="36" t="s">
        <v>16</v>
      </c>
      <c r="AF162" s="36" t="s">
        <v>16</v>
      </c>
      <c r="AG162" s="37" t="s">
        <v>13</v>
      </c>
      <c r="AH162" s="37" t="s">
        <v>16</v>
      </c>
      <c r="AI162" s="37" t="s">
        <v>16</v>
      </c>
      <c r="AJ162" s="37" t="s">
        <v>13</v>
      </c>
      <c r="AK162" s="37" t="s">
        <v>16</v>
      </c>
      <c r="AL162" s="38">
        <f t="shared" si="4"/>
        <v>2</v>
      </c>
      <c r="AM162" s="38">
        <f t="shared" si="5"/>
        <v>3</v>
      </c>
    </row>
    <row r="163" spans="1:39" ht="15" customHeight="1">
      <c r="A163" s="27">
        <v>162</v>
      </c>
      <c r="B163" s="28" t="s">
        <v>191</v>
      </c>
      <c r="C163" s="29" t="s">
        <v>243</v>
      </c>
      <c r="D163" s="28" t="s">
        <v>272</v>
      </c>
      <c r="E163" s="28" t="s">
        <v>255</v>
      </c>
      <c r="F163" s="28"/>
      <c r="G163" s="28"/>
      <c r="H163" s="28"/>
      <c r="I163" s="28"/>
      <c r="J163" s="28" t="s">
        <v>13</v>
      </c>
      <c r="K163" s="31" t="s">
        <v>13</v>
      </c>
      <c r="L163" s="31" t="s">
        <v>16</v>
      </c>
      <c r="M163" s="31" t="s">
        <v>13</v>
      </c>
      <c r="N163" s="31" t="s">
        <v>16</v>
      </c>
      <c r="O163" s="31" t="s">
        <v>18</v>
      </c>
      <c r="P163" s="32" t="s">
        <v>16</v>
      </c>
      <c r="Q163" s="32" t="s">
        <v>16</v>
      </c>
      <c r="R163" s="32" t="s">
        <v>16</v>
      </c>
      <c r="S163" s="32" t="s">
        <v>16</v>
      </c>
      <c r="T163" s="33" t="s">
        <v>13</v>
      </c>
      <c r="U163" s="33" t="s">
        <v>16</v>
      </c>
      <c r="V163" s="33" t="s">
        <v>16</v>
      </c>
      <c r="W163" s="34" t="s">
        <v>16</v>
      </c>
      <c r="X163" s="34" t="s">
        <v>16</v>
      </c>
      <c r="Y163" s="34" t="s">
        <v>16</v>
      </c>
      <c r="Z163" s="34" t="s">
        <v>16</v>
      </c>
      <c r="AA163" s="35" t="s">
        <v>16</v>
      </c>
      <c r="AB163" s="35" t="s">
        <v>16</v>
      </c>
      <c r="AC163" s="35" t="s">
        <v>16</v>
      </c>
      <c r="AD163" s="36" t="s">
        <v>16</v>
      </c>
      <c r="AE163" s="36" t="s">
        <v>16</v>
      </c>
      <c r="AF163" s="36" t="s">
        <v>16</v>
      </c>
      <c r="AG163" s="37" t="s">
        <v>13</v>
      </c>
      <c r="AH163" s="37" t="s">
        <v>16</v>
      </c>
      <c r="AI163" s="37" t="s">
        <v>16</v>
      </c>
      <c r="AJ163" s="37" t="s">
        <v>13</v>
      </c>
      <c r="AK163" s="37" t="s">
        <v>16</v>
      </c>
      <c r="AL163" s="38">
        <f t="shared" si="4"/>
        <v>3</v>
      </c>
      <c r="AM163" s="38">
        <f t="shared" si="5"/>
        <v>2</v>
      </c>
    </row>
    <row r="164" spans="1:39" ht="15" customHeight="1">
      <c r="A164" s="27">
        <v>163</v>
      </c>
      <c r="B164" s="28" t="s">
        <v>191</v>
      </c>
      <c r="C164" s="29" t="s">
        <v>243</v>
      </c>
      <c r="D164" s="28" t="s">
        <v>273</v>
      </c>
      <c r="E164" s="28" t="s">
        <v>274</v>
      </c>
      <c r="F164" s="28"/>
      <c r="G164" s="28"/>
      <c r="H164" s="28"/>
      <c r="I164" s="28"/>
      <c r="J164" s="28" t="s">
        <v>13</v>
      </c>
      <c r="K164" s="31" t="s">
        <v>13</v>
      </c>
      <c r="L164" s="31" t="s">
        <v>16</v>
      </c>
      <c r="M164" s="31" t="s">
        <v>18</v>
      </c>
      <c r="N164" s="31" t="s">
        <v>16</v>
      </c>
      <c r="O164" s="31" t="s">
        <v>18</v>
      </c>
      <c r="P164" s="32" t="s">
        <v>16</v>
      </c>
      <c r="Q164" s="32" t="s">
        <v>16</v>
      </c>
      <c r="R164" s="32" t="s">
        <v>16</v>
      </c>
      <c r="S164" s="32" t="s">
        <v>16</v>
      </c>
      <c r="T164" s="33" t="s">
        <v>13</v>
      </c>
      <c r="U164" s="33" t="s">
        <v>16</v>
      </c>
      <c r="V164" s="33" t="s">
        <v>16</v>
      </c>
      <c r="W164" s="34" t="s">
        <v>16</v>
      </c>
      <c r="X164" s="34" t="s">
        <v>16</v>
      </c>
      <c r="Y164" s="34" t="s">
        <v>16</v>
      </c>
      <c r="Z164" s="34" t="s">
        <v>16</v>
      </c>
      <c r="AA164" s="35" t="s">
        <v>16</v>
      </c>
      <c r="AB164" s="35" t="s">
        <v>16</v>
      </c>
      <c r="AC164" s="35" t="s">
        <v>16</v>
      </c>
      <c r="AD164" s="36" t="s">
        <v>16</v>
      </c>
      <c r="AE164" s="36" t="s">
        <v>16</v>
      </c>
      <c r="AF164" s="36" t="s">
        <v>16</v>
      </c>
      <c r="AG164" s="37" t="s">
        <v>13</v>
      </c>
      <c r="AH164" s="37" t="s">
        <v>16</v>
      </c>
      <c r="AI164" s="37" t="s">
        <v>16</v>
      </c>
      <c r="AJ164" s="37" t="s">
        <v>13</v>
      </c>
      <c r="AK164" s="37" t="s">
        <v>16</v>
      </c>
      <c r="AL164" s="38">
        <f t="shared" si="4"/>
        <v>3</v>
      </c>
      <c r="AM164" s="38">
        <f t="shared" si="5"/>
        <v>1</v>
      </c>
    </row>
    <row r="165" spans="1:39" ht="15" customHeight="1">
      <c r="A165" s="27">
        <v>164</v>
      </c>
      <c r="B165" s="28" t="s">
        <v>191</v>
      </c>
      <c r="C165" s="29" t="s">
        <v>243</v>
      </c>
      <c r="D165" s="28" t="s">
        <v>275</v>
      </c>
      <c r="E165" s="28" t="s">
        <v>203</v>
      </c>
      <c r="F165" s="28"/>
      <c r="G165" s="28"/>
      <c r="H165" s="28"/>
      <c r="I165" s="28"/>
      <c r="J165" s="28" t="s">
        <v>13</v>
      </c>
      <c r="K165" s="31" t="s">
        <v>28</v>
      </c>
      <c r="L165" s="31" t="s">
        <v>28</v>
      </c>
      <c r="M165" s="31" t="s">
        <v>28</v>
      </c>
      <c r="N165" s="31" t="s">
        <v>28</v>
      </c>
      <c r="O165" s="31" t="s">
        <v>13</v>
      </c>
      <c r="P165" s="32" t="s">
        <v>16</v>
      </c>
      <c r="Q165" s="32" t="s">
        <v>16</v>
      </c>
      <c r="R165" s="32" t="s">
        <v>16</v>
      </c>
      <c r="S165" s="32" t="s">
        <v>16</v>
      </c>
      <c r="T165" s="33" t="s">
        <v>13</v>
      </c>
      <c r="U165" s="33" t="s">
        <v>16</v>
      </c>
      <c r="V165" s="33" t="s">
        <v>16</v>
      </c>
      <c r="W165" s="34" t="s">
        <v>16</v>
      </c>
      <c r="X165" s="34" t="s">
        <v>16</v>
      </c>
      <c r="Y165" s="34" t="s">
        <v>16</v>
      </c>
      <c r="Z165" s="34" t="s">
        <v>16</v>
      </c>
      <c r="AA165" s="35" t="s">
        <v>16</v>
      </c>
      <c r="AB165" s="35" t="s">
        <v>16</v>
      </c>
      <c r="AC165" s="35" t="s">
        <v>16</v>
      </c>
      <c r="AD165" s="36" t="s">
        <v>16</v>
      </c>
      <c r="AE165" s="36" t="s">
        <v>16</v>
      </c>
      <c r="AF165" s="36" t="s">
        <v>16</v>
      </c>
      <c r="AG165" s="37" t="s">
        <v>13</v>
      </c>
      <c r="AH165" s="37" t="s">
        <v>16</v>
      </c>
      <c r="AI165" s="37" t="s">
        <v>16</v>
      </c>
      <c r="AJ165" s="37" t="s">
        <v>13</v>
      </c>
      <c r="AK165" s="37" t="s">
        <v>16</v>
      </c>
      <c r="AL165" s="38">
        <f t="shared" si="4"/>
        <v>2</v>
      </c>
      <c r="AM165" s="38">
        <f t="shared" si="5"/>
        <v>2</v>
      </c>
    </row>
    <row r="166" spans="1:39" ht="15" customHeight="1">
      <c r="A166" s="27">
        <v>165</v>
      </c>
      <c r="B166" s="28" t="s">
        <v>191</v>
      </c>
      <c r="C166" s="29" t="s">
        <v>243</v>
      </c>
      <c r="D166" s="28" t="s">
        <v>276</v>
      </c>
      <c r="E166" s="28" t="s">
        <v>277</v>
      </c>
      <c r="F166" s="28"/>
      <c r="G166" s="28"/>
      <c r="H166" s="28"/>
      <c r="I166" s="28"/>
      <c r="J166" s="28" t="s">
        <v>13</v>
      </c>
      <c r="K166" s="31" t="s">
        <v>28</v>
      </c>
      <c r="L166" s="31" t="s">
        <v>28</v>
      </c>
      <c r="M166" s="31" t="s">
        <v>28</v>
      </c>
      <c r="N166" s="31" t="s">
        <v>28</v>
      </c>
      <c r="O166" s="31" t="s">
        <v>13</v>
      </c>
      <c r="P166" s="32" t="s">
        <v>16</v>
      </c>
      <c r="Q166" s="32" t="s">
        <v>16</v>
      </c>
      <c r="R166" s="32" t="s">
        <v>16</v>
      </c>
      <c r="S166" s="32" t="s">
        <v>16</v>
      </c>
      <c r="T166" s="33" t="s">
        <v>13</v>
      </c>
      <c r="U166" s="33" t="s">
        <v>16</v>
      </c>
      <c r="V166" s="33" t="s">
        <v>16</v>
      </c>
      <c r="W166" s="34" t="s">
        <v>16</v>
      </c>
      <c r="X166" s="34" t="s">
        <v>16</v>
      </c>
      <c r="Y166" s="34" t="s">
        <v>16</v>
      </c>
      <c r="Z166" s="34" t="s">
        <v>16</v>
      </c>
      <c r="AA166" s="35" t="s">
        <v>16</v>
      </c>
      <c r="AB166" s="35" t="s">
        <v>16</v>
      </c>
      <c r="AC166" s="35" t="s">
        <v>16</v>
      </c>
      <c r="AD166" s="36" t="s">
        <v>28</v>
      </c>
      <c r="AE166" s="36"/>
      <c r="AF166" s="36"/>
      <c r="AG166" s="37" t="s">
        <v>13</v>
      </c>
      <c r="AH166" s="37" t="s">
        <v>16</v>
      </c>
      <c r="AI166" s="37" t="s">
        <v>16</v>
      </c>
      <c r="AJ166" s="37" t="s">
        <v>13</v>
      </c>
      <c r="AK166" s="37" t="s">
        <v>16</v>
      </c>
      <c r="AL166" s="38">
        <f t="shared" si="4"/>
        <v>2</v>
      </c>
      <c r="AM166" s="38">
        <f t="shared" si="5"/>
        <v>2</v>
      </c>
    </row>
    <row r="167" spans="1:39" ht="15" customHeight="1">
      <c r="A167" s="27">
        <v>166</v>
      </c>
      <c r="B167" s="28" t="s">
        <v>191</v>
      </c>
      <c r="C167" s="29" t="s">
        <v>243</v>
      </c>
      <c r="D167" s="28" t="s">
        <v>278</v>
      </c>
      <c r="E167" s="28" t="s">
        <v>255</v>
      </c>
      <c r="F167" s="28"/>
      <c r="G167" s="28"/>
      <c r="H167" s="28"/>
      <c r="I167" s="28"/>
      <c r="J167" s="28" t="s">
        <v>13</v>
      </c>
      <c r="K167" s="31" t="s">
        <v>28</v>
      </c>
      <c r="L167" s="31" t="s">
        <v>28</v>
      </c>
      <c r="M167" s="31" t="s">
        <v>28</v>
      </c>
      <c r="N167" s="31" t="s">
        <v>28</v>
      </c>
      <c r="O167" s="31" t="s">
        <v>13</v>
      </c>
      <c r="P167" s="32" t="s">
        <v>16</v>
      </c>
      <c r="Q167" s="32" t="s">
        <v>16</v>
      </c>
      <c r="R167" s="32" t="s">
        <v>16</v>
      </c>
      <c r="S167" s="32" t="s">
        <v>16</v>
      </c>
      <c r="T167" s="33" t="s">
        <v>13</v>
      </c>
      <c r="U167" s="33" t="s">
        <v>16</v>
      </c>
      <c r="V167" s="33" t="s">
        <v>16</v>
      </c>
      <c r="W167" s="34" t="s">
        <v>16</v>
      </c>
      <c r="X167" s="34" t="s">
        <v>16</v>
      </c>
      <c r="Y167" s="34" t="s">
        <v>16</v>
      </c>
      <c r="Z167" s="34" t="s">
        <v>16</v>
      </c>
      <c r="AA167" s="35" t="s">
        <v>16</v>
      </c>
      <c r="AB167" s="35" t="s">
        <v>16</v>
      </c>
      <c r="AC167" s="35" t="s">
        <v>16</v>
      </c>
      <c r="AD167" s="36" t="s">
        <v>28</v>
      </c>
      <c r="AE167" s="36"/>
      <c r="AF167" s="36"/>
      <c r="AG167" s="37" t="s">
        <v>13</v>
      </c>
      <c r="AH167" s="37" t="s">
        <v>16</v>
      </c>
      <c r="AI167" s="37" t="s">
        <v>16</v>
      </c>
      <c r="AJ167" s="37" t="s">
        <v>13</v>
      </c>
      <c r="AK167" s="37" t="s">
        <v>16</v>
      </c>
      <c r="AL167" s="38">
        <f t="shared" si="4"/>
        <v>2</v>
      </c>
      <c r="AM167" s="38">
        <f t="shared" si="5"/>
        <v>2</v>
      </c>
    </row>
    <row r="168" spans="1:39" ht="15" customHeight="1">
      <c r="A168" s="27">
        <v>167</v>
      </c>
      <c r="B168" s="28" t="s">
        <v>191</v>
      </c>
      <c r="C168" s="29" t="s">
        <v>243</v>
      </c>
      <c r="D168" s="28" t="s">
        <v>279</v>
      </c>
      <c r="E168" s="28" t="s">
        <v>280</v>
      </c>
      <c r="F168" s="28"/>
      <c r="G168" s="28"/>
      <c r="H168" s="28"/>
      <c r="I168" s="28"/>
      <c r="J168" s="28" t="s">
        <v>13</v>
      </c>
      <c r="K168" s="31" t="s">
        <v>16</v>
      </c>
      <c r="L168" s="31" t="s">
        <v>16</v>
      </c>
      <c r="M168" s="31" t="s">
        <v>16</v>
      </c>
      <c r="N168" s="31" t="s">
        <v>16</v>
      </c>
      <c r="O168" s="31" t="s">
        <v>13</v>
      </c>
      <c r="P168" s="32" t="s">
        <v>16</v>
      </c>
      <c r="Q168" s="32" t="s">
        <v>16</v>
      </c>
      <c r="R168" s="32" t="s">
        <v>16</v>
      </c>
      <c r="S168" s="32" t="s">
        <v>16</v>
      </c>
      <c r="T168" s="33" t="s">
        <v>13</v>
      </c>
      <c r="U168" s="33" t="s">
        <v>16</v>
      </c>
      <c r="V168" s="33" t="s">
        <v>16</v>
      </c>
      <c r="W168" s="34" t="s">
        <v>16</v>
      </c>
      <c r="X168" s="34" t="s">
        <v>16</v>
      </c>
      <c r="Y168" s="34" t="s">
        <v>16</v>
      </c>
      <c r="Z168" s="34" t="s">
        <v>16</v>
      </c>
      <c r="AA168" s="35" t="s">
        <v>16</v>
      </c>
      <c r="AB168" s="35" t="s">
        <v>16</v>
      </c>
      <c r="AC168" s="35" t="s">
        <v>16</v>
      </c>
      <c r="AD168" s="36" t="s">
        <v>28</v>
      </c>
      <c r="AE168" s="36"/>
      <c r="AF168" s="36"/>
      <c r="AG168" s="37" t="s">
        <v>13</v>
      </c>
      <c r="AH168" s="37" t="s">
        <v>16</v>
      </c>
      <c r="AI168" s="37" t="s">
        <v>16</v>
      </c>
      <c r="AJ168" s="37" t="s">
        <v>13</v>
      </c>
      <c r="AK168" s="37" t="s">
        <v>16</v>
      </c>
      <c r="AL168" s="38">
        <f t="shared" si="4"/>
        <v>2</v>
      </c>
      <c r="AM168" s="38">
        <f t="shared" si="5"/>
        <v>2</v>
      </c>
    </row>
    <row r="169" spans="1:39" ht="15" customHeight="1">
      <c r="A169" s="27">
        <v>168</v>
      </c>
      <c r="B169" s="28" t="s">
        <v>191</v>
      </c>
      <c r="C169" s="29" t="s">
        <v>243</v>
      </c>
      <c r="D169" s="28" t="s">
        <v>281</v>
      </c>
      <c r="E169" s="28" t="s">
        <v>282</v>
      </c>
      <c r="F169" s="28"/>
      <c r="G169" s="28"/>
      <c r="H169" s="28"/>
      <c r="I169" s="28"/>
      <c r="J169" s="28" t="s">
        <v>13</v>
      </c>
      <c r="K169" s="31" t="s">
        <v>28</v>
      </c>
      <c r="L169" s="31" t="s">
        <v>28</v>
      </c>
      <c r="M169" s="31" t="s">
        <v>28</v>
      </c>
      <c r="N169" s="31" t="s">
        <v>28</v>
      </c>
      <c r="O169" s="31" t="s">
        <v>28</v>
      </c>
      <c r="P169" s="32" t="s">
        <v>16</v>
      </c>
      <c r="Q169" s="32" t="s">
        <v>16</v>
      </c>
      <c r="R169" s="32" t="s">
        <v>16</v>
      </c>
      <c r="S169" s="32" t="s">
        <v>16</v>
      </c>
      <c r="T169" s="33" t="s">
        <v>13</v>
      </c>
      <c r="U169" s="33" t="s">
        <v>16</v>
      </c>
      <c r="V169" s="33" t="s">
        <v>13</v>
      </c>
      <c r="W169" s="34" t="s">
        <v>16</v>
      </c>
      <c r="X169" s="34" t="s">
        <v>16</v>
      </c>
      <c r="Y169" s="34" t="s">
        <v>16</v>
      </c>
      <c r="Z169" s="34" t="s">
        <v>16</v>
      </c>
      <c r="AA169" s="35" t="s">
        <v>16</v>
      </c>
      <c r="AB169" s="35" t="s">
        <v>16</v>
      </c>
      <c r="AC169" s="35" t="s">
        <v>16</v>
      </c>
      <c r="AD169" s="36" t="s">
        <v>28</v>
      </c>
      <c r="AE169" s="36"/>
      <c r="AF169" s="36"/>
      <c r="AG169" s="37" t="s">
        <v>13</v>
      </c>
      <c r="AH169" s="37" t="s">
        <v>16</v>
      </c>
      <c r="AI169" s="37" t="s">
        <v>16</v>
      </c>
      <c r="AJ169" s="37" t="s">
        <v>13</v>
      </c>
      <c r="AK169" s="37" t="s">
        <v>16</v>
      </c>
      <c r="AL169" s="38">
        <f t="shared" si="4"/>
        <v>2</v>
      </c>
      <c r="AM169" s="38">
        <f t="shared" si="5"/>
        <v>2</v>
      </c>
    </row>
    <row r="170" spans="1:39" ht="15" customHeight="1">
      <c r="A170" s="27">
        <v>169</v>
      </c>
      <c r="B170" s="28" t="s">
        <v>191</v>
      </c>
      <c r="C170" s="29" t="s">
        <v>243</v>
      </c>
      <c r="D170" s="28" t="s">
        <v>283</v>
      </c>
      <c r="E170" s="28" t="s">
        <v>255</v>
      </c>
      <c r="F170" s="28"/>
      <c r="G170" s="28"/>
      <c r="H170" s="28"/>
      <c r="I170" s="28"/>
      <c r="J170" s="28" t="s">
        <v>13</v>
      </c>
      <c r="K170" s="31" t="s">
        <v>28</v>
      </c>
      <c r="L170" s="31" t="s">
        <v>28</v>
      </c>
      <c r="M170" s="31" t="s">
        <v>28</v>
      </c>
      <c r="N170" s="31" t="s">
        <v>28</v>
      </c>
      <c r="O170" s="31" t="s">
        <v>13</v>
      </c>
      <c r="P170" s="32" t="s">
        <v>16</v>
      </c>
      <c r="Q170" s="32" t="s">
        <v>16</v>
      </c>
      <c r="R170" s="32" t="s">
        <v>16</v>
      </c>
      <c r="S170" s="32" t="s">
        <v>16</v>
      </c>
      <c r="T170" s="33" t="s">
        <v>13</v>
      </c>
      <c r="U170" s="33" t="s">
        <v>16</v>
      </c>
      <c r="V170" s="33" t="s">
        <v>13</v>
      </c>
      <c r="W170" s="34" t="s">
        <v>16</v>
      </c>
      <c r="X170" s="34" t="s">
        <v>16</v>
      </c>
      <c r="Y170" s="34" t="s">
        <v>16</v>
      </c>
      <c r="Z170" s="34" t="s">
        <v>16</v>
      </c>
      <c r="AA170" s="35" t="s">
        <v>16</v>
      </c>
      <c r="AB170" s="35" t="s">
        <v>16</v>
      </c>
      <c r="AC170" s="35" t="s">
        <v>16</v>
      </c>
      <c r="AD170" s="36" t="s">
        <v>28</v>
      </c>
      <c r="AE170" s="36"/>
      <c r="AF170" s="36"/>
      <c r="AG170" s="37" t="s">
        <v>13</v>
      </c>
      <c r="AH170" s="37" t="s">
        <v>16</v>
      </c>
      <c r="AI170" s="37" t="s">
        <v>16</v>
      </c>
      <c r="AJ170" s="37" t="s">
        <v>13</v>
      </c>
      <c r="AK170" s="37" t="s">
        <v>16</v>
      </c>
      <c r="AL170" s="38">
        <f t="shared" si="4"/>
        <v>2</v>
      </c>
      <c r="AM170" s="38">
        <f t="shared" si="5"/>
        <v>3</v>
      </c>
    </row>
    <row r="171" spans="1:39" ht="15" customHeight="1">
      <c r="A171" s="27">
        <v>170</v>
      </c>
      <c r="B171" s="28" t="s">
        <v>191</v>
      </c>
      <c r="C171" s="29" t="s">
        <v>243</v>
      </c>
      <c r="D171" s="30" t="s">
        <v>284</v>
      </c>
      <c r="E171" s="28" t="s">
        <v>285</v>
      </c>
      <c r="F171" s="28"/>
      <c r="G171" s="28"/>
      <c r="H171" s="28"/>
      <c r="I171" s="28"/>
      <c r="J171" s="28" t="s">
        <v>13</v>
      </c>
      <c r="K171" s="31" t="s">
        <v>13</v>
      </c>
      <c r="L171" s="31" t="s">
        <v>16</v>
      </c>
      <c r="M171" s="31" t="s">
        <v>16</v>
      </c>
      <c r="N171" s="31" t="s">
        <v>18</v>
      </c>
      <c r="O171" s="31" t="s">
        <v>15</v>
      </c>
      <c r="P171" s="32" t="s">
        <v>16</v>
      </c>
      <c r="Q171" s="32" t="s">
        <v>16</v>
      </c>
      <c r="R171" s="32" t="s">
        <v>16</v>
      </c>
      <c r="S171" s="32" t="s">
        <v>16</v>
      </c>
      <c r="T171" s="33" t="s">
        <v>13</v>
      </c>
      <c r="U171" s="33" t="s">
        <v>16</v>
      </c>
      <c r="V171" s="33" t="s">
        <v>13</v>
      </c>
      <c r="W171" s="34" t="s">
        <v>16</v>
      </c>
      <c r="X171" s="34" t="s">
        <v>16</v>
      </c>
      <c r="Y171" s="34" t="s">
        <v>16</v>
      </c>
      <c r="Z171" s="34" t="s">
        <v>16</v>
      </c>
      <c r="AA171" s="35" t="s">
        <v>16</v>
      </c>
      <c r="AB171" s="35" t="s">
        <v>16</v>
      </c>
      <c r="AC171" s="35" t="s">
        <v>16</v>
      </c>
      <c r="AD171" s="36" t="s">
        <v>18</v>
      </c>
      <c r="AE171" s="36" t="s">
        <v>18</v>
      </c>
      <c r="AF171" s="36" t="s">
        <v>13</v>
      </c>
      <c r="AG171" s="37" t="s">
        <v>13</v>
      </c>
      <c r="AH171" s="37" t="s">
        <v>16</v>
      </c>
      <c r="AI171" s="37" t="s">
        <v>16</v>
      </c>
      <c r="AJ171" s="37" t="s">
        <v>13</v>
      </c>
      <c r="AK171" s="37" t="s">
        <v>16</v>
      </c>
      <c r="AL171" s="38">
        <f t="shared" si="4"/>
        <v>3</v>
      </c>
      <c r="AM171" s="38">
        <f t="shared" si="5"/>
        <v>3</v>
      </c>
    </row>
    <row r="172" spans="1:39" ht="15" customHeight="1">
      <c r="A172" s="27">
        <v>171</v>
      </c>
      <c r="B172" s="28" t="s">
        <v>191</v>
      </c>
      <c r="C172" s="29" t="s">
        <v>243</v>
      </c>
      <c r="D172" s="28" t="s">
        <v>286</v>
      </c>
      <c r="E172" s="28" t="s">
        <v>287</v>
      </c>
      <c r="F172" s="28"/>
      <c r="G172" s="28"/>
      <c r="H172" s="28"/>
      <c r="I172" s="28"/>
      <c r="J172" s="28" t="s">
        <v>13</v>
      </c>
      <c r="K172" s="31" t="s">
        <v>13</v>
      </c>
      <c r="L172" s="31" t="s">
        <v>16</v>
      </c>
      <c r="M172" s="31" t="s">
        <v>16</v>
      </c>
      <c r="N172" s="31" t="s">
        <v>13</v>
      </c>
      <c r="O172" s="31" t="s">
        <v>13</v>
      </c>
      <c r="P172" s="32" t="s">
        <v>16</v>
      </c>
      <c r="Q172" s="32" t="s">
        <v>16</v>
      </c>
      <c r="R172" s="32" t="s">
        <v>16</v>
      </c>
      <c r="S172" s="32" t="s">
        <v>16</v>
      </c>
      <c r="T172" s="33" t="s">
        <v>13</v>
      </c>
      <c r="U172" s="33" t="s">
        <v>13</v>
      </c>
      <c r="V172" s="33" t="s">
        <v>16</v>
      </c>
      <c r="W172" s="34" t="s">
        <v>16</v>
      </c>
      <c r="X172" s="34" t="s">
        <v>16</v>
      </c>
      <c r="Y172" s="34" t="s">
        <v>16</v>
      </c>
      <c r="Z172" s="34" t="s">
        <v>16</v>
      </c>
      <c r="AA172" s="35" t="s">
        <v>16</v>
      </c>
      <c r="AB172" s="35" t="s">
        <v>16</v>
      </c>
      <c r="AC172" s="35" t="s">
        <v>16</v>
      </c>
      <c r="AD172" s="36" t="s">
        <v>16</v>
      </c>
      <c r="AE172" s="36" t="s">
        <v>16</v>
      </c>
      <c r="AF172" s="36" t="s">
        <v>16</v>
      </c>
      <c r="AG172" s="37" t="s">
        <v>13</v>
      </c>
      <c r="AH172" s="37" t="s">
        <v>16</v>
      </c>
      <c r="AI172" s="37" t="s">
        <v>16</v>
      </c>
      <c r="AJ172" s="37" t="s">
        <v>13</v>
      </c>
      <c r="AK172" s="37" t="s">
        <v>16</v>
      </c>
      <c r="AL172" s="38">
        <f t="shared" si="4"/>
        <v>3</v>
      </c>
      <c r="AM172" s="38">
        <f t="shared" si="5"/>
        <v>4</v>
      </c>
    </row>
    <row r="173" spans="1:39" ht="15" customHeight="1">
      <c r="A173" s="27">
        <v>172</v>
      </c>
      <c r="B173" s="28" t="s">
        <v>191</v>
      </c>
      <c r="C173" s="29" t="s">
        <v>243</v>
      </c>
      <c r="D173" s="28" t="s">
        <v>288</v>
      </c>
      <c r="E173" s="28" t="s">
        <v>205</v>
      </c>
      <c r="F173" s="28"/>
      <c r="G173" s="28"/>
      <c r="H173" s="28" t="s">
        <v>13</v>
      </c>
      <c r="I173" s="28" t="s">
        <v>13</v>
      </c>
      <c r="J173" s="28"/>
      <c r="K173" s="31" t="s">
        <v>28</v>
      </c>
      <c r="L173" s="31" t="s">
        <v>28</v>
      </c>
      <c r="M173" s="31" t="s">
        <v>28</v>
      </c>
      <c r="N173" s="31" t="s">
        <v>28</v>
      </c>
      <c r="O173" s="31" t="s">
        <v>28</v>
      </c>
      <c r="P173" s="32" t="s">
        <v>16</v>
      </c>
      <c r="Q173" s="32" t="s">
        <v>16</v>
      </c>
      <c r="R173" s="32" t="s">
        <v>16</v>
      </c>
      <c r="S173" s="32" t="s">
        <v>16</v>
      </c>
      <c r="T173" s="33" t="s">
        <v>13</v>
      </c>
      <c r="U173" s="33" t="s">
        <v>16</v>
      </c>
      <c r="V173" s="33" t="s">
        <v>18</v>
      </c>
      <c r="W173" s="34" t="s">
        <v>16</v>
      </c>
      <c r="X173" s="34" t="s">
        <v>16</v>
      </c>
      <c r="Y173" s="34" t="s">
        <v>16</v>
      </c>
      <c r="Z173" s="34" t="s">
        <v>16</v>
      </c>
      <c r="AA173" s="35" t="s">
        <v>16</v>
      </c>
      <c r="AB173" s="35" t="s">
        <v>16</v>
      </c>
      <c r="AC173" s="35" t="s">
        <v>16</v>
      </c>
      <c r="AD173" s="36" t="s">
        <v>13</v>
      </c>
      <c r="AE173" s="36" t="s">
        <v>13</v>
      </c>
      <c r="AF173" s="36" t="s">
        <v>16</v>
      </c>
      <c r="AG173" s="37" t="s">
        <v>13</v>
      </c>
      <c r="AH173" s="37" t="s">
        <v>16</v>
      </c>
      <c r="AI173" s="37" t="s">
        <v>16</v>
      </c>
      <c r="AJ173" s="37" t="s">
        <v>13</v>
      </c>
      <c r="AK173" s="37" t="s">
        <v>16</v>
      </c>
      <c r="AL173" s="38">
        <f t="shared" si="4"/>
        <v>3</v>
      </c>
      <c r="AM173" s="38">
        <f t="shared" si="5"/>
        <v>2</v>
      </c>
    </row>
    <row r="174" spans="1:39" ht="15" customHeight="1">
      <c r="A174" s="27">
        <v>173</v>
      </c>
      <c r="B174" s="28" t="s">
        <v>191</v>
      </c>
      <c r="C174" s="29" t="s">
        <v>243</v>
      </c>
      <c r="D174" s="28" t="s">
        <v>289</v>
      </c>
      <c r="E174" s="28" t="s">
        <v>205</v>
      </c>
      <c r="F174" s="28" t="s">
        <v>13</v>
      </c>
      <c r="G174" s="28"/>
      <c r="H174" s="28"/>
      <c r="I174" s="28" t="s">
        <v>13</v>
      </c>
      <c r="J174" s="28"/>
      <c r="K174" s="31" t="s">
        <v>13</v>
      </c>
      <c r="L174" s="31" t="s">
        <v>16</v>
      </c>
      <c r="M174" s="31" t="s">
        <v>16</v>
      </c>
      <c r="N174" s="31" t="s">
        <v>13</v>
      </c>
      <c r="O174" s="31" t="s">
        <v>16</v>
      </c>
      <c r="P174" s="32" t="s">
        <v>16</v>
      </c>
      <c r="Q174" s="32" t="s">
        <v>16</v>
      </c>
      <c r="R174" s="32" t="s">
        <v>16</v>
      </c>
      <c r="S174" s="32" t="s">
        <v>16</v>
      </c>
      <c r="T174" s="33" t="s">
        <v>13</v>
      </c>
      <c r="U174" s="33" t="s">
        <v>16</v>
      </c>
      <c r="V174" s="33" t="s">
        <v>13</v>
      </c>
      <c r="W174" s="34" t="s">
        <v>16</v>
      </c>
      <c r="X174" s="34" t="s">
        <v>16</v>
      </c>
      <c r="Y174" s="34" t="s">
        <v>16</v>
      </c>
      <c r="Z174" s="34" t="s">
        <v>16</v>
      </c>
      <c r="AA174" s="35" t="s">
        <v>16</v>
      </c>
      <c r="AB174" s="35" t="s">
        <v>16</v>
      </c>
      <c r="AC174" s="35" t="s">
        <v>16</v>
      </c>
      <c r="AD174" s="36" t="s">
        <v>13</v>
      </c>
      <c r="AE174" s="36" t="s">
        <v>13</v>
      </c>
      <c r="AF174" s="36" t="s">
        <v>16</v>
      </c>
      <c r="AG174" s="37" t="s">
        <v>13</v>
      </c>
      <c r="AH174" s="37" t="s">
        <v>16</v>
      </c>
      <c r="AI174" s="37" t="s">
        <v>16</v>
      </c>
      <c r="AJ174" s="37" t="s">
        <v>13</v>
      </c>
      <c r="AK174" s="37" t="s">
        <v>16</v>
      </c>
      <c r="AL174" s="38">
        <f t="shared" si="4"/>
        <v>4</v>
      </c>
      <c r="AM174" s="38">
        <f t="shared" si="5"/>
        <v>4</v>
      </c>
    </row>
    <row r="175" spans="1:39" ht="15" customHeight="1">
      <c r="A175" s="27">
        <v>174</v>
      </c>
      <c r="B175" s="28" t="s">
        <v>191</v>
      </c>
      <c r="C175" s="29" t="s">
        <v>243</v>
      </c>
      <c r="D175" s="28" t="s">
        <v>290</v>
      </c>
      <c r="E175" s="28" t="s">
        <v>291</v>
      </c>
      <c r="F175" s="28"/>
      <c r="G175" s="28"/>
      <c r="H175" s="28"/>
      <c r="I175" s="28" t="s">
        <v>13</v>
      </c>
      <c r="J175" s="28"/>
      <c r="K175" s="31" t="s">
        <v>13</v>
      </c>
      <c r="L175" s="31" t="s">
        <v>16</v>
      </c>
      <c r="M175" s="31" t="s">
        <v>16</v>
      </c>
      <c r="N175" s="31" t="s">
        <v>15</v>
      </c>
      <c r="O175" s="31" t="s">
        <v>13</v>
      </c>
      <c r="P175" s="32" t="s">
        <v>16</v>
      </c>
      <c r="Q175" s="32" t="s">
        <v>16</v>
      </c>
      <c r="R175" s="32" t="s">
        <v>16</v>
      </c>
      <c r="S175" s="32" t="s">
        <v>16</v>
      </c>
      <c r="T175" s="33" t="s">
        <v>13</v>
      </c>
      <c r="U175" s="33" t="s">
        <v>16</v>
      </c>
      <c r="V175" s="33" t="s">
        <v>18</v>
      </c>
      <c r="W175" s="34" t="s">
        <v>13</v>
      </c>
      <c r="X175" s="34" t="s">
        <v>13</v>
      </c>
      <c r="Y175" s="34" t="s">
        <v>16</v>
      </c>
      <c r="Z175" s="34" t="s">
        <v>15</v>
      </c>
      <c r="AA175" s="35" t="s">
        <v>16</v>
      </c>
      <c r="AB175" s="35" t="s">
        <v>16</v>
      </c>
      <c r="AC175" s="35" t="s">
        <v>16</v>
      </c>
      <c r="AD175" s="36" t="s">
        <v>13</v>
      </c>
      <c r="AE175" s="36" t="s">
        <v>18</v>
      </c>
      <c r="AF175" s="36" t="s">
        <v>13</v>
      </c>
      <c r="AG175" s="37" t="s">
        <v>13</v>
      </c>
      <c r="AH175" s="37" t="s">
        <v>16</v>
      </c>
      <c r="AI175" s="37" t="s">
        <v>16</v>
      </c>
      <c r="AJ175" s="37" t="s">
        <v>13</v>
      </c>
      <c r="AK175" s="37" t="s">
        <v>16</v>
      </c>
      <c r="AL175" s="38">
        <f t="shared" si="4"/>
        <v>5</v>
      </c>
      <c r="AM175" s="38">
        <f t="shared" si="5"/>
        <v>4</v>
      </c>
    </row>
    <row r="176" spans="1:39" ht="15" customHeight="1">
      <c r="A176" s="27">
        <v>175</v>
      </c>
      <c r="B176" s="28" t="s">
        <v>191</v>
      </c>
      <c r="C176" s="29" t="s">
        <v>292</v>
      </c>
      <c r="D176" s="28" t="s">
        <v>293</v>
      </c>
      <c r="E176" s="28" t="s">
        <v>205</v>
      </c>
      <c r="F176" s="28" t="s">
        <v>13</v>
      </c>
      <c r="G176" s="28"/>
      <c r="H176" s="28"/>
      <c r="I176" s="28" t="s">
        <v>13</v>
      </c>
      <c r="J176" s="28"/>
      <c r="K176" s="31" t="s">
        <v>16</v>
      </c>
      <c r="L176" s="31" t="s">
        <v>16</v>
      </c>
      <c r="M176" s="31" t="s">
        <v>16</v>
      </c>
      <c r="N176" s="31" t="s">
        <v>16</v>
      </c>
      <c r="O176" s="31" t="s">
        <v>16</v>
      </c>
      <c r="P176" s="32" t="s">
        <v>16</v>
      </c>
      <c r="Q176" s="32" t="s">
        <v>16</v>
      </c>
      <c r="R176" s="32" t="s">
        <v>16</v>
      </c>
      <c r="S176" s="32" t="s">
        <v>16</v>
      </c>
      <c r="T176" s="33" t="s">
        <v>13</v>
      </c>
      <c r="U176" s="33" t="s">
        <v>13</v>
      </c>
      <c r="V176" s="33" t="s">
        <v>13</v>
      </c>
      <c r="W176" s="34" t="s">
        <v>16</v>
      </c>
      <c r="X176" s="34" t="s">
        <v>16</v>
      </c>
      <c r="Y176" s="34" t="s">
        <v>16</v>
      </c>
      <c r="Z176" s="34" t="s">
        <v>16</v>
      </c>
      <c r="AA176" s="35" t="s">
        <v>16</v>
      </c>
      <c r="AB176" s="35" t="s">
        <v>16</v>
      </c>
      <c r="AC176" s="35" t="s">
        <v>16</v>
      </c>
      <c r="AD176" s="36" t="s">
        <v>16</v>
      </c>
      <c r="AE176" s="36" t="s">
        <v>16</v>
      </c>
      <c r="AF176" s="36" t="s">
        <v>16</v>
      </c>
      <c r="AG176" s="37" t="s">
        <v>13</v>
      </c>
      <c r="AH176" s="37" t="s">
        <v>16</v>
      </c>
      <c r="AI176" s="37" t="s">
        <v>16</v>
      </c>
      <c r="AJ176" s="37" t="s">
        <v>13</v>
      </c>
      <c r="AK176" s="37" t="s">
        <v>16</v>
      </c>
      <c r="AL176" s="38">
        <f t="shared" si="4"/>
        <v>2</v>
      </c>
      <c r="AM176" s="38">
        <f t="shared" si="5"/>
        <v>3</v>
      </c>
    </row>
    <row r="177" spans="1:39" ht="15" customHeight="1">
      <c r="A177" s="27">
        <v>176</v>
      </c>
      <c r="B177" s="28" t="s">
        <v>191</v>
      </c>
      <c r="C177" s="29" t="s">
        <v>292</v>
      </c>
      <c r="D177" s="30" t="s">
        <v>294</v>
      </c>
      <c r="E177" s="28" t="s">
        <v>209</v>
      </c>
      <c r="F177" s="28" t="s">
        <v>13</v>
      </c>
      <c r="G177" s="28"/>
      <c r="H177" s="28"/>
      <c r="I177" s="28" t="s">
        <v>13</v>
      </c>
      <c r="J177" s="28"/>
      <c r="K177" s="31" t="s">
        <v>16</v>
      </c>
      <c r="L177" s="31" t="s">
        <v>16</v>
      </c>
      <c r="M177" s="31" t="s">
        <v>16</v>
      </c>
      <c r="N177" s="31" t="s">
        <v>16</v>
      </c>
      <c r="O177" s="31" t="s">
        <v>16</v>
      </c>
      <c r="P177" s="32" t="s">
        <v>13</v>
      </c>
      <c r="Q177" s="32" t="s">
        <v>18</v>
      </c>
      <c r="R177" s="32" t="s">
        <v>16</v>
      </c>
      <c r="S177" s="32" t="s">
        <v>16</v>
      </c>
      <c r="T177" s="33" t="s">
        <v>13</v>
      </c>
      <c r="U177" s="33" t="s">
        <v>16</v>
      </c>
      <c r="V177" s="33" t="s">
        <v>18</v>
      </c>
      <c r="W177" s="34" t="s">
        <v>16</v>
      </c>
      <c r="X177" s="34" t="s">
        <v>16</v>
      </c>
      <c r="Y177" s="34" t="s">
        <v>16</v>
      </c>
      <c r="Z177" s="34" t="s">
        <v>16</v>
      </c>
      <c r="AA177" s="35" t="s">
        <v>13</v>
      </c>
      <c r="AB177" s="35" t="s">
        <v>16</v>
      </c>
      <c r="AC177" s="35" t="s">
        <v>13</v>
      </c>
      <c r="AD177" s="36" t="s">
        <v>16</v>
      </c>
      <c r="AE177" s="36" t="s">
        <v>16</v>
      </c>
      <c r="AF177" s="36" t="s">
        <v>16</v>
      </c>
      <c r="AG177" s="37" t="s">
        <v>13</v>
      </c>
      <c r="AH177" s="37" t="s">
        <v>16</v>
      </c>
      <c r="AI177" s="37" t="s">
        <v>16</v>
      </c>
      <c r="AJ177" s="37" t="s">
        <v>13</v>
      </c>
      <c r="AK177" s="37" t="s">
        <v>16</v>
      </c>
      <c r="AL177" s="38">
        <f t="shared" si="4"/>
        <v>4</v>
      </c>
      <c r="AM177" s="38">
        <f t="shared" si="5"/>
        <v>2</v>
      </c>
    </row>
    <row r="178" spans="1:39" ht="15" customHeight="1">
      <c r="A178" s="27">
        <v>177</v>
      </c>
      <c r="B178" s="28" t="s">
        <v>191</v>
      </c>
      <c r="C178" s="29" t="s">
        <v>292</v>
      </c>
      <c r="D178" s="28" t="s">
        <v>295</v>
      </c>
      <c r="E178" s="28" t="s">
        <v>296</v>
      </c>
      <c r="F178" s="28"/>
      <c r="G178" s="28"/>
      <c r="H178" s="28"/>
      <c r="I178" s="28" t="s">
        <v>13</v>
      </c>
      <c r="J178" s="28"/>
      <c r="K178" s="31" t="s">
        <v>16</v>
      </c>
      <c r="L178" s="31" t="s">
        <v>16</v>
      </c>
      <c r="M178" s="31" t="s">
        <v>16</v>
      </c>
      <c r="N178" s="31" t="s">
        <v>16</v>
      </c>
      <c r="O178" s="31" t="s">
        <v>16</v>
      </c>
      <c r="P178" s="32" t="s">
        <v>13</v>
      </c>
      <c r="Q178" s="32" t="s">
        <v>13</v>
      </c>
      <c r="R178" s="32" t="s">
        <v>18</v>
      </c>
      <c r="S178" s="32" t="s">
        <v>16</v>
      </c>
      <c r="T178" s="33" t="s">
        <v>13</v>
      </c>
      <c r="U178" s="33" t="s">
        <v>13</v>
      </c>
      <c r="V178" s="33" t="s">
        <v>18</v>
      </c>
      <c r="W178" s="34" t="s">
        <v>16</v>
      </c>
      <c r="X178" s="34" t="s">
        <v>16</v>
      </c>
      <c r="Y178" s="34" t="s">
        <v>16</v>
      </c>
      <c r="Z178" s="34" t="s">
        <v>16</v>
      </c>
      <c r="AA178" s="35" t="s">
        <v>16</v>
      </c>
      <c r="AB178" s="35" t="s">
        <v>16</v>
      </c>
      <c r="AC178" s="35" t="s">
        <v>16</v>
      </c>
      <c r="AD178" s="36" t="s">
        <v>13</v>
      </c>
      <c r="AE178" s="36" t="s">
        <v>13</v>
      </c>
      <c r="AF178" s="36" t="s">
        <v>13</v>
      </c>
      <c r="AG178" s="37" t="s">
        <v>13</v>
      </c>
      <c r="AH178" s="37" t="s">
        <v>16</v>
      </c>
      <c r="AI178" s="37" t="s">
        <v>16</v>
      </c>
      <c r="AJ178" s="37" t="s">
        <v>18</v>
      </c>
      <c r="AK178" s="37" t="s">
        <v>16</v>
      </c>
      <c r="AL178" s="38">
        <f t="shared" si="4"/>
        <v>4</v>
      </c>
      <c r="AM178" s="38">
        <f t="shared" si="5"/>
        <v>4</v>
      </c>
    </row>
    <row r="179" spans="1:39" ht="15" customHeight="1">
      <c r="A179" s="27">
        <v>178</v>
      </c>
      <c r="B179" s="28" t="s">
        <v>191</v>
      </c>
      <c r="C179" s="29" t="s">
        <v>292</v>
      </c>
      <c r="D179" s="28" t="s">
        <v>297</v>
      </c>
      <c r="E179" s="28" t="s">
        <v>298</v>
      </c>
      <c r="F179" s="28" t="s">
        <v>13</v>
      </c>
      <c r="G179" s="28"/>
      <c r="H179" s="28"/>
      <c r="I179" s="28" t="s">
        <v>13</v>
      </c>
      <c r="J179" s="28"/>
      <c r="K179" s="31" t="s">
        <v>16</v>
      </c>
      <c r="L179" s="31" t="s">
        <v>16</v>
      </c>
      <c r="M179" s="31" t="s">
        <v>16</v>
      </c>
      <c r="N179" s="31" t="s">
        <v>16</v>
      </c>
      <c r="O179" s="31" t="s">
        <v>16</v>
      </c>
      <c r="P179" s="32" t="s">
        <v>13</v>
      </c>
      <c r="Q179" s="32" t="s">
        <v>13</v>
      </c>
      <c r="R179" s="32" t="s">
        <v>16</v>
      </c>
      <c r="S179" s="32" t="s">
        <v>16</v>
      </c>
      <c r="T179" s="33" t="s">
        <v>13</v>
      </c>
      <c r="U179" s="33" t="s">
        <v>16</v>
      </c>
      <c r="V179" s="33" t="s">
        <v>18</v>
      </c>
      <c r="W179" s="34" t="s">
        <v>16</v>
      </c>
      <c r="X179" s="34" t="s">
        <v>16</v>
      </c>
      <c r="Y179" s="34" t="s">
        <v>16</v>
      </c>
      <c r="Z179" s="34" t="s">
        <v>16</v>
      </c>
      <c r="AA179" s="35" t="s">
        <v>16</v>
      </c>
      <c r="AB179" s="35" t="s">
        <v>16</v>
      </c>
      <c r="AC179" s="35" t="s">
        <v>16</v>
      </c>
      <c r="AD179" s="36" t="s">
        <v>16</v>
      </c>
      <c r="AE179" s="36" t="s">
        <v>16</v>
      </c>
      <c r="AF179" s="36" t="s">
        <v>16</v>
      </c>
      <c r="AG179" s="37" t="s">
        <v>13</v>
      </c>
      <c r="AH179" s="37" t="s">
        <v>16</v>
      </c>
      <c r="AI179" s="37" t="s">
        <v>16</v>
      </c>
      <c r="AJ179" s="37" t="s">
        <v>13</v>
      </c>
      <c r="AK179" s="37" t="s">
        <v>16</v>
      </c>
      <c r="AL179" s="38">
        <f t="shared" si="4"/>
        <v>3</v>
      </c>
      <c r="AM179" s="38">
        <f t="shared" si="5"/>
        <v>2</v>
      </c>
    </row>
    <row r="180" spans="1:39" ht="15" customHeight="1">
      <c r="A180" s="27">
        <v>179</v>
      </c>
      <c r="B180" s="28" t="s">
        <v>191</v>
      </c>
      <c r="C180" s="29" t="s">
        <v>292</v>
      </c>
      <c r="D180" s="28" t="s">
        <v>299</v>
      </c>
      <c r="E180" s="28" t="s">
        <v>205</v>
      </c>
      <c r="F180" s="28" t="s">
        <v>13</v>
      </c>
      <c r="G180" s="28"/>
      <c r="H180" s="28"/>
      <c r="I180" s="28" t="s">
        <v>13</v>
      </c>
      <c r="J180" s="28"/>
      <c r="K180" s="31" t="s">
        <v>16</v>
      </c>
      <c r="L180" s="31" t="s">
        <v>16</v>
      </c>
      <c r="M180" s="31" t="s">
        <v>16</v>
      </c>
      <c r="N180" s="31" t="s">
        <v>16</v>
      </c>
      <c r="O180" s="31" t="s">
        <v>16</v>
      </c>
      <c r="P180" s="32" t="s">
        <v>13</v>
      </c>
      <c r="Q180" s="32" t="s">
        <v>18</v>
      </c>
      <c r="R180" s="32" t="s">
        <v>16</v>
      </c>
      <c r="S180" s="32" t="s">
        <v>16</v>
      </c>
      <c r="T180" s="33" t="s">
        <v>13</v>
      </c>
      <c r="U180" s="33" t="s">
        <v>16</v>
      </c>
      <c r="V180" s="33" t="s">
        <v>15</v>
      </c>
      <c r="W180" s="34" t="s">
        <v>16</v>
      </c>
      <c r="X180" s="34" t="s">
        <v>16</v>
      </c>
      <c r="Y180" s="34" t="s">
        <v>16</v>
      </c>
      <c r="Z180" s="34" t="s">
        <v>16</v>
      </c>
      <c r="AA180" s="35" t="s">
        <v>16</v>
      </c>
      <c r="AB180" s="35" t="s">
        <v>16</v>
      </c>
      <c r="AC180" s="35" t="s">
        <v>16</v>
      </c>
      <c r="AD180" s="36" t="s">
        <v>13</v>
      </c>
      <c r="AE180" s="36" t="s">
        <v>15</v>
      </c>
      <c r="AF180" s="36" t="s">
        <v>13</v>
      </c>
      <c r="AG180" s="37" t="s">
        <v>13</v>
      </c>
      <c r="AH180" s="37" t="s">
        <v>16</v>
      </c>
      <c r="AI180" s="37" t="s">
        <v>16</v>
      </c>
      <c r="AJ180" s="37" t="s">
        <v>18</v>
      </c>
      <c r="AK180" s="37" t="s">
        <v>16</v>
      </c>
      <c r="AL180" s="38">
        <f t="shared" si="4"/>
        <v>4</v>
      </c>
      <c r="AM180" s="38">
        <f t="shared" si="5"/>
        <v>1</v>
      </c>
    </row>
    <row r="181" spans="1:39" ht="15" customHeight="1">
      <c r="A181" s="27">
        <v>180</v>
      </c>
      <c r="B181" s="28" t="s">
        <v>191</v>
      </c>
      <c r="C181" s="29" t="s">
        <v>292</v>
      </c>
      <c r="D181" s="28" t="s">
        <v>300</v>
      </c>
      <c r="E181" s="28" t="s">
        <v>205</v>
      </c>
      <c r="F181" s="28"/>
      <c r="G181" s="28"/>
      <c r="H181" s="28"/>
      <c r="I181" s="28" t="s">
        <v>13</v>
      </c>
      <c r="J181" s="28"/>
      <c r="K181" s="31" t="s">
        <v>13</v>
      </c>
      <c r="L181" s="31" t="s">
        <v>16</v>
      </c>
      <c r="M181" s="31" t="s">
        <v>16</v>
      </c>
      <c r="N181" s="31" t="s">
        <v>13</v>
      </c>
      <c r="O181" s="31" t="s">
        <v>13</v>
      </c>
      <c r="P181" s="32" t="s">
        <v>16</v>
      </c>
      <c r="Q181" s="32" t="s">
        <v>16</v>
      </c>
      <c r="R181" s="32" t="s">
        <v>16</v>
      </c>
      <c r="S181" s="32" t="s">
        <v>16</v>
      </c>
      <c r="T181" s="33" t="s">
        <v>13</v>
      </c>
      <c r="U181" s="33" t="s">
        <v>16</v>
      </c>
      <c r="V181" s="33" t="s">
        <v>13</v>
      </c>
      <c r="W181" s="34" t="s">
        <v>13</v>
      </c>
      <c r="X181" s="34" t="s">
        <v>13</v>
      </c>
      <c r="Y181" s="34" t="s">
        <v>16</v>
      </c>
      <c r="Z181" s="34" t="s">
        <v>15</v>
      </c>
      <c r="AA181" s="35" t="s">
        <v>16</v>
      </c>
      <c r="AB181" s="35" t="s">
        <v>16</v>
      </c>
      <c r="AC181" s="35" t="s">
        <v>16</v>
      </c>
      <c r="AD181" s="36" t="s">
        <v>13</v>
      </c>
      <c r="AE181" s="36" t="s">
        <v>18</v>
      </c>
      <c r="AF181" s="36" t="s">
        <v>13</v>
      </c>
      <c r="AG181" s="37" t="s">
        <v>13</v>
      </c>
      <c r="AH181" s="37" t="s">
        <v>18</v>
      </c>
      <c r="AI181" s="37" t="s">
        <v>16</v>
      </c>
      <c r="AJ181" s="37" t="s">
        <v>18</v>
      </c>
      <c r="AK181" s="37" t="s">
        <v>16</v>
      </c>
      <c r="AL181" s="38">
        <f t="shared" si="4"/>
        <v>5</v>
      </c>
      <c r="AM181" s="38">
        <f t="shared" si="5"/>
        <v>5</v>
      </c>
    </row>
    <row r="182" spans="1:39" ht="15" customHeight="1">
      <c r="A182" s="27">
        <v>181</v>
      </c>
      <c r="B182" s="28" t="s">
        <v>191</v>
      </c>
      <c r="C182" s="29" t="s">
        <v>301</v>
      </c>
      <c r="D182" s="28" t="s">
        <v>302</v>
      </c>
      <c r="E182" s="28" t="s">
        <v>205</v>
      </c>
      <c r="F182" s="28"/>
      <c r="G182" s="28"/>
      <c r="H182" s="28"/>
      <c r="I182" s="28" t="s">
        <v>13</v>
      </c>
      <c r="J182" s="28"/>
      <c r="K182" s="31" t="s">
        <v>16</v>
      </c>
      <c r="L182" s="31" t="s">
        <v>16</v>
      </c>
      <c r="M182" s="31" t="s">
        <v>16</v>
      </c>
      <c r="N182" s="31" t="s">
        <v>16</v>
      </c>
      <c r="O182" s="31" t="s">
        <v>16</v>
      </c>
      <c r="P182" s="32" t="s">
        <v>13</v>
      </c>
      <c r="Q182" s="32" t="s">
        <v>13</v>
      </c>
      <c r="R182" s="32" t="s">
        <v>16</v>
      </c>
      <c r="S182" s="32" t="s">
        <v>16</v>
      </c>
      <c r="T182" s="33" t="s">
        <v>16</v>
      </c>
      <c r="U182" s="33" t="s">
        <v>16</v>
      </c>
      <c r="V182" s="33" t="s">
        <v>16</v>
      </c>
      <c r="W182" s="34" t="s">
        <v>16</v>
      </c>
      <c r="X182" s="34" t="s">
        <v>16</v>
      </c>
      <c r="Y182" s="34" t="s">
        <v>16</v>
      </c>
      <c r="Z182" s="34" t="s">
        <v>16</v>
      </c>
      <c r="AA182" s="35" t="s">
        <v>13</v>
      </c>
      <c r="AB182" s="35" t="s">
        <v>16</v>
      </c>
      <c r="AC182" s="35" t="s">
        <v>18</v>
      </c>
      <c r="AD182" s="36" t="s">
        <v>16</v>
      </c>
      <c r="AE182" s="36" t="s">
        <v>16</v>
      </c>
      <c r="AF182" s="36" t="s">
        <v>16</v>
      </c>
      <c r="AG182" s="37" t="s">
        <v>13</v>
      </c>
      <c r="AH182" s="37" t="s">
        <v>16</v>
      </c>
      <c r="AI182" s="37" t="s">
        <v>16</v>
      </c>
      <c r="AJ182" s="37" t="s">
        <v>18</v>
      </c>
      <c r="AK182" s="37" t="s">
        <v>16</v>
      </c>
      <c r="AL182" s="38">
        <f t="shared" si="4"/>
        <v>3</v>
      </c>
      <c r="AM182" s="38">
        <f t="shared" si="5"/>
        <v>1</v>
      </c>
    </row>
    <row r="183" spans="1:39" ht="15" customHeight="1">
      <c r="A183" s="27">
        <v>182</v>
      </c>
      <c r="B183" s="28" t="s">
        <v>191</v>
      </c>
      <c r="C183" s="29" t="s">
        <v>301</v>
      </c>
      <c r="D183" s="28" t="s">
        <v>303</v>
      </c>
      <c r="E183" s="28" t="s">
        <v>207</v>
      </c>
      <c r="F183" s="28"/>
      <c r="G183" s="28"/>
      <c r="H183" s="28"/>
      <c r="I183" s="28" t="s">
        <v>13</v>
      </c>
      <c r="J183" s="28"/>
      <c r="K183" s="31" t="s">
        <v>16</v>
      </c>
      <c r="L183" s="31" t="s">
        <v>16</v>
      </c>
      <c r="M183" s="31" t="s">
        <v>16</v>
      </c>
      <c r="N183" s="31" t="s">
        <v>16</v>
      </c>
      <c r="O183" s="31" t="s">
        <v>16</v>
      </c>
      <c r="P183" s="32" t="s">
        <v>13</v>
      </c>
      <c r="Q183" s="32" t="s">
        <v>13</v>
      </c>
      <c r="R183" s="32" t="s">
        <v>13</v>
      </c>
      <c r="S183" s="32" t="s">
        <v>16</v>
      </c>
      <c r="T183" s="33" t="s">
        <v>13</v>
      </c>
      <c r="U183" s="33" t="s">
        <v>16</v>
      </c>
      <c r="V183" s="33" t="s">
        <v>13</v>
      </c>
      <c r="W183" s="34" t="s">
        <v>16</v>
      </c>
      <c r="X183" s="34" t="s">
        <v>16</v>
      </c>
      <c r="Y183" s="34" t="s">
        <v>16</v>
      </c>
      <c r="Z183" s="34" t="s">
        <v>16</v>
      </c>
      <c r="AA183" s="35" t="s">
        <v>13</v>
      </c>
      <c r="AB183" s="35" t="s">
        <v>16</v>
      </c>
      <c r="AC183" s="35" t="s">
        <v>15</v>
      </c>
      <c r="AD183" s="36" t="s">
        <v>13</v>
      </c>
      <c r="AE183" s="36" t="s">
        <v>13</v>
      </c>
      <c r="AF183" s="36" t="s">
        <v>13</v>
      </c>
      <c r="AG183" s="37" t="s">
        <v>13</v>
      </c>
      <c r="AH183" s="37" t="s">
        <v>16</v>
      </c>
      <c r="AI183" s="37" t="s">
        <v>16</v>
      </c>
      <c r="AJ183" s="37" t="s">
        <v>13</v>
      </c>
      <c r="AK183" s="37" t="s">
        <v>16</v>
      </c>
      <c r="AL183" s="38">
        <f t="shared" si="4"/>
        <v>5</v>
      </c>
      <c r="AM183" s="38">
        <f t="shared" si="5"/>
        <v>6</v>
      </c>
    </row>
    <row r="184" spans="1:39" ht="15" customHeight="1">
      <c r="A184" s="27">
        <v>183</v>
      </c>
      <c r="B184" s="28" t="s">
        <v>191</v>
      </c>
      <c r="C184" s="29" t="s">
        <v>301</v>
      </c>
      <c r="D184" s="28" t="s">
        <v>304</v>
      </c>
      <c r="E184" s="28" t="s">
        <v>209</v>
      </c>
      <c r="F184" s="28"/>
      <c r="G184" s="28"/>
      <c r="H184" s="28"/>
      <c r="I184" s="28" t="s">
        <v>13</v>
      </c>
      <c r="J184" s="28"/>
      <c r="K184" s="31" t="s">
        <v>16</v>
      </c>
      <c r="L184" s="31" t="s">
        <v>16</v>
      </c>
      <c r="M184" s="31" t="s">
        <v>16</v>
      </c>
      <c r="N184" s="31" t="s">
        <v>16</v>
      </c>
      <c r="O184" s="31" t="s">
        <v>16</v>
      </c>
      <c r="P184" s="32" t="s">
        <v>13</v>
      </c>
      <c r="Q184" s="32" t="s">
        <v>13</v>
      </c>
      <c r="R184" s="32" t="s">
        <v>13</v>
      </c>
      <c r="S184" s="32" t="s">
        <v>16</v>
      </c>
      <c r="T184" s="33" t="s">
        <v>13</v>
      </c>
      <c r="U184" s="33" t="s">
        <v>13</v>
      </c>
      <c r="V184" s="33" t="s">
        <v>13</v>
      </c>
      <c r="W184" s="34" t="s">
        <v>16</v>
      </c>
      <c r="X184" s="34" t="s">
        <v>16</v>
      </c>
      <c r="Y184" s="34" t="s">
        <v>16</v>
      </c>
      <c r="Z184" s="34" t="s">
        <v>16</v>
      </c>
      <c r="AA184" s="35" t="s">
        <v>16</v>
      </c>
      <c r="AB184" s="35" t="s">
        <v>16</v>
      </c>
      <c r="AC184" s="35" t="s">
        <v>16</v>
      </c>
      <c r="AD184" s="36" t="s">
        <v>13</v>
      </c>
      <c r="AE184" s="36" t="s">
        <v>13</v>
      </c>
      <c r="AF184" s="36" t="s">
        <v>13</v>
      </c>
      <c r="AG184" s="37" t="s">
        <v>13</v>
      </c>
      <c r="AH184" s="37" t="s">
        <v>16</v>
      </c>
      <c r="AI184" s="37" t="s">
        <v>16</v>
      </c>
      <c r="AJ184" s="37" t="s">
        <v>13</v>
      </c>
      <c r="AK184" s="37" t="s">
        <v>16</v>
      </c>
      <c r="AL184" s="38">
        <f t="shared" si="4"/>
        <v>4</v>
      </c>
      <c r="AM184" s="38">
        <f t="shared" si="5"/>
        <v>7</v>
      </c>
    </row>
    <row r="185" spans="1:39" ht="15" customHeight="1">
      <c r="A185" s="27">
        <v>184</v>
      </c>
      <c r="B185" s="28" t="s">
        <v>191</v>
      </c>
      <c r="C185" s="29" t="s">
        <v>301</v>
      </c>
      <c r="D185" s="28" t="s">
        <v>305</v>
      </c>
      <c r="E185" s="28" t="s">
        <v>205</v>
      </c>
      <c r="F185" s="28"/>
      <c r="G185" s="28"/>
      <c r="H185" s="28"/>
      <c r="I185" s="28" t="s">
        <v>13</v>
      </c>
      <c r="J185" s="28"/>
      <c r="K185" s="31" t="s">
        <v>16</v>
      </c>
      <c r="L185" s="31" t="s">
        <v>16</v>
      </c>
      <c r="M185" s="31" t="s">
        <v>16</v>
      </c>
      <c r="N185" s="31" t="s">
        <v>16</v>
      </c>
      <c r="O185" s="31" t="s">
        <v>16</v>
      </c>
      <c r="P185" s="32" t="s">
        <v>13</v>
      </c>
      <c r="Q185" s="32" t="s">
        <v>13</v>
      </c>
      <c r="R185" s="32" t="s">
        <v>15</v>
      </c>
      <c r="S185" s="32" t="s">
        <v>18</v>
      </c>
      <c r="T185" s="33" t="s">
        <v>13</v>
      </c>
      <c r="U185" s="33" t="s">
        <v>16</v>
      </c>
      <c r="V185" s="33" t="s">
        <v>13</v>
      </c>
      <c r="W185" s="34" t="s">
        <v>16</v>
      </c>
      <c r="X185" s="34" t="s">
        <v>16</v>
      </c>
      <c r="Y185" s="34" t="s">
        <v>16</v>
      </c>
      <c r="Z185" s="34" t="s">
        <v>16</v>
      </c>
      <c r="AA185" s="35" t="s">
        <v>13</v>
      </c>
      <c r="AB185" s="35" t="s">
        <v>16</v>
      </c>
      <c r="AC185" s="35" t="s">
        <v>15</v>
      </c>
      <c r="AD185" s="36" t="s">
        <v>13</v>
      </c>
      <c r="AE185" s="36" t="s">
        <v>13</v>
      </c>
      <c r="AF185" s="36" t="s">
        <v>13</v>
      </c>
      <c r="AG185" s="37" t="s">
        <v>13</v>
      </c>
      <c r="AH185" s="37" t="s">
        <v>16</v>
      </c>
      <c r="AI185" s="37" t="s">
        <v>18</v>
      </c>
      <c r="AJ185" s="37" t="s">
        <v>18</v>
      </c>
      <c r="AK185" s="37" t="s">
        <v>18</v>
      </c>
      <c r="AL185" s="38">
        <f t="shared" si="4"/>
        <v>5</v>
      </c>
      <c r="AM185" s="38">
        <f t="shared" si="5"/>
        <v>4</v>
      </c>
    </row>
    <row r="186" spans="1:39" ht="15" customHeight="1">
      <c r="A186" s="27">
        <v>185</v>
      </c>
      <c r="B186" s="28" t="s">
        <v>191</v>
      </c>
      <c r="C186" s="29" t="s">
        <v>301</v>
      </c>
      <c r="D186" s="28" t="s">
        <v>306</v>
      </c>
      <c r="E186" s="28" t="s">
        <v>205</v>
      </c>
      <c r="F186" s="28"/>
      <c r="G186" s="28"/>
      <c r="H186" s="28"/>
      <c r="I186" s="28" t="s">
        <v>13</v>
      </c>
      <c r="J186" s="28"/>
      <c r="K186" s="31" t="s">
        <v>16</v>
      </c>
      <c r="L186" s="31" t="s">
        <v>16</v>
      </c>
      <c r="M186" s="31" t="s">
        <v>16</v>
      </c>
      <c r="N186" s="31" t="s">
        <v>16</v>
      </c>
      <c r="O186" s="31" t="s">
        <v>16</v>
      </c>
      <c r="P186" s="32" t="s">
        <v>13</v>
      </c>
      <c r="Q186" s="32" t="s">
        <v>13</v>
      </c>
      <c r="R186" s="32" t="s">
        <v>15</v>
      </c>
      <c r="S186" s="32" t="s">
        <v>13</v>
      </c>
      <c r="T186" s="33" t="s">
        <v>13</v>
      </c>
      <c r="U186" s="33" t="s">
        <v>16</v>
      </c>
      <c r="V186" s="33" t="s">
        <v>13</v>
      </c>
      <c r="W186" s="34" t="s">
        <v>16</v>
      </c>
      <c r="X186" s="34" t="s">
        <v>16</v>
      </c>
      <c r="Y186" s="34" t="s">
        <v>16</v>
      </c>
      <c r="Z186" s="34" t="s">
        <v>16</v>
      </c>
      <c r="AA186" s="35" t="s">
        <v>13</v>
      </c>
      <c r="AB186" s="35" t="s">
        <v>16</v>
      </c>
      <c r="AC186" s="35" t="s">
        <v>15</v>
      </c>
      <c r="AD186" s="36" t="s">
        <v>13</v>
      </c>
      <c r="AE186" s="36" t="s">
        <v>13</v>
      </c>
      <c r="AF186" s="36" t="s">
        <v>13</v>
      </c>
      <c r="AG186" s="37" t="s">
        <v>13</v>
      </c>
      <c r="AH186" s="37" t="s">
        <v>16</v>
      </c>
      <c r="AI186" s="37" t="s">
        <v>13</v>
      </c>
      <c r="AJ186" s="37" t="s">
        <v>13</v>
      </c>
      <c r="AK186" s="37" t="s">
        <v>16</v>
      </c>
      <c r="AL186" s="38">
        <f t="shared" si="4"/>
        <v>5</v>
      </c>
      <c r="AM186" s="38">
        <f t="shared" si="5"/>
        <v>7</v>
      </c>
    </row>
    <row r="187" spans="1:39" ht="15" customHeight="1">
      <c r="A187" s="27">
        <v>186</v>
      </c>
      <c r="B187" s="28" t="s">
        <v>191</v>
      </c>
      <c r="C187" s="29" t="s">
        <v>301</v>
      </c>
      <c r="D187" s="28" t="s">
        <v>307</v>
      </c>
      <c r="E187" s="28" t="s">
        <v>205</v>
      </c>
      <c r="F187" s="28"/>
      <c r="G187" s="28"/>
      <c r="H187" s="28"/>
      <c r="I187" s="28" t="s">
        <v>13</v>
      </c>
      <c r="J187" s="28"/>
      <c r="K187" s="31" t="s">
        <v>16</v>
      </c>
      <c r="L187" s="31" t="s">
        <v>16</v>
      </c>
      <c r="M187" s="31" t="s">
        <v>16</v>
      </c>
      <c r="N187" s="31" t="s">
        <v>16</v>
      </c>
      <c r="O187" s="31" t="s">
        <v>16</v>
      </c>
      <c r="P187" s="32" t="s">
        <v>13</v>
      </c>
      <c r="Q187" s="32" t="s">
        <v>13</v>
      </c>
      <c r="R187" s="32" t="s">
        <v>18</v>
      </c>
      <c r="S187" s="32" t="s">
        <v>13</v>
      </c>
      <c r="T187" s="33" t="s">
        <v>13</v>
      </c>
      <c r="U187" s="33" t="s">
        <v>16</v>
      </c>
      <c r="V187" s="33" t="s">
        <v>13</v>
      </c>
      <c r="W187" s="34" t="s">
        <v>16</v>
      </c>
      <c r="X187" s="34" t="s">
        <v>16</v>
      </c>
      <c r="Y187" s="34" t="s">
        <v>15</v>
      </c>
      <c r="Z187" s="34" t="s">
        <v>16</v>
      </c>
      <c r="AA187" s="35" t="s">
        <v>16</v>
      </c>
      <c r="AB187" s="35" t="s">
        <v>16</v>
      </c>
      <c r="AC187" s="35" t="s">
        <v>16</v>
      </c>
      <c r="AD187" s="36" t="s">
        <v>13</v>
      </c>
      <c r="AE187" s="36" t="s">
        <v>13</v>
      </c>
      <c r="AF187" s="36" t="s">
        <v>13</v>
      </c>
      <c r="AG187" s="37" t="s">
        <v>13</v>
      </c>
      <c r="AH187" s="37" t="s">
        <v>16</v>
      </c>
      <c r="AI187" s="37" t="s">
        <v>16</v>
      </c>
      <c r="AJ187" s="37" t="s">
        <v>13</v>
      </c>
      <c r="AK187" s="37" t="s">
        <v>13</v>
      </c>
      <c r="AL187" s="38">
        <f t="shared" si="4"/>
        <v>4</v>
      </c>
      <c r="AM187" s="38">
        <f t="shared" si="5"/>
        <v>7</v>
      </c>
    </row>
    <row r="188" spans="1:39" ht="15" customHeight="1">
      <c r="A188" s="27">
        <v>187</v>
      </c>
      <c r="B188" s="28" t="s">
        <v>191</v>
      </c>
      <c r="C188" s="29" t="s">
        <v>301</v>
      </c>
      <c r="D188" s="28" t="s">
        <v>308</v>
      </c>
      <c r="E188" s="28" t="s">
        <v>205</v>
      </c>
      <c r="F188" s="28"/>
      <c r="G188" s="28"/>
      <c r="H188" s="28"/>
      <c r="I188" s="28" t="s">
        <v>13</v>
      </c>
      <c r="J188" s="28"/>
      <c r="K188" s="31" t="s">
        <v>16</v>
      </c>
      <c r="L188" s="31" t="s">
        <v>16</v>
      </c>
      <c r="M188" s="31" t="s">
        <v>16</v>
      </c>
      <c r="N188" s="31" t="s">
        <v>16</v>
      </c>
      <c r="O188" s="31" t="s">
        <v>16</v>
      </c>
      <c r="P188" s="32" t="s">
        <v>13</v>
      </c>
      <c r="Q188" s="32" t="s">
        <v>18</v>
      </c>
      <c r="R188" s="32" t="s">
        <v>18</v>
      </c>
      <c r="S188" s="32" t="s">
        <v>16</v>
      </c>
      <c r="T188" s="33" t="s">
        <v>13</v>
      </c>
      <c r="U188" s="33" t="s">
        <v>16</v>
      </c>
      <c r="V188" s="33" t="s">
        <v>13</v>
      </c>
      <c r="W188" s="34" t="s">
        <v>16</v>
      </c>
      <c r="X188" s="34" t="s">
        <v>16</v>
      </c>
      <c r="Y188" s="34" t="s">
        <v>16</v>
      </c>
      <c r="Z188" s="34" t="s">
        <v>16</v>
      </c>
      <c r="AA188" s="35" t="s">
        <v>16</v>
      </c>
      <c r="AB188" s="35" t="s">
        <v>16</v>
      </c>
      <c r="AC188" s="35" t="s">
        <v>16</v>
      </c>
      <c r="AD188" s="36" t="s">
        <v>13</v>
      </c>
      <c r="AE188" s="36" t="s">
        <v>15</v>
      </c>
      <c r="AF188" s="36" t="s">
        <v>16</v>
      </c>
      <c r="AG188" s="37" t="s">
        <v>13</v>
      </c>
      <c r="AH188" s="37" t="s">
        <v>16</v>
      </c>
      <c r="AI188" s="37" t="s">
        <v>16</v>
      </c>
      <c r="AJ188" s="37" t="s">
        <v>13</v>
      </c>
      <c r="AK188" s="37" t="s">
        <v>16</v>
      </c>
      <c r="AL188" s="38">
        <f t="shared" si="4"/>
        <v>4</v>
      </c>
      <c r="AM188" s="38">
        <f t="shared" si="5"/>
        <v>2</v>
      </c>
    </row>
    <row r="189" spans="1:39" ht="15" customHeight="1">
      <c r="A189" s="27">
        <v>188</v>
      </c>
      <c r="B189" s="28" t="s">
        <v>191</v>
      </c>
      <c r="C189" s="29" t="s">
        <v>301</v>
      </c>
      <c r="D189" s="28" t="s">
        <v>309</v>
      </c>
      <c r="E189" s="28" t="s">
        <v>310</v>
      </c>
      <c r="F189" s="28"/>
      <c r="G189" s="28"/>
      <c r="H189" s="28"/>
      <c r="I189" s="28" t="s">
        <v>13</v>
      </c>
      <c r="J189" s="28"/>
      <c r="K189" s="31" t="s">
        <v>16</v>
      </c>
      <c r="L189" s="31" t="s">
        <v>16</v>
      </c>
      <c r="M189" s="31" t="s">
        <v>16</v>
      </c>
      <c r="N189" s="31" t="s">
        <v>16</v>
      </c>
      <c r="O189" s="31" t="s">
        <v>16</v>
      </c>
      <c r="P189" s="32" t="s">
        <v>13</v>
      </c>
      <c r="Q189" s="32" t="s">
        <v>13</v>
      </c>
      <c r="R189" s="32" t="s">
        <v>15</v>
      </c>
      <c r="S189" s="32" t="s">
        <v>18</v>
      </c>
      <c r="T189" s="33" t="s">
        <v>13</v>
      </c>
      <c r="U189" s="33" t="s">
        <v>16</v>
      </c>
      <c r="V189" s="33" t="s">
        <v>13</v>
      </c>
      <c r="W189" s="34" t="s">
        <v>16</v>
      </c>
      <c r="X189" s="34" t="s">
        <v>16</v>
      </c>
      <c r="Y189" s="34" t="s">
        <v>16</v>
      </c>
      <c r="Z189" s="34" t="s">
        <v>16</v>
      </c>
      <c r="AA189" s="35" t="s">
        <v>13</v>
      </c>
      <c r="AB189" s="35" t="s">
        <v>16</v>
      </c>
      <c r="AC189" s="35" t="s">
        <v>15</v>
      </c>
      <c r="AD189" s="36" t="s">
        <v>13</v>
      </c>
      <c r="AE189" s="36" t="s">
        <v>13</v>
      </c>
      <c r="AF189" s="36" t="s">
        <v>13</v>
      </c>
      <c r="AG189" s="37" t="s">
        <v>13</v>
      </c>
      <c r="AH189" s="37" t="s">
        <v>16</v>
      </c>
      <c r="AI189" s="37" t="s">
        <v>13</v>
      </c>
      <c r="AJ189" s="37" t="s">
        <v>13</v>
      </c>
      <c r="AK189" s="37" t="s">
        <v>16</v>
      </c>
      <c r="AL189" s="38">
        <f t="shared" si="4"/>
        <v>5</v>
      </c>
      <c r="AM189" s="38">
        <f t="shared" si="5"/>
        <v>6</v>
      </c>
    </row>
    <row r="190" spans="1:39" ht="15" customHeight="1">
      <c r="A190" s="27">
        <v>189</v>
      </c>
      <c r="B190" s="28" t="s">
        <v>191</v>
      </c>
      <c r="C190" s="29" t="s">
        <v>301</v>
      </c>
      <c r="D190" s="28" t="s">
        <v>311</v>
      </c>
      <c r="E190" s="28" t="s">
        <v>255</v>
      </c>
      <c r="F190" s="28"/>
      <c r="G190" s="28"/>
      <c r="H190" s="28"/>
      <c r="I190" s="28" t="s">
        <v>13</v>
      </c>
      <c r="J190" s="28"/>
      <c r="K190" s="31" t="s">
        <v>16</v>
      </c>
      <c r="L190" s="31" t="s">
        <v>16</v>
      </c>
      <c r="M190" s="31" t="s">
        <v>16</v>
      </c>
      <c r="N190" s="31" t="s">
        <v>16</v>
      </c>
      <c r="O190" s="31" t="s">
        <v>16</v>
      </c>
      <c r="P190" s="32" t="s">
        <v>13</v>
      </c>
      <c r="Q190" s="32" t="s">
        <v>13</v>
      </c>
      <c r="R190" s="32" t="s">
        <v>15</v>
      </c>
      <c r="S190" s="32" t="s">
        <v>15</v>
      </c>
      <c r="T190" s="33" t="s">
        <v>13</v>
      </c>
      <c r="U190" s="33" t="s">
        <v>16</v>
      </c>
      <c r="V190" s="33" t="s">
        <v>13</v>
      </c>
      <c r="W190" s="34" t="s">
        <v>13</v>
      </c>
      <c r="X190" s="34" t="s">
        <v>16</v>
      </c>
      <c r="Y190" s="34" t="s">
        <v>15</v>
      </c>
      <c r="Z190" s="34" t="s">
        <v>13</v>
      </c>
      <c r="AA190" s="35" t="s">
        <v>16</v>
      </c>
      <c r="AB190" s="35" t="s">
        <v>16</v>
      </c>
      <c r="AC190" s="35" t="s">
        <v>16</v>
      </c>
      <c r="AD190" s="36" t="s">
        <v>16</v>
      </c>
      <c r="AE190" s="36" t="s">
        <v>16</v>
      </c>
      <c r="AF190" s="36" t="s">
        <v>16</v>
      </c>
      <c r="AG190" s="37" t="s">
        <v>13</v>
      </c>
      <c r="AH190" s="37" t="s">
        <v>16</v>
      </c>
      <c r="AI190" s="37" t="s">
        <v>18</v>
      </c>
      <c r="AJ190" s="37" t="s">
        <v>18</v>
      </c>
      <c r="AK190" s="37" t="s">
        <v>13</v>
      </c>
      <c r="AL190" s="38">
        <f t="shared" si="4"/>
        <v>4</v>
      </c>
      <c r="AM190" s="38">
        <f t="shared" si="5"/>
        <v>4</v>
      </c>
    </row>
    <row r="191" spans="1:39" ht="15" customHeight="1">
      <c r="A191" s="27">
        <v>190</v>
      </c>
      <c r="B191" s="28" t="s">
        <v>191</v>
      </c>
      <c r="C191" s="29" t="s">
        <v>301</v>
      </c>
      <c r="D191" s="28" t="s">
        <v>312</v>
      </c>
      <c r="E191" s="28" t="s">
        <v>205</v>
      </c>
      <c r="F191" s="28"/>
      <c r="G191" s="28"/>
      <c r="H191" s="28"/>
      <c r="I191" s="28" t="s">
        <v>13</v>
      </c>
      <c r="J191" s="28"/>
      <c r="K191" s="31" t="s">
        <v>16</v>
      </c>
      <c r="L191" s="31" t="s">
        <v>16</v>
      </c>
      <c r="M191" s="31" t="s">
        <v>16</v>
      </c>
      <c r="N191" s="31" t="s">
        <v>16</v>
      </c>
      <c r="O191" s="31" t="s">
        <v>16</v>
      </c>
      <c r="P191" s="32" t="s">
        <v>13</v>
      </c>
      <c r="Q191" s="32" t="s">
        <v>13</v>
      </c>
      <c r="R191" s="32" t="s">
        <v>15</v>
      </c>
      <c r="S191" s="32" t="s">
        <v>18</v>
      </c>
      <c r="T191" s="33" t="s">
        <v>13</v>
      </c>
      <c r="U191" s="33" t="s">
        <v>16</v>
      </c>
      <c r="V191" s="33" t="s">
        <v>13</v>
      </c>
      <c r="W191" s="34" t="s">
        <v>13</v>
      </c>
      <c r="X191" s="34" t="s">
        <v>16</v>
      </c>
      <c r="Y191" s="34" t="s">
        <v>15</v>
      </c>
      <c r="Z191" s="34" t="s">
        <v>16</v>
      </c>
      <c r="AA191" s="35" t="s">
        <v>13</v>
      </c>
      <c r="AB191" s="35" t="s">
        <v>16</v>
      </c>
      <c r="AC191" s="35" t="s">
        <v>18</v>
      </c>
      <c r="AD191" s="36" t="s">
        <v>13</v>
      </c>
      <c r="AE191" s="36" t="s">
        <v>16</v>
      </c>
      <c r="AF191" s="36" t="s">
        <v>13</v>
      </c>
      <c r="AG191" s="37" t="s">
        <v>13</v>
      </c>
      <c r="AH191" s="37" t="s">
        <v>16</v>
      </c>
      <c r="AI191" s="37" t="s">
        <v>18</v>
      </c>
      <c r="AJ191" s="37" t="s">
        <v>18</v>
      </c>
      <c r="AK191" s="37" t="s">
        <v>13</v>
      </c>
      <c r="AL191" s="38">
        <f t="shared" si="4"/>
        <v>6</v>
      </c>
      <c r="AM191" s="38">
        <f t="shared" si="5"/>
        <v>4</v>
      </c>
    </row>
    <row r="192" spans="1:39" ht="15" customHeight="1">
      <c r="A192" s="27">
        <v>191</v>
      </c>
      <c r="B192" s="28" t="s">
        <v>191</v>
      </c>
      <c r="C192" s="29" t="s">
        <v>301</v>
      </c>
      <c r="D192" s="30" t="s">
        <v>313</v>
      </c>
      <c r="E192" s="28" t="s">
        <v>314</v>
      </c>
      <c r="F192" s="28"/>
      <c r="G192" s="28"/>
      <c r="H192" s="28"/>
      <c r="I192" s="28" t="s">
        <v>13</v>
      </c>
      <c r="J192" s="28"/>
      <c r="K192" s="31" t="s">
        <v>16</v>
      </c>
      <c r="L192" s="31" t="s">
        <v>16</v>
      </c>
      <c r="M192" s="31" t="s">
        <v>16</v>
      </c>
      <c r="N192" s="31" t="s">
        <v>16</v>
      </c>
      <c r="O192" s="31" t="s">
        <v>16</v>
      </c>
      <c r="P192" s="32" t="s">
        <v>13</v>
      </c>
      <c r="Q192" s="32" t="s">
        <v>13</v>
      </c>
      <c r="R192" s="32" t="s">
        <v>18</v>
      </c>
      <c r="S192" s="32" t="s">
        <v>13</v>
      </c>
      <c r="T192" s="33" t="s">
        <v>13</v>
      </c>
      <c r="U192" s="33" t="s">
        <v>16</v>
      </c>
      <c r="V192" s="33" t="s">
        <v>13</v>
      </c>
      <c r="W192" s="34" t="s">
        <v>13</v>
      </c>
      <c r="X192" s="34" t="s">
        <v>16</v>
      </c>
      <c r="Y192" s="34" t="s">
        <v>13</v>
      </c>
      <c r="Z192" s="34" t="s">
        <v>16</v>
      </c>
      <c r="AA192" s="35" t="s">
        <v>16</v>
      </c>
      <c r="AB192" s="35" t="s">
        <v>16</v>
      </c>
      <c r="AC192" s="35" t="s">
        <v>16</v>
      </c>
      <c r="AD192" s="36" t="s">
        <v>13</v>
      </c>
      <c r="AE192" s="36" t="s">
        <v>16</v>
      </c>
      <c r="AF192" s="36" t="s">
        <v>13</v>
      </c>
      <c r="AG192" s="37" t="s">
        <v>13</v>
      </c>
      <c r="AH192" s="37" t="s">
        <v>16</v>
      </c>
      <c r="AI192" s="37" t="s">
        <v>13</v>
      </c>
      <c r="AJ192" s="37" t="s">
        <v>13</v>
      </c>
      <c r="AK192" s="37" t="s">
        <v>13</v>
      </c>
      <c r="AL192" s="38">
        <f t="shared" si="4"/>
        <v>5</v>
      </c>
      <c r="AM192" s="38">
        <f t="shared" si="5"/>
        <v>8</v>
      </c>
    </row>
    <row r="193" spans="1:39" ht="15" customHeight="1">
      <c r="A193" s="27">
        <v>192</v>
      </c>
      <c r="B193" s="28" t="s">
        <v>191</v>
      </c>
      <c r="C193" s="29" t="s">
        <v>301</v>
      </c>
      <c r="D193" s="30" t="s">
        <v>315</v>
      </c>
      <c r="E193" s="28" t="s">
        <v>316</v>
      </c>
      <c r="F193" s="28"/>
      <c r="G193" s="28"/>
      <c r="H193" s="28"/>
      <c r="I193" s="28" t="s">
        <v>13</v>
      </c>
      <c r="J193" s="28"/>
      <c r="K193" s="31" t="s">
        <v>16</v>
      </c>
      <c r="L193" s="31" t="s">
        <v>16</v>
      </c>
      <c r="M193" s="31" t="s">
        <v>16</v>
      </c>
      <c r="N193" s="31" t="s">
        <v>16</v>
      </c>
      <c r="O193" s="31" t="s">
        <v>16</v>
      </c>
      <c r="P193" s="32" t="s">
        <v>13</v>
      </c>
      <c r="Q193" s="32" t="s">
        <v>13</v>
      </c>
      <c r="R193" s="32" t="s">
        <v>18</v>
      </c>
      <c r="S193" s="32" t="s">
        <v>18</v>
      </c>
      <c r="T193" s="33" t="s">
        <v>13</v>
      </c>
      <c r="U193" s="33" t="s">
        <v>16</v>
      </c>
      <c r="V193" s="33" t="s">
        <v>13</v>
      </c>
      <c r="W193" s="34" t="s">
        <v>13</v>
      </c>
      <c r="X193" s="34" t="s">
        <v>16</v>
      </c>
      <c r="Y193" s="34" t="s">
        <v>18</v>
      </c>
      <c r="Z193" s="34" t="s">
        <v>16</v>
      </c>
      <c r="AA193" s="35" t="s">
        <v>13</v>
      </c>
      <c r="AB193" s="35" t="s">
        <v>16</v>
      </c>
      <c r="AC193" s="35" t="s">
        <v>13</v>
      </c>
      <c r="AD193" s="36" t="s">
        <v>13</v>
      </c>
      <c r="AE193" s="36" t="s">
        <v>16</v>
      </c>
      <c r="AF193" s="36" t="s">
        <v>13</v>
      </c>
      <c r="AG193" s="37" t="s">
        <v>13</v>
      </c>
      <c r="AH193" s="37" t="s">
        <v>16</v>
      </c>
      <c r="AI193" s="37" t="s">
        <v>18</v>
      </c>
      <c r="AJ193" s="37" t="s">
        <v>13</v>
      </c>
      <c r="AK193" s="37" t="s">
        <v>18</v>
      </c>
      <c r="AL193" s="38">
        <f t="shared" si="4"/>
        <v>6</v>
      </c>
      <c r="AM193" s="38">
        <f t="shared" si="5"/>
        <v>5</v>
      </c>
    </row>
    <row r="194" spans="1:39" ht="15" customHeight="1">
      <c r="A194" s="27">
        <v>193</v>
      </c>
      <c r="B194" s="28" t="s">
        <v>191</v>
      </c>
      <c r="C194" s="29" t="s">
        <v>301</v>
      </c>
      <c r="D194" s="28" t="s">
        <v>317</v>
      </c>
      <c r="E194" s="28" t="s">
        <v>209</v>
      </c>
      <c r="F194" s="28"/>
      <c r="G194" s="28"/>
      <c r="H194" s="28"/>
      <c r="I194" s="28" t="s">
        <v>13</v>
      </c>
      <c r="J194" s="28" t="s">
        <v>13</v>
      </c>
      <c r="K194" s="31" t="s">
        <v>16</v>
      </c>
      <c r="L194" s="31" t="s">
        <v>16</v>
      </c>
      <c r="M194" s="31" t="s">
        <v>16</v>
      </c>
      <c r="N194" s="31" t="s">
        <v>16</v>
      </c>
      <c r="O194" s="31" t="s">
        <v>16</v>
      </c>
      <c r="P194" s="32" t="s">
        <v>13</v>
      </c>
      <c r="Q194" s="32" t="s">
        <v>18</v>
      </c>
      <c r="R194" s="32" t="s">
        <v>15</v>
      </c>
      <c r="S194" s="32" t="s">
        <v>15</v>
      </c>
      <c r="T194" s="33" t="s">
        <v>13</v>
      </c>
      <c r="U194" s="33" t="s">
        <v>16</v>
      </c>
      <c r="V194" s="33" t="s">
        <v>13</v>
      </c>
      <c r="W194" s="34" t="s">
        <v>13</v>
      </c>
      <c r="X194" s="34" t="s">
        <v>16</v>
      </c>
      <c r="Y194" s="34" t="s">
        <v>13</v>
      </c>
      <c r="Z194" s="34" t="s">
        <v>16</v>
      </c>
      <c r="AA194" s="35" t="s">
        <v>16</v>
      </c>
      <c r="AB194" s="35" t="s">
        <v>16</v>
      </c>
      <c r="AC194" s="35" t="s">
        <v>16</v>
      </c>
      <c r="AD194" s="36" t="s">
        <v>13</v>
      </c>
      <c r="AE194" s="36" t="s">
        <v>16</v>
      </c>
      <c r="AF194" s="36" t="s">
        <v>13</v>
      </c>
      <c r="AG194" s="37" t="s">
        <v>13</v>
      </c>
      <c r="AH194" s="37" t="s">
        <v>16</v>
      </c>
      <c r="AI194" s="37" t="s">
        <v>15</v>
      </c>
      <c r="AJ194" s="37" t="s">
        <v>15</v>
      </c>
      <c r="AK194" s="37" t="s">
        <v>18</v>
      </c>
      <c r="AL194" s="38">
        <f t="shared" si="4"/>
        <v>5</v>
      </c>
      <c r="AM194" s="38">
        <f t="shared" si="5"/>
        <v>3</v>
      </c>
    </row>
    <row r="195" spans="1:39" ht="15" customHeight="1">
      <c r="A195" s="27">
        <v>194</v>
      </c>
      <c r="B195" s="28" t="s">
        <v>191</v>
      </c>
      <c r="C195" s="29" t="s">
        <v>301</v>
      </c>
      <c r="D195" s="28" t="s">
        <v>318</v>
      </c>
      <c r="E195" s="28" t="s">
        <v>319</v>
      </c>
      <c r="F195" s="28"/>
      <c r="G195" s="28"/>
      <c r="H195" s="28"/>
      <c r="I195" s="28" t="s">
        <v>13</v>
      </c>
      <c r="J195" s="28" t="s">
        <v>13</v>
      </c>
      <c r="K195" s="31" t="s">
        <v>16</v>
      </c>
      <c r="L195" s="31" t="s">
        <v>16</v>
      </c>
      <c r="M195" s="31" t="s">
        <v>16</v>
      </c>
      <c r="N195" s="31" t="s">
        <v>16</v>
      </c>
      <c r="O195" s="31" t="s">
        <v>16</v>
      </c>
      <c r="P195" s="32" t="s">
        <v>13</v>
      </c>
      <c r="Q195" s="32" t="s">
        <v>13</v>
      </c>
      <c r="R195" s="32" t="s">
        <v>15</v>
      </c>
      <c r="S195" s="32" t="s">
        <v>15</v>
      </c>
      <c r="T195" s="33" t="s">
        <v>13</v>
      </c>
      <c r="U195" s="33" t="s">
        <v>16</v>
      </c>
      <c r="V195" s="33" t="s">
        <v>13</v>
      </c>
      <c r="W195" s="34" t="s">
        <v>13</v>
      </c>
      <c r="X195" s="34" t="s">
        <v>16</v>
      </c>
      <c r="Y195" s="34" t="s">
        <v>15</v>
      </c>
      <c r="Z195" s="34" t="s">
        <v>16</v>
      </c>
      <c r="AA195" s="35" t="s">
        <v>16</v>
      </c>
      <c r="AB195" s="35" t="s">
        <v>16</v>
      </c>
      <c r="AC195" s="35" t="s">
        <v>16</v>
      </c>
      <c r="AD195" s="36" t="s">
        <v>13</v>
      </c>
      <c r="AE195" s="36" t="s">
        <v>16</v>
      </c>
      <c r="AF195" s="36" t="s">
        <v>13</v>
      </c>
      <c r="AG195" s="37" t="s">
        <v>13</v>
      </c>
      <c r="AH195" s="37" t="s">
        <v>16</v>
      </c>
      <c r="AI195" s="37" t="s">
        <v>15</v>
      </c>
      <c r="AJ195" s="37" t="s">
        <v>15</v>
      </c>
      <c r="AK195" s="37" t="s">
        <v>18</v>
      </c>
      <c r="AL195" s="38">
        <f t="shared" ref="AL195:AL225" si="6">COUNTIF(K195,"x")+(COUNTIF(P195,"x")+COUNTIF(T195,"x")+COUNTIF(W195,"x")+COUNTIF(AA195,"x")+COUNTIF(AD195,"x")+COUNTIF(AG195,"x"))</f>
        <v>5</v>
      </c>
      <c r="AM195" s="38">
        <f t="shared" ref="AM195:AM225" si="7">COUNTIF(L195:O195,"x")+(COUNTIF(Q195:S195,"x")+COUNTIF(U195:V195,"x")+COUNTIF(X195:Z195,"x")+COUNTIF(AB195:AC195,"x")+COUNTIF(AE195:AF195,"x")+COUNTIF(AH195:AK195,"x"))</f>
        <v>3</v>
      </c>
    </row>
    <row r="196" spans="1:39" ht="15" customHeight="1">
      <c r="A196" s="27">
        <v>195</v>
      </c>
      <c r="B196" s="28" t="s">
        <v>191</v>
      </c>
      <c r="C196" s="29" t="s">
        <v>301</v>
      </c>
      <c r="D196" s="28" t="s">
        <v>320</v>
      </c>
      <c r="E196" s="28" t="s">
        <v>319</v>
      </c>
      <c r="F196" s="28"/>
      <c r="G196" s="28"/>
      <c r="H196" s="28"/>
      <c r="I196" s="28" t="s">
        <v>13</v>
      </c>
      <c r="J196" s="28" t="s">
        <v>13</v>
      </c>
      <c r="K196" s="31" t="s">
        <v>16</v>
      </c>
      <c r="L196" s="31" t="s">
        <v>16</v>
      </c>
      <c r="M196" s="31" t="s">
        <v>16</v>
      </c>
      <c r="N196" s="31" t="s">
        <v>16</v>
      </c>
      <c r="O196" s="31" t="s">
        <v>16</v>
      </c>
      <c r="P196" s="32" t="s">
        <v>13</v>
      </c>
      <c r="Q196" s="32" t="s">
        <v>13</v>
      </c>
      <c r="R196" s="32" t="s">
        <v>13</v>
      </c>
      <c r="S196" s="32" t="s">
        <v>18</v>
      </c>
      <c r="T196" s="33" t="s">
        <v>13</v>
      </c>
      <c r="U196" s="33" t="s">
        <v>16</v>
      </c>
      <c r="V196" s="33" t="s">
        <v>13</v>
      </c>
      <c r="W196" s="34" t="s">
        <v>13</v>
      </c>
      <c r="X196" s="34" t="s">
        <v>16</v>
      </c>
      <c r="Y196" s="34" t="s">
        <v>15</v>
      </c>
      <c r="Z196" s="34" t="s">
        <v>16</v>
      </c>
      <c r="AA196" s="35" t="s">
        <v>16</v>
      </c>
      <c r="AB196" s="35" t="s">
        <v>16</v>
      </c>
      <c r="AC196" s="35" t="s">
        <v>16</v>
      </c>
      <c r="AD196" s="36" t="s">
        <v>13</v>
      </c>
      <c r="AE196" s="36" t="s">
        <v>16</v>
      </c>
      <c r="AF196" s="36" t="s">
        <v>13</v>
      </c>
      <c r="AG196" s="37" t="s">
        <v>13</v>
      </c>
      <c r="AH196" s="37" t="s">
        <v>16</v>
      </c>
      <c r="AI196" s="37" t="s">
        <v>15</v>
      </c>
      <c r="AJ196" s="37" t="s">
        <v>15</v>
      </c>
      <c r="AK196" s="37" t="s">
        <v>16</v>
      </c>
      <c r="AL196" s="38">
        <f t="shared" si="6"/>
        <v>5</v>
      </c>
      <c r="AM196" s="38">
        <f t="shared" si="7"/>
        <v>4</v>
      </c>
    </row>
    <row r="197" spans="1:39" ht="15" customHeight="1">
      <c r="A197" s="27">
        <v>196</v>
      </c>
      <c r="B197" s="28" t="s">
        <v>191</v>
      </c>
      <c r="C197" s="29" t="s">
        <v>301</v>
      </c>
      <c r="D197" s="30" t="s">
        <v>321</v>
      </c>
      <c r="E197" s="28" t="s">
        <v>209</v>
      </c>
      <c r="F197" s="28"/>
      <c r="G197" s="28"/>
      <c r="H197" s="28"/>
      <c r="I197" s="28" t="s">
        <v>13</v>
      </c>
      <c r="J197" s="28" t="s">
        <v>13</v>
      </c>
      <c r="K197" s="31" t="s">
        <v>16</v>
      </c>
      <c r="L197" s="31" t="s">
        <v>16</v>
      </c>
      <c r="M197" s="31" t="s">
        <v>16</v>
      </c>
      <c r="N197" s="31" t="s">
        <v>16</v>
      </c>
      <c r="O197" s="31" t="s">
        <v>16</v>
      </c>
      <c r="P197" s="32" t="s">
        <v>13</v>
      </c>
      <c r="Q197" s="32" t="s">
        <v>15</v>
      </c>
      <c r="R197" s="32" t="s">
        <v>15</v>
      </c>
      <c r="S197" s="32" t="s">
        <v>15</v>
      </c>
      <c r="T197" s="33" t="s">
        <v>13</v>
      </c>
      <c r="U197" s="33" t="s">
        <v>16</v>
      </c>
      <c r="V197" s="33" t="s">
        <v>13</v>
      </c>
      <c r="W197" s="34" t="s">
        <v>13</v>
      </c>
      <c r="X197" s="34" t="s">
        <v>16</v>
      </c>
      <c r="Y197" s="34" t="s">
        <v>13</v>
      </c>
      <c r="Z197" s="34" t="s">
        <v>16</v>
      </c>
      <c r="AA197" s="35" t="s">
        <v>16</v>
      </c>
      <c r="AB197" s="35" t="s">
        <v>16</v>
      </c>
      <c r="AC197" s="35" t="s">
        <v>16</v>
      </c>
      <c r="AD197" s="36" t="s">
        <v>13</v>
      </c>
      <c r="AE197" s="36" t="s">
        <v>16</v>
      </c>
      <c r="AF197" s="36" t="s">
        <v>13</v>
      </c>
      <c r="AG197" s="37" t="s">
        <v>13</v>
      </c>
      <c r="AH197" s="37" t="s">
        <v>16</v>
      </c>
      <c r="AI197" s="37" t="s">
        <v>18</v>
      </c>
      <c r="AJ197" s="37" t="s">
        <v>15</v>
      </c>
      <c r="AK197" s="37" t="s">
        <v>13</v>
      </c>
      <c r="AL197" s="38">
        <f t="shared" si="6"/>
        <v>5</v>
      </c>
      <c r="AM197" s="38">
        <f t="shared" si="7"/>
        <v>4</v>
      </c>
    </row>
    <row r="198" spans="1:39" ht="15" customHeight="1">
      <c r="A198" s="27">
        <v>197</v>
      </c>
      <c r="B198" s="28" t="s">
        <v>191</v>
      </c>
      <c r="C198" s="29" t="s">
        <v>301</v>
      </c>
      <c r="D198" s="28" t="s">
        <v>322</v>
      </c>
      <c r="E198" s="28" t="s">
        <v>271</v>
      </c>
      <c r="F198" s="28"/>
      <c r="G198" s="28"/>
      <c r="H198" s="28"/>
      <c r="I198" s="28" t="s">
        <v>13</v>
      </c>
      <c r="J198" s="28" t="s">
        <v>13</v>
      </c>
      <c r="K198" s="31" t="s">
        <v>16</v>
      </c>
      <c r="L198" s="31" t="s">
        <v>16</v>
      </c>
      <c r="M198" s="31" t="s">
        <v>16</v>
      </c>
      <c r="N198" s="31" t="s">
        <v>16</v>
      </c>
      <c r="O198" s="31" t="s">
        <v>16</v>
      </c>
      <c r="P198" s="32" t="s">
        <v>13</v>
      </c>
      <c r="Q198" s="32" t="s">
        <v>18</v>
      </c>
      <c r="R198" s="32" t="s">
        <v>15</v>
      </c>
      <c r="S198" s="32" t="s">
        <v>15</v>
      </c>
      <c r="T198" s="33" t="s">
        <v>13</v>
      </c>
      <c r="U198" s="33" t="s">
        <v>16</v>
      </c>
      <c r="V198" s="33" t="s">
        <v>18</v>
      </c>
      <c r="W198" s="34" t="s">
        <v>13</v>
      </c>
      <c r="X198" s="34" t="s">
        <v>16</v>
      </c>
      <c r="Y198" s="34" t="s">
        <v>18</v>
      </c>
      <c r="Z198" s="34" t="s">
        <v>16</v>
      </c>
      <c r="AA198" s="35" t="s">
        <v>13</v>
      </c>
      <c r="AB198" s="35" t="s">
        <v>16</v>
      </c>
      <c r="AC198" s="35" t="s">
        <v>15</v>
      </c>
      <c r="AD198" s="36" t="s">
        <v>13</v>
      </c>
      <c r="AE198" s="36" t="s">
        <v>16</v>
      </c>
      <c r="AF198" s="36" t="s">
        <v>13</v>
      </c>
      <c r="AG198" s="37" t="s">
        <v>13</v>
      </c>
      <c r="AH198" s="37" t="s">
        <v>16</v>
      </c>
      <c r="AI198" s="37" t="s">
        <v>15</v>
      </c>
      <c r="AJ198" s="37" t="s">
        <v>15</v>
      </c>
      <c r="AK198" s="37" t="s">
        <v>18</v>
      </c>
      <c r="AL198" s="38">
        <f t="shared" si="6"/>
        <v>6</v>
      </c>
      <c r="AM198" s="38">
        <f t="shared" si="7"/>
        <v>1</v>
      </c>
    </row>
    <row r="199" spans="1:39" ht="15" customHeight="1">
      <c r="A199" s="27">
        <v>198</v>
      </c>
      <c r="B199" s="28" t="s">
        <v>191</v>
      </c>
      <c r="C199" s="29" t="s">
        <v>301</v>
      </c>
      <c r="D199" s="28" t="s">
        <v>323</v>
      </c>
      <c r="E199" s="28" t="s">
        <v>205</v>
      </c>
      <c r="F199" s="28"/>
      <c r="G199" s="28"/>
      <c r="H199" s="28"/>
      <c r="I199" s="28" t="s">
        <v>13</v>
      </c>
      <c r="J199" s="28" t="s">
        <v>13</v>
      </c>
      <c r="K199" s="31" t="s">
        <v>16</v>
      </c>
      <c r="L199" s="31" t="s">
        <v>16</v>
      </c>
      <c r="M199" s="31" t="s">
        <v>16</v>
      </c>
      <c r="N199" s="31" t="s">
        <v>16</v>
      </c>
      <c r="O199" s="31" t="s">
        <v>16</v>
      </c>
      <c r="P199" s="32" t="s">
        <v>13</v>
      </c>
      <c r="Q199" s="32" t="s">
        <v>18</v>
      </c>
      <c r="R199" s="32" t="s">
        <v>15</v>
      </c>
      <c r="S199" s="32" t="s">
        <v>15</v>
      </c>
      <c r="T199" s="33" t="s">
        <v>13</v>
      </c>
      <c r="U199" s="33" t="s">
        <v>16</v>
      </c>
      <c r="V199" s="33" t="s">
        <v>13</v>
      </c>
      <c r="W199" s="34" t="s">
        <v>13</v>
      </c>
      <c r="X199" s="34" t="s">
        <v>16</v>
      </c>
      <c r="Y199" s="34" t="s">
        <v>13</v>
      </c>
      <c r="Z199" s="34" t="s">
        <v>16</v>
      </c>
      <c r="AA199" s="35" t="s">
        <v>13</v>
      </c>
      <c r="AB199" s="35" t="s">
        <v>16</v>
      </c>
      <c r="AC199" s="35" t="s">
        <v>15</v>
      </c>
      <c r="AD199" s="36" t="s">
        <v>13</v>
      </c>
      <c r="AE199" s="36" t="s">
        <v>16</v>
      </c>
      <c r="AF199" s="36" t="s">
        <v>13</v>
      </c>
      <c r="AG199" s="37" t="s">
        <v>13</v>
      </c>
      <c r="AH199" s="37" t="s">
        <v>16</v>
      </c>
      <c r="AI199" s="37" t="s">
        <v>15</v>
      </c>
      <c r="AJ199" s="37" t="s">
        <v>15</v>
      </c>
      <c r="AK199" s="37" t="s">
        <v>15</v>
      </c>
      <c r="AL199" s="38">
        <f t="shared" si="6"/>
        <v>6</v>
      </c>
      <c r="AM199" s="38">
        <f t="shared" si="7"/>
        <v>3</v>
      </c>
    </row>
    <row r="200" spans="1:39" ht="15" customHeight="1">
      <c r="A200" s="27">
        <v>199</v>
      </c>
      <c r="B200" s="28" t="s">
        <v>191</v>
      </c>
      <c r="C200" s="29" t="s">
        <v>301</v>
      </c>
      <c r="D200" s="28" t="s">
        <v>324</v>
      </c>
      <c r="E200" s="28" t="s">
        <v>205</v>
      </c>
      <c r="F200" s="28"/>
      <c r="G200" s="28"/>
      <c r="H200" s="28"/>
      <c r="I200" s="28" t="s">
        <v>13</v>
      </c>
      <c r="J200" s="28" t="s">
        <v>13</v>
      </c>
      <c r="K200" s="31" t="s">
        <v>16</v>
      </c>
      <c r="L200" s="31" t="s">
        <v>16</v>
      </c>
      <c r="M200" s="31" t="s">
        <v>16</v>
      </c>
      <c r="N200" s="31" t="s">
        <v>16</v>
      </c>
      <c r="O200" s="31" t="s">
        <v>16</v>
      </c>
      <c r="P200" s="32" t="s">
        <v>13</v>
      </c>
      <c r="Q200" s="32" t="s">
        <v>18</v>
      </c>
      <c r="R200" s="32" t="s">
        <v>15</v>
      </c>
      <c r="S200" s="32" t="s">
        <v>13</v>
      </c>
      <c r="T200" s="33" t="s">
        <v>13</v>
      </c>
      <c r="U200" s="33" t="s">
        <v>16</v>
      </c>
      <c r="V200" s="33" t="s">
        <v>18</v>
      </c>
      <c r="W200" s="34" t="s">
        <v>13</v>
      </c>
      <c r="X200" s="34" t="s">
        <v>16</v>
      </c>
      <c r="Y200" s="34" t="s">
        <v>13</v>
      </c>
      <c r="Z200" s="34" t="s">
        <v>13</v>
      </c>
      <c r="AA200" s="35" t="s">
        <v>13</v>
      </c>
      <c r="AB200" s="35" t="s">
        <v>16</v>
      </c>
      <c r="AC200" s="35" t="s">
        <v>15</v>
      </c>
      <c r="AD200" s="36" t="s">
        <v>13</v>
      </c>
      <c r="AE200" s="36" t="s">
        <v>16</v>
      </c>
      <c r="AF200" s="36" t="s">
        <v>13</v>
      </c>
      <c r="AG200" s="37" t="s">
        <v>13</v>
      </c>
      <c r="AH200" s="37" t="s">
        <v>16</v>
      </c>
      <c r="AI200" s="37" t="s">
        <v>15</v>
      </c>
      <c r="AJ200" s="37" t="s">
        <v>15</v>
      </c>
      <c r="AK200" s="37" t="s">
        <v>16</v>
      </c>
      <c r="AL200" s="38">
        <f t="shared" si="6"/>
        <v>6</v>
      </c>
      <c r="AM200" s="38">
        <f t="shared" si="7"/>
        <v>4</v>
      </c>
    </row>
    <row r="201" spans="1:39" ht="15" customHeight="1">
      <c r="A201" s="27">
        <v>200</v>
      </c>
      <c r="B201" s="28" t="s">
        <v>191</v>
      </c>
      <c r="C201" s="29" t="s">
        <v>301</v>
      </c>
      <c r="D201" s="28" t="s">
        <v>325</v>
      </c>
      <c r="E201" s="28" t="s">
        <v>205</v>
      </c>
      <c r="F201" s="28"/>
      <c r="G201" s="28"/>
      <c r="H201" s="28"/>
      <c r="I201" s="28" t="s">
        <v>13</v>
      </c>
      <c r="J201" s="28" t="s">
        <v>13</v>
      </c>
      <c r="K201" s="31" t="s">
        <v>16</v>
      </c>
      <c r="L201" s="31" t="s">
        <v>16</v>
      </c>
      <c r="M201" s="31" t="s">
        <v>16</v>
      </c>
      <c r="N201" s="31" t="s">
        <v>16</v>
      </c>
      <c r="O201" s="31" t="s">
        <v>16</v>
      </c>
      <c r="P201" s="32" t="s">
        <v>13</v>
      </c>
      <c r="Q201" s="32" t="s">
        <v>13</v>
      </c>
      <c r="R201" s="32" t="s">
        <v>16</v>
      </c>
      <c r="S201" s="32" t="s">
        <v>16</v>
      </c>
      <c r="T201" s="33" t="s">
        <v>13</v>
      </c>
      <c r="U201" s="33" t="s">
        <v>16</v>
      </c>
      <c r="V201" s="33" t="s">
        <v>13</v>
      </c>
      <c r="W201" s="34" t="s">
        <v>13</v>
      </c>
      <c r="X201" s="34" t="s">
        <v>16</v>
      </c>
      <c r="Y201" s="34" t="s">
        <v>13</v>
      </c>
      <c r="Z201" s="34" t="s">
        <v>16</v>
      </c>
      <c r="AA201" s="35" t="s">
        <v>13</v>
      </c>
      <c r="AB201" s="35" t="s">
        <v>16</v>
      </c>
      <c r="AC201" s="35" t="s">
        <v>15</v>
      </c>
      <c r="AD201" s="36" t="s">
        <v>13</v>
      </c>
      <c r="AE201" s="36" t="s">
        <v>16</v>
      </c>
      <c r="AF201" s="36" t="s">
        <v>13</v>
      </c>
      <c r="AG201" s="37" t="s">
        <v>13</v>
      </c>
      <c r="AH201" s="37" t="s">
        <v>16</v>
      </c>
      <c r="AI201" s="37" t="s">
        <v>16</v>
      </c>
      <c r="AJ201" s="37" t="s">
        <v>13</v>
      </c>
      <c r="AK201" s="37" t="s">
        <v>16</v>
      </c>
      <c r="AL201" s="38">
        <f t="shared" si="6"/>
        <v>6</v>
      </c>
      <c r="AM201" s="38">
        <f t="shared" si="7"/>
        <v>5</v>
      </c>
    </row>
    <row r="202" spans="1:39" ht="15" customHeight="1">
      <c r="A202" s="27">
        <v>201</v>
      </c>
      <c r="B202" s="28" t="s">
        <v>191</v>
      </c>
      <c r="C202" s="29" t="s">
        <v>326</v>
      </c>
      <c r="D202" s="30" t="s">
        <v>327</v>
      </c>
      <c r="E202" s="28" t="s">
        <v>328</v>
      </c>
      <c r="F202" s="28"/>
      <c r="G202" s="28"/>
      <c r="H202" s="28"/>
      <c r="I202" s="28" t="s">
        <v>13</v>
      </c>
      <c r="J202" s="28"/>
      <c r="K202" s="31" t="s">
        <v>16</v>
      </c>
      <c r="L202" s="31" t="s">
        <v>16</v>
      </c>
      <c r="M202" s="31" t="s">
        <v>16</v>
      </c>
      <c r="N202" s="31" t="s">
        <v>16</v>
      </c>
      <c r="O202" s="31" t="s">
        <v>16</v>
      </c>
      <c r="P202" s="32" t="s">
        <v>13</v>
      </c>
      <c r="Q202" s="32" t="s">
        <v>13</v>
      </c>
      <c r="R202" s="32" t="s">
        <v>18</v>
      </c>
      <c r="S202" s="32" t="s">
        <v>18</v>
      </c>
      <c r="T202" s="33" t="s">
        <v>13</v>
      </c>
      <c r="U202" s="33" t="s">
        <v>16</v>
      </c>
      <c r="V202" s="33" t="s">
        <v>13</v>
      </c>
      <c r="W202" s="34" t="s">
        <v>13</v>
      </c>
      <c r="X202" s="34" t="s">
        <v>16</v>
      </c>
      <c r="Y202" s="34" t="s">
        <v>13</v>
      </c>
      <c r="Z202" s="34" t="s">
        <v>16</v>
      </c>
      <c r="AA202" s="35" t="s">
        <v>16</v>
      </c>
      <c r="AB202" s="35" t="s">
        <v>16</v>
      </c>
      <c r="AC202" s="35" t="s">
        <v>16</v>
      </c>
      <c r="AD202" s="36" t="s">
        <v>13</v>
      </c>
      <c r="AE202" s="36" t="s">
        <v>16</v>
      </c>
      <c r="AF202" s="36" t="s">
        <v>13</v>
      </c>
      <c r="AG202" s="37" t="s">
        <v>13</v>
      </c>
      <c r="AH202" s="37" t="s">
        <v>16</v>
      </c>
      <c r="AI202" s="37" t="s">
        <v>18</v>
      </c>
      <c r="AJ202" s="37" t="s">
        <v>18</v>
      </c>
      <c r="AK202" s="37" t="s">
        <v>16</v>
      </c>
      <c r="AL202" s="38">
        <f t="shared" si="6"/>
        <v>5</v>
      </c>
      <c r="AM202" s="38">
        <f t="shared" si="7"/>
        <v>4</v>
      </c>
    </row>
    <row r="203" spans="1:39" ht="15" customHeight="1">
      <c r="A203" s="27">
        <v>202</v>
      </c>
      <c r="B203" s="28" t="s">
        <v>191</v>
      </c>
      <c r="C203" s="29" t="s">
        <v>326</v>
      </c>
      <c r="D203" s="28" t="s">
        <v>329</v>
      </c>
      <c r="E203" s="28" t="s">
        <v>205</v>
      </c>
      <c r="F203" s="28"/>
      <c r="G203" s="28"/>
      <c r="H203" s="28"/>
      <c r="I203" s="28" t="s">
        <v>13</v>
      </c>
      <c r="J203" s="28"/>
      <c r="K203" s="31" t="s">
        <v>16</v>
      </c>
      <c r="L203" s="31" t="s">
        <v>16</v>
      </c>
      <c r="M203" s="31" t="s">
        <v>16</v>
      </c>
      <c r="N203" s="31" t="s">
        <v>16</v>
      </c>
      <c r="O203" s="31" t="s">
        <v>16</v>
      </c>
      <c r="P203" s="32" t="s">
        <v>13</v>
      </c>
      <c r="Q203" s="32" t="s">
        <v>13</v>
      </c>
      <c r="R203" s="32" t="s">
        <v>15</v>
      </c>
      <c r="S203" s="32" t="s">
        <v>18</v>
      </c>
      <c r="T203" s="33" t="s">
        <v>13</v>
      </c>
      <c r="U203" s="33" t="s">
        <v>16</v>
      </c>
      <c r="V203" s="33" t="s">
        <v>13</v>
      </c>
      <c r="W203" s="34" t="s">
        <v>13</v>
      </c>
      <c r="X203" s="34" t="s">
        <v>16</v>
      </c>
      <c r="Y203" s="34" t="s">
        <v>13</v>
      </c>
      <c r="Z203" s="34" t="s">
        <v>16</v>
      </c>
      <c r="AA203" s="35" t="s">
        <v>13</v>
      </c>
      <c r="AB203" s="35" t="s">
        <v>16</v>
      </c>
      <c r="AC203" s="35" t="s">
        <v>13</v>
      </c>
      <c r="AD203" s="36" t="s">
        <v>13</v>
      </c>
      <c r="AE203" s="36" t="s">
        <v>16</v>
      </c>
      <c r="AF203" s="36" t="s">
        <v>13</v>
      </c>
      <c r="AG203" s="37" t="s">
        <v>13</v>
      </c>
      <c r="AH203" s="37" t="s">
        <v>16</v>
      </c>
      <c r="AI203" s="37" t="s">
        <v>18</v>
      </c>
      <c r="AJ203" s="37" t="s">
        <v>18</v>
      </c>
      <c r="AK203" s="37" t="s">
        <v>16</v>
      </c>
      <c r="AL203" s="38">
        <f t="shared" si="6"/>
        <v>6</v>
      </c>
      <c r="AM203" s="38">
        <f t="shared" si="7"/>
        <v>5</v>
      </c>
    </row>
    <row r="204" spans="1:39" ht="15" customHeight="1">
      <c r="A204" s="27">
        <v>203</v>
      </c>
      <c r="B204" s="28" t="s">
        <v>191</v>
      </c>
      <c r="C204" s="29" t="s">
        <v>326</v>
      </c>
      <c r="D204" s="28" t="s">
        <v>330</v>
      </c>
      <c r="E204" s="28" t="s">
        <v>215</v>
      </c>
      <c r="F204" s="28"/>
      <c r="G204" s="28"/>
      <c r="H204" s="28"/>
      <c r="I204" s="28" t="s">
        <v>13</v>
      </c>
      <c r="J204" s="28"/>
      <c r="K204" s="31" t="s">
        <v>16</v>
      </c>
      <c r="L204" s="31" t="s">
        <v>16</v>
      </c>
      <c r="M204" s="31" t="s">
        <v>16</v>
      </c>
      <c r="N204" s="31" t="s">
        <v>16</v>
      </c>
      <c r="O204" s="31" t="s">
        <v>16</v>
      </c>
      <c r="P204" s="32" t="s">
        <v>13</v>
      </c>
      <c r="Q204" s="32" t="s">
        <v>13</v>
      </c>
      <c r="R204" s="32" t="s">
        <v>13</v>
      </c>
      <c r="S204" s="32" t="s">
        <v>16</v>
      </c>
      <c r="T204" s="33" t="s">
        <v>13</v>
      </c>
      <c r="U204" s="33" t="s">
        <v>18</v>
      </c>
      <c r="V204" s="33" t="s">
        <v>13</v>
      </c>
      <c r="W204" s="34" t="s">
        <v>13</v>
      </c>
      <c r="X204" s="34" t="s">
        <v>16</v>
      </c>
      <c r="Y204" s="34" t="s">
        <v>13</v>
      </c>
      <c r="Z204" s="34" t="s">
        <v>16</v>
      </c>
      <c r="AA204" s="35" t="s">
        <v>16</v>
      </c>
      <c r="AB204" s="35" t="s">
        <v>16</v>
      </c>
      <c r="AC204" s="35" t="s">
        <v>16</v>
      </c>
      <c r="AD204" s="36" t="s">
        <v>16</v>
      </c>
      <c r="AE204" s="36" t="s">
        <v>16</v>
      </c>
      <c r="AF204" s="36" t="s">
        <v>16</v>
      </c>
      <c r="AG204" s="37" t="s">
        <v>13</v>
      </c>
      <c r="AH204" s="37" t="s">
        <v>16</v>
      </c>
      <c r="AI204" s="37" t="s">
        <v>16</v>
      </c>
      <c r="AJ204" s="37" t="s">
        <v>13</v>
      </c>
      <c r="AK204" s="37" t="s">
        <v>16</v>
      </c>
      <c r="AL204" s="38">
        <f t="shared" si="6"/>
        <v>4</v>
      </c>
      <c r="AM204" s="38">
        <f t="shared" si="7"/>
        <v>5</v>
      </c>
    </row>
    <row r="205" spans="1:39" ht="15" customHeight="1">
      <c r="A205" s="27">
        <v>204</v>
      </c>
      <c r="B205" s="28" t="s">
        <v>191</v>
      </c>
      <c r="C205" s="29" t="s">
        <v>326</v>
      </c>
      <c r="D205" s="28" t="s">
        <v>331</v>
      </c>
      <c r="E205" s="28" t="s">
        <v>332</v>
      </c>
      <c r="F205" s="28"/>
      <c r="G205" s="28"/>
      <c r="H205" s="28"/>
      <c r="I205" s="28" t="s">
        <v>13</v>
      </c>
      <c r="J205" s="28"/>
      <c r="K205" s="31" t="s">
        <v>16</v>
      </c>
      <c r="L205" s="31" t="s">
        <v>16</v>
      </c>
      <c r="M205" s="31" t="s">
        <v>16</v>
      </c>
      <c r="N205" s="31" t="s">
        <v>16</v>
      </c>
      <c r="O205" s="31" t="s">
        <v>16</v>
      </c>
      <c r="P205" s="32" t="s">
        <v>13</v>
      </c>
      <c r="Q205" s="32" t="s">
        <v>13</v>
      </c>
      <c r="R205" s="32" t="s">
        <v>18</v>
      </c>
      <c r="S205" s="32" t="s">
        <v>16</v>
      </c>
      <c r="T205" s="33" t="s">
        <v>13</v>
      </c>
      <c r="U205" s="33" t="s">
        <v>16</v>
      </c>
      <c r="V205" s="33" t="s">
        <v>18</v>
      </c>
      <c r="W205" s="34" t="s">
        <v>13</v>
      </c>
      <c r="X205" s="34" t="s">
        <v>16</v>
      </c>
      <c r="Y205" s="34" t="s">
        <v>13</v>
      </c>
      <c r="Z205" s="34" t="s">
        <v>16</v>
      </c>
      <c r="AA205" s="35" t="s">
        <v>16</v>
      </c>
      <c r="AB205" s="35" t="s">
        <v>16</v>
      </c>
      <c r="AC205" s="35" t="s">
        <v>16</v>
      </c>
      <c r="AD205" s="36" t="s">
        <v>13</v>
      </c>
      <c r="AE205" s="36" t="s">
        <v>16</v>
      </c>
      <c r="AF205" s="36" t="s">
        <v>13</v>
      </c>
      <c r="AG205" s="37" t="s">
        <v>13</v>
      </c>
      <c r="AH205" s="37" t="s">
        <v>16</v>
      </c>
      <c r="AI205" s="37" t="s">
        <v>16</v>
      </c>
      <c r="AJ205" s="37" t="s">
        <v>13</v>
      </c>
      <c r="AK205" s="37" t="s">
        <v>16</v>
      </c>
      <c r="AL205" s="38">
        <f t="shared" si="6"/>
        <v>5</v>
      </c>
      <c r="AM205" s="38">
        <f t="shared" si="7"/>
        <v>4</v>
      </c>
    </row>
    <row r="206" spans="1:39" ht="15" customHeight="1">
      <c r="A206" s="27">
        <v>205</v>
      </c>
      <c r="B206" s="28" t="s">
        <v>191</v>
      </c>
      <c r="C206" s="29" t="s">
        <v>326</v>
      </c>
      <c r="D206" s="28" t="s">
        <v>333</v>
      </c>
      <c r="E206" s="28" t="s">
        <v>334</v>
      </c>
      <c r="F206" s="28"/>
      <c r="G206" s="28"/>
      <c r="H206" s="28"/>
      <c r="I206" s="28" t="s">
        <v>13</v>
      </c>
      <c r="J206" s="28"/>
      <c r="K206" s="31" t="s">
        <v>16</v>
      </c>
      <c r="L206" s="31" t="s">
        <v>16</v>
      </c>
      <c r="M206" s="31" t="s">
        <v>16</v>
      </c>
      <c r="N206" s="31" t="s">
        <v>16</v>
      </c>
      <c r="O206" s="31" t="s">
        <v>16</v>
      </c>
      <c r="P206" s="32" t="s">
        <v>13</v>
      </c>
      <c r="Q206" s="32" t="s">
        <v>13</v>
      </c>
      <c r="R206" s="32" t="s">
        <v>16</v>
      </c>
      <c r="S206" s="32" t="s">
        <v>16</v>
      </c>
      <c r="T206" s="33" t="s">
        <v>13</v>
      </c>
      <c r="U206" s="33" t="s">
        <v>16</v>
      </c>
      <c r="V206" s="33" t="s">
        <v>13</v>
      </c>
      <c r="W206" s="34" t="s">
        <v>16</v>
      </c>
      <c r="X206" s="34" t="s">
        <v>16</v>
      </c>
      <c r="Y206" s="34" t="s">
        <v>16</v>
      </c>
      <c r="Z206" s="34" t="s">
        <v>16</v>
      </c>
      <c r="AA206" s="35" t="s">
        <v>16</v>
      </c>
      <c r="AB206" s="35" t="s">
        <v>16</v>
      </c>
      <c r="AC206" s="35" t="s">
        <v>16</v>
      </c>
      <c r="AD206" s="36" t="s">
        <v>16</v>
      </c>
      <c r="AE206" s="36" t="s">
        <v>16</v>
      </c>
      <c r="AF206" s="36" t="s">
        <v>16</v>
      </c>
      <c r="AG206" s="37" t="s">
        <v>13</v>
      </c>
      <c r="AH206" s="37" t="s">
        <v>16</v>
      </c>
      <c r="AI206" s="37" t="s">
        <v>16</v>
      </c>
      <c r="AJ206" s="37" t="s">
        <v>13</v>
      </c>
      <c r="AK206" s="37" t="s">
        <v>16</v>
      </c>
      <c r="AL206" s="38">
        <f t="shared" si="6"/>
        <v>3</v>
      </c>
      <c r="AM206" s="38">
        <f t="shared" si="7"/>
        <v>3</v>
      </c>
    </row>
    <row r="207" spans="1:39" ht="15" customHeight="1">
      <c r="A207" s="27">
        <v>206</v>
      </c>
      <c r="B207" s="28" t="s">
        <v>191</v>
      </c>
      <c r="C207" s="29" t="s">
        <v>326</v>
      </c>
      <c r="D207" s="28" t="s">
        <v>335</v>
      </c>
      <c r="E207" s="28" t="s">
        <v>336</v>
      </c>
      <c r="F207" s="28"/>
      <c r="G207" s="28"/>
      <c r="H207" s="28"/>
      <c r="I207" s="28" t="s">
        <v>13</v>
      </c>
      <c r="J207" s="28"/>
      <c r="K207" s="31" t="s">
        <v>16</v>
      </c>
      <c r="L207" s="31" t="s">
        <v>16</v>
      </c>
      <c r="M207" s="31" t="s">
        <v>16</v>
      </c>
      <c r="N207" s="31" t="s">
        <v>16</v>
      </c>
      <c r="O207" s="31" t="s">
        <v>16</v>
      </c>
      <c r="P207" s="32" t="s">
        <v>13</v>
      </c>
      <c r="Q207" s="32" t="s">
        <v>13</v>
      </c>
      <c r="R207" s="32" t="s">
        <v>16</v>
      </c>
      <c r="S207" s="32" t="s">
        <v>16</v>
      </c>
      <c r="T207" s="33" t="s">
        <v>13</v>
      </c>
      <c r="U207" s="33" t="s">
        <v>16</v>
      </c>
      <c r="V207" s="33" t="s">
        <v>13</v>
      </c>
      <c r="W207" s="34" t="s">
        <v>13</v>
      </c>
      <c r="X207" s="34" t="s">
        <v>16</v>
      </c>
      <c r="Y207" s="34" t="s">
        <v>13</v>
      </c>
      <c r="Z207" s="34" t="s">
        <v>16</v>
      </c>
      <c r="AA207" s="35" t="s">
        <v>16</v>
      </c>
      <c r="AB207" s="35" t="s">
        <v>16</v>
      </c>
      <c r="AC207" s="35" t="s">
        <v>16</v>
      </c>
      <c r="AD207" s="36" t="s">
        <v>16</v>
      </c>
      <c r="AE207" s="36" t="s">
        <v>16</v>
      </c>
      <c r="AF207" s="36" t="s">
        <v>16</v>
      </c>
      <c r="AG207" s="37" t="s">
        <v>13</v>
      </c>
      <c r="AH207" s="37" t="s">
        <v>16</v>
      </c>
      <c r="AI207" s="37" t="s">
        <v>16</v>
      </c>
      <c r="AJ207" s="37" t="s">
        <v>13</v>
      </c>
      <c r="AK207" s="37" t="s">
        <v>16</v>
      </c>
      <c r="AL207" s="38">
        <f t="shared" si="6"/>
        <v>4</v>
      </c>
      <c r="AM207" s="38">
        <f t="shared" si="7"/>
        <v>4</v>
      </c>
    </row>
    <row r="208" spans="1:39" ht="15" customHeight="1">
      <c r="A208" s="27">
        <v>207</v>
      </c>
      <c r="B208" s="28" t="s">
        <v>191</v>
      </c>
      <c r="C208" s="29" t="s">
        <v>326</v>
      </c>
      <c r="D208" s="28" t="s">
        <v>337</v>
      </c>
      <c r="E208" s="28" t="s">
        <v>209</v>
      </c>
      <c r="F208" s="28"/>
      <c r="G208" s="28"/>
      <c r="H208" s="28"/>
      <c r="I208" s="28" t="s">
        <v>13</v>
      </c>
      <c r="J208" s="28"/>
      <c r="K208" s="31" t="s">
        <v>16</v>
      </c>
      <c r="L208" s="31" t="s">
        <v>16</v>
      </c>
      <c r="M208" s="31" t="s">
        <v>16</v>
      </c>
      <c r="N208" s="31" t="s">
        <v>16</v>
      </c>
      <c r="O208" s="31" t="s">
        <v>16</v>
      </c>
      <c r="P208" s="32" t="s">
        <v>13</v>
      </c>
      <c r="Q208" s="32" t="s">
        <v>16</v>
      </c>
      <c r="R208" s="32" t="s">
        <v>16</v>
      </c>
      <c r="S208" s="32" t="s">
        <v>16</v>
      </c>
      <c r="T208" s="33" t="s">
        <v>13</v>
      </c>
      <c r="U208" s="33" t="s">
        <v>16</v>
      </c>
      <c r="V208" s="33" t="s">
        <v>13</v>
      </c>
      <c r="W208" s="34" t="s">
        <v>16</v>
      </c>
      <c r="X208" s="34" t="s">
        <v>16</v>
      </c>
      <c r="Y208" s="34" t="s">
        <v>16</v>
      </c>
      <c r="Z208" s="34" t="s">
        <v>16</v>
      </c>
      <c r="AA208" s="35" t="s">
        <v>16</v>
      </c>
      <c r="AB208" s="35" t="s">
        <v>16</v>
      </c>
      <c r="AC208" s="35" t="s">
        <v>16</v>
      </c>
      <c r="AD208" s="36" t="s">
        <v>16</v>
      </c>
      <c r="AE208" s="36" t="s">
        <v>16</v>
      </c>
      <c r="AF208" s="36" t="s">
        <v>16</v>
      </c>
      <c r="AG208" s="37" t="s">
        <v>13</v>
      </c>
      <c r="AH208" s="37" t="s">
        <v>16</v>
      </c>
      <c r="AI208" s="37" t="s">
        <v>16</v>
      </c>
      <c r="AJ208" s="37" t="s">
        <v>13</v>
      </c>
      <c r="AK208" s="37" t="s">
        <v>16</v>
      </c>
      <c r="AL208" s="38">
        <f t="shared" si="6"/>
        <v>3</v>
      </c>
      <c r="AM208" s="38">
        <f t="shared" si="7"/>
        <v>2</v>
      </c>
    </row>
    <row r="209" spans="1:39" ht="15" customHeight="1">
      <c r="A209" s="27">
        <v>208</v>
      </c>
      <c r="B209" s="28" t="s">
        <v>191</v>
      </c>
      <c r="C209" s="29" t="s">
        <v>326</v>
      </c>
      <c r="D209" s="28" t="s">
        <v>338</v>
      </c>
      <c r="E209" s="28" t="s">
        <v>205</v>
      </c>
      <c r="F209" s="28"/>
      <c r="G209" s="28"/>
      <c r="H209" s="28"/>
      <c r="I209" s="28" t="s">
        <v>13</v>
      </c>
      <c r="J209" s="28"/>
      <c r="K209" s="31" t="s">
        <v>16</v>
      </c>
      <c r="L209" s="31" t="s">
        <v>16</v>
      </c>
      <c r="M209" s="31" t="s">
        <v>16</v>
      </c>
      <c r="N209" s="31" t="s">
        <v>16</v>
      </c>
      <c r="O209" s="31" t="s">
        <v>16</v>
      </c>
      <c r="P209" s="32" t="s">
        <v>13</v>
      </c>
      <c r="Q209" s="32" t="s">
        <v>13</v>
      </c>
      <c r="R209" s="32" t="s">
        <v>16</v>
      </c>
      <c r="S209" s="32" t="s">
        <v>16</v>
      </c>
      <c r="T209" s="33" t="s">
        <v>13</v>
      </c>
      <c r="U209" s="33" t="s">
        <v>16</v>
      </c>
      <c r="V209" s="33" t="s">
        <v>13</v>
      </c>
      <c r="W209" s="34" t="s">
        <v>16</v>
      </c>
      <c r="X209" s="34" t="s">
        <v>16</v>
      </c>
      <c r="Y209" s="34" t="s">
        <v>16</v>
      </c>
      <c r="Z209" s="34" t="s">
        <v>16</v>
      </c>
      <c r="AA209" s="35" t="s">
        <v>16</v>
      </c>
      <c r="AB209" s="35" t="s">
        <v>16</v>
      </c>
      <c r="AC209" s="35" t="s">
        <v>16</v>
      </c>
      <c r="AD209" s="36" t="s">
        <v>16</v>
      </c>
      <c r="AE209" s="36" t="s">
        <v>16</v>
      </c>
      <c r="AF209" s="36" t="s">
        <v>16</v>
      </c>
      <c r="AG209" s="37" t="s">
        <v>13</v>
      </c>
      <c r="AH209" s="37" t="s">
        <v>16</v>
      </c>
      <c r="AI209" s="37" t="s">
        <v>16</v>
      </c>
      <c r="AJ209" s="37" t="s">
        <v>13</v>
      </c>
      <c r="AK209" s="37" t="s">
        <v>16</v>
      </c>
      <c r="AL209" s="38">
        <f t="shared" si="6"/>
        <v>3</v>
      </c>
      <c r="AM209" s="38">
        <f t="shared" si="7"/>
        <v>3</v>
      </c>
    </row>
    <row r="210" spans="1:39" ht="15" customHeight="1">
      <c r="A210" s="27">
        <v>209</v>
      </c>
      <c r="B210" s="28" t="s">
        <v>191</v>
      </c>
      <c r="C210" s="29" t="s">
        <v>326</v>
      </c>
      <c r="D210" s="28" t="s">
        <v>339</v>
      </c>
      <c r="E210" s="28" t="s">
        <v>205</v>
      </c>
      <c r="F210" s="28"/>
      <c r="G210" s="28"/>
      <c r="H210" s="28"/>
      <c r="I210" s="28" t="s">
        <v>13</v>
      </c>
      <c r="J210" s="28"/>
      <c r="K210" s="31" t="s">
        <v>16</v>
      </c>
      <c r="L210" s="31" t="s">
        <v>16</v>
      </c>
      <c r="M210" s="31" t="s">
        <v>16</v>
      </c>
      <c r="N210" s="31" t="s">
        <v>16</v>
      </c>
      <c r="O210" s="31" t="s">
        <v>16</v>
      </c>
      <c r="P210" s="32" t="s">
        <v>13</v>
      </c>
      <c r="Q210" s="32" t="s">
        <v>13</v>
      </c>
      <c r="R210" s="32" t="s">
        <v>16</v>
      </c>
      <c r="S210" s="32" t="s">
        <v>16</v>
      </c>
      <c r="T210" s="33" t="s">
        <v>13</v>
      </c>
      <c r="U210" s="33" t="s">
        <v>16</v>
      </c>
      <c r="V210" s="33" t="s">
        <v>13</v>
      </c>
      <c r="W210" s="34" t="s">
        <v>16</v>
      </c>
      <c r="X210" s="34" t="s">
        <v>16</v>
      </c>
      <c r="Y210" s="34" t="s">
        <v>16</v>
      </c>
      <c r="Z210" s="34" t="s">
        <v>16</v>
      </c>
      <c r="AA210" s="35" t="s">
        <v>16</v>
      </c>
      <c r="AB210" s="35" t="s">
        <v>16</v>
      </c>
      <c r="AC210" s="35" t="s">
        <v>16</v>
      </c>
      <c r="AD210" s="36" t="s">
        <v>16</v>
      </c>
      <c r="AE210" s="36" t="s">
        <v>16</v>
      </c>
      <c r="AF210" s="36" t="s">
        <v>16</v>
      </c>
      <c r="AG210" s="37" t="s">
        <v>13</v>
      </c>
      <c r="AH210" s="37" t="s">
        <v>16</v>
      </c>
      <c r="AI210" s="37" t="s">
        <v>16</v>
      </c>
      <c r="AJ210" s="37" t="s">
        <v>13</v>
      </c>
      <c r="AK210" s="37" t="s">
        <v>16</v>
      </c>
      <c r="AL210" s="38">
        <f t="shared" si="6"/>
        <v>3</v>
      </c>
      <c r="AM210" s="38">
        <f t="shared" si="7"/>
        <v>3</v>
      </c>
    </row>
    <row r="211" spans="1:39" ht="15" customHeight="1">
      <c r="A211" s="27">
        <v>210</v>
      </c>
      <c r="B211" s="28" t="s">
        <v>191</v>
      </c>
      <c r="C211" s="29" t="s">
        <v>326</v>
      </c>
      <c r="D211" s="28" t="s">
        <v>340</v>
      </c>
      <c r="E211" s="28" t="s">
        <v>72</v>
      </c>
      <c r="F211" s="28"/>
      <c r="G211" s="28"/>
      <c r="H211" s="28"/>
      <c r="I211" s="28" t="s">
        <v>13</v>
      </c>
      <c r="J211" s="28"/>
      <c r="K211" s="31" t="s">
        <v>16</v>
      </c>
      <c r="L211" s="31" t="s">
        <v>16</v>
      </c>
      <c r="M211" s="31" t="s">
        <v>16</v>
      </c>
      <c r="N211" s="31" t="s">
        <v>16</v>
      </c>
      <c r="O211" s="31" t="s">
        <v>16</v>
      </c>
      <c r="P211" s="32" t="s">
        <v>13</v>
      </c>
      <c r="Q211" s="32" t="s">
        <v>18</v>
      </c>
      <c r="R211" s="32" t="s">
        <v>16</v>
      </c>
      <c r="S211" s="32" t="s">
        <v>16</v>
      </c>
      <c r="T211" s="33" t="s">
        <v>13</v>
      </c>
      <c r="U211" s="33" t="s">
        <v>16</v>
      </c>
      <c r="V211" s="33" t="s">
        <v>18</v>
      </c>
      <c r="W211" s="34" t="s">
        <v>16</v>
      </c>
      <c r="X211" s="34" t="s">
        <v>16</v>
      </c>
      <c r="Y211" s="34" t="s">
        <v>16</v>
      </c>
      <c r="Z211" s="34" t="s">
        <v>16</v>
      </c>
      <c r="AA211" s="35" t="s">
        <v>16</v>
      </c>
      <c r="AB211" s="35" t="s">
        <v>16</v>
      </c>
      <c r="AC211" s="35" t="s">
        <v>16</v>
      </c>
      <c r="AD211" s="36" t="s">
        <v>16</v>
      </c>
      <c r="AE211" s="36" t="s">
        <v>16</v>
      </c>
      <c r="AF211" s="36" t="s">
        <v>16</v>
      </c>
      <c r="AG211" s="37" t="s">
        <v>13</v>
      </c>
      <c r="AH211" s="37" t="s">
        <v>16</v>
      </c>
      <c r="AI211" s="37" t="s">
        <v>16</v>
      </c>
      <c r="AJ211" s="37" t="s">
        <v>13</v>
      </c>
      <c r="AK211" s="37" t="s">
        <v>16</v>
      </c>
      <c r="AL211" s="38">
        <f t="shared" si="6"/>
        <v>3</v>
      </c>
      <c r="AM211" s="38">
        <f t="shared" si="7"/>
        <v>1</v>
      </c>
    </row>
    <row r="212" spans="1:39" ht="15" customHeight="1">
      <c r="A212" s="27">
        <v>211</v>
      </c>
      <c r="B212" s="28" t="s">
        <v>191</v>
      </c>
      <c r="C212" s="29" t="s">
        <v>326</v>
      </c>
      <c r="D212" s="28" t="s">
        <v>341</v>
      </c>
      <c r="E212" s="28" t="s">
        <v>72</v>
      </c>
      <c r="F212" s="28"/>
      <c r="G212" s="28"/>
      <c r="H212" s="28"/>
      <c r="I212" s="28" t="s">
        <v>13</v>
      </c>
      <c r="J212" s="28"/>
      <c r="K212" s="31" t="s">
        <v>16</v>
      </c>
      <c r="L212" s="31" t="s">
        <v>16</v>
      </c>
      <c r="M212" s="31" t="s">
        <v>16</v>
      </c>
      <c r="N212" s="31" t="s">
        <v>16</v>
      </c>
      <c r="O212" s="31" t="s">
        <v>16</v>
      </c>
      <c r="P212" s="32" t="s">
        <v>13</v>
      </c>
      <c r="Q212" s="32" t="s">
        <v>13</v>
      </c>
      <c r="R212" s="32" t="s">
        <v>13</v>
      </c>
      <c r="S212" s="32" t="s">
        <v>16</v>
      </c>
      <c r="T212" s="33" t="s">
        <v>13</v>
      </c>
      <c r="U212" s="33" t="s">
        <v>16</v>
      </c>
      <c r="V212" s="33" t="s">
        <v>13</v>
      </c>
      <c r="W212" s="34" t="s">
        <v>13</v>
      </c>
      <c r="X212" s="34" t="s">
        <v>16</v>
      </c>
      <c r="Y212" s="34" t="s">
        <v>13</v>
      </c>
      <c r="Z212" s="34" t="s">
        <v>16</v>
      </c>
      <c r="AA212" s="35" t="s">
        <v>16</v>
      </c>
      <c r="AB212" s="35" t="s">
        <v>16</v>
      </c>
      <c r="AC212" s="35" t="s">
        <v>16</v>
      </c>
      <c r="AD212" s="36" t="s">
        <v>16</v>
      </c>
      <c r="AE212" s="36" t="s">
        <v>16</v>
      </c>
      <c r="AF212" s="36" t="s">
        <v>16</v>
      </c>
      <c r="AG212" s="37" t="s">
        <v>13</v>
      </c>
      <c r="AH212" s="37" t="s">
        <v>16</v>
      </c>
      <c r="AI212" s="37" t="s">
        <v>16</v>
      </c>
      <c r="AJ212" s="37" t="s">
        <v>13</v>
      </c>
      <c r="AK212" s="37" t="s">
        <v>16</v>
      </c>
      <c r="AL212" s="38">
        <f t="shared" si="6"/>
        <v>4</v>
      </c>
      <c r="AM212" s="38">
        <f t="shared" si="7"/>
        <v>5</v>
      </c>
    </row>
    <row r="213" spans="1:39" ht="15" customHeight="1">
      <c r="A213" s="27">
        <v>212</v>
      </c>
      <c r="B213" s="28" t="s">
        <v>191</v>
      </c>
      <c r="C213" s="29" t="s">
        <v>326</v>
      </c>
      <c r="D213" s="28" t="s">
        <v>342</v>
      </c>
      <c r="E213" s="28" t="s">
        <v>209</v>
      </c>
      <c r="F213" s="28"/>
      <c r="G213" s="28"/>
      <c r="H213" s="28"/>
      <c r="I213" s="28" t="s">
        <v>13</v>
      </c>
      <c r="J213" s="28"/>
      <c r="K213" s="31" t="s">
        <v>16</v>
      </c>
      <c r="L213" s="31" t="s">
        <v>16</v>
      </c>
      <c r="M213" s="31" t="s">
        <v>16</v>
      </c>
      <c r="N213" s="31" t="s">
        <v>16</v>
      </c>
      <c r="O213" s="31" t="s">
        <v>16</v>
      </c>
      <c r="P213" s="32" t="s">
        <v>13</v>
      </c>
      <c r="Q213" s="32" t="s">
        <v>13</v>
      </c>
      <c r="R213" s="32" t="s">
        <v>15</v>
      </c>
      <c r="S213" s="32" t="s">
        <v>13</v>
      </c>
      <c r="T213" s="33" t="s">
        <v>13</v>
      </c>
      <c r="U213" s="33" t="s">
        <v>16</v>
      </c>
      <c r="V213" s="33" t="s">
        <v>13</v>
      </c>
      <c r="W213" s="34" t="s">
        <v>13</v>
      </c>
      <c r="X213" s="34" t="s">
        <v>16</v>
      </c>
      <c r="Y213" s="34" t="s">
        <v>13</v>
      </c>
      <c r="Z213" s="34" t="s">
        <v>16</v>
      </c>
      <c r="AA213" s="35" t="s">
        <v>16</v>
      </c>
      <c r="AB213" s="35" t="s">
        <v>16</v>
      </c>
      <c r="AC213" s="35" t="s">
        <v>16</v>
      </c>
      <c r="AD213" s="36" t="s">
        <v>16</v>
      </c>
      <c r="AE213" s="36" t="s">
        <v>16</v>
      </c>
      <c r="AF213" s="36" t="s">
        <v>16</v>
      </c>
      <c r="AG213" s="37" t="s">
        <v>13</v>
      </c>
      <c r="AH213" s="37" t="s">
        <v>16</v>
      </c>
      <c r="AI213" s="37" t="s">
        <v>15</v>
      </c>
      <c r="AJ213" s="37" t="s">
        <v>15</v>
      </c>
      <c r="AK213" s="37" t="s">
        <v>16</v>
      </c>
      <c r="AL213" s="38">
        <f t="shared" si="6"/>
        <v>4</v>
      </c>
      <c r="AM213" s="38">
        <f t="shared" si="7"/>
        <v>4</v>
      </c>
    </row>
    <row r="214" spans="1:39" ht="15" customHeight="1">
      <c r="A214" s="27">
        <v>213</v>
      </c>
      <c r="B214" s="28" t="s">
        <v>191</v>
      </c>
      <c r="C214" s="29" t="s">
        <v>326</v>
      </c>
      <c r="D214" s="28" t="s">
        <v>343</v>
      </c>
      <c r="E214" s="28" t="s">
        <v>209</v>
      </c>
      <c r="F214" s="28"/>
      <c r="G214" s="28"/>
      <c r="H214" s="28"/>
      <c r="I214" s="28" t="s">
        <v>13</v>
      </c>
      <c r="J214" s="28"/>
      <c r="K214" s="31" t="s">
        <v>16</v>
      </c>
      <c r="L214" s="31" t="s">
        <v>16</v>
      </c>
      <c r="M214" s="31" t="s">
        <v>16</v>
      </c>
      <c r="N214" s="31" t="s">
        <v>16</v>
      </c>
      <c r="O214" s="31" t="s">
        <v>16</v>
      </c>
      <c r="P214" s="32" t="s">
        <v>13</v>
      </c>
      <c r="Q214" s="32" t="s">
        <v>13</v>
      </c>
      <c r="R214" s="32" t="s">
        <v>13</v>
      </c>
      <c r="S214" s="32" t="s">
        <v>13</v>
      </c>
      <c r="T214" s="33" t="s">
        <v>13</v>
      </c>
      <c r="U214" s="33" t="s">
        <v>16</v>
      </c>
      <c r="V214" s="33" t="s">
        <v>13</v>
      </c>
      <c r="W214" s="34" t="s">
        <v>13</v>
      </c>
      <c r="X214" s="34" t="s">
        <v>16</v>
      </c>
      <c r="Y214" s="34" t="s">
        <v>13</v>
      </c>
      <c r="Z214" s="34" t="s">
        <v>16</v>
      </c>
      <c r="AA214" s="35" t="s">
        <v>16</v>
      </c>
      <c r="AB214" s="35" t="s">
        <v>16</v>
      </c>
      <c r="AC214" s="35" t="s">
        <v>16</v>
      </c>
      <c r="AD214" s="36" t="s">
        <v>13</v>
      </c>
      <c r="AE214" s="36" t="s">
        <v>16</v>
      </c>
      <c r="AF214" s="36" t="s">
        <v>13</v>
      </c>
      <c r="AG214" s="37" t="s">
        <v>13</v>
      </c>
      <c r="AH214" s="37" t="s">
        <v>16</v>
      </c>
      <c r="AI214" s="37" t="s">
        <v>15</v>
      </c>
      <c r="AJ214" s="37" t="s">
        <v>15</v>
      </c>
      <c r="AK214" s="37" t="s">
        <v>16</v>
      </c>
      <c r="AL214" s="38">
        <f t="shared" si="6"/>
        <v>5</v>
      </c>
      <c r="AM214" s="38">
        <f t="shared" si="7"/>
        <v>6</v>
      </c>
    </row>
    <row r="215" spans="1:39" ht="15" customHeight="1">
      <c r="A215" s="27">
        <v>214</v>
      </c>
      <c r="B215" s="28" t="s">
        <v>191</v>
      </c>
      <c r="C215" s="29" t="s">
        <v>326</v>
      </c>
      <c r="D215" s="28" t="s">
        <v>344</v>
      </c>
      <c r="E215" s="28" t="s">
        <v>345</v>
      </c>
      <c r="F215" s="28"/>
      <c r="G215" s="28"/>
      <c r="H215" s="28"/>
      <c r="I215" s="28" t="s">
        <v>13</v>
      </c>
      <c r="J215" s="28"/>
      <c r="K215" s="31" t="s">
        <v>16</v>
      </c>
      <c r="L215" s="31" t="s">
        <v>16</v>
      </c>
      <c r="M215" s="31" t="s">
        <v>16</v>
      </c>
      <c r="N215" s="31" t="s">
        <v>16</v>
      </c>
      <c r="O215" s="31" t="s">
        <v>16</v>
      </c>
      <c r="P215" s="32" t="s">
        <v>13</v>
      </c>
      <c r="Q215" s="32" t="s">
        <v>13</v>
      </c>
      <c r="R215" s="32" t="s">
        <v>15</v>
      </c>
      <c r="S215" s="32" t="s">
        <v>18</v>
      </c>
      <c r="T215" s="33" t="s">
        <v>13</v>
      </c>
      <c r="U215" s="33" t="s">
        <v>16</v>
      </c>
      <c r="V215" s="33" t="s">
        <v>13</v>
      </c>
      <c r="W215" s="34" t="s">
        <v>13</v>
      </c>
      <c r="X215" s="34" t="s">
        <v>16</v>
      </c>
      <c r="Y215" s="34" t="s">
        <v>15</v>
      </c>
      <c r="Z215" s="34" t="s">
        <v>16</v>
      </c>
      <c r="AA215" s="35" t="s">
        <v>16</v>
      </c>
      <c r="AB215" s="35" t="s">
        <v>16</v>
      </c>
      <c r="AC215" s="35" t="s">
        <v>16</v>
      </c>
      <c r="AD215" s="36" t="s">
        <v>16</v>
      </c>
      <c r="AE215" s="36" t="s">
        <v>16</v>
      </c>
      <c r="AF215" s="36" t="s">
        <v>16</v>
      </c>
      <c r="AG215" s="37" t="s">
        <v>13</v>
      </c>
      <c r="AH215" s="37" t="s">
        <v>16</v>
      </c>
      <c r="AI215" s="37" t="s">
        <v>16</v>
      </c>
      <c r="AJ215" s="37" t="s">
        <v>13</v>
      </c>
      <c r="AK215" s="37" t="s">
        <v>16</v>
      </c>
      <c r="AL215" s="38">
        <f t="shared" si="6"/>
        <v>4</v>
      </c>
      <c r="AM215" s="38">
        <f t="shared" si="7"/>
        <v>3</v>
      </c>
    </row>
    <row r="216" spans="1:39" ht="15" customHeight="1">
      <c r="A216" s="27">
        <v>215</v>
      </c>
      <c r="B216" s="28" t="s">
        <v>191</v>
      </c>
      <c r="C216" s="29" t="s">
        <v>326</v>
      </c>
      <c r="D216" s="28" t="s">
        <v>346</v>
      </c>
      <c r="E216" s="28" t="s">
        <v>347</v>
      </c>
      <c r="F216" s="28"/>
      <c r="G216" s="28"/>
      <c r="H216" s="28"/>
      <c r="I216" s="28" t="s">
        <v>13</v>
      </c>
      <c r="J216" s="28"/>
      <c r="K216" s="31" t="s">
        <v>16</v>
      </c>
      <c r="L216" s="31" t="s">
        <v>16</v>
      </c>
      <c r="M216" s="31" t="s">
        <v>16</v>
      </c>
      <c r="N216" s="31" t="s">
        <v>16</v>
      </c>
      <c r="O216" s="31" t="s">
        <v>16</v>
      </c>
      <c r="P216" s="32" t="s">
        <v>13</v>
      </c>
      <c r="Q216" s="32" t="s">
        <v>13</v>
      </c>
      <c r="R216" s="32" t="s">
        <v>15</v>
      </c>
      <c r="S216" s="32" t="s">
        <v>18</v>
      </c>
      <c r="T216" s="33" t="s">
        <v>13</v>
      </c>
      <c r="U216" s="33" t="s">
        <v>16</v>
      </c>
      <c r="V216" s="33" t="s">
        <v>13</v>
      </c>
      <c r="W216" s="34" t="s">
        <v>13</v>
      </c>
      <c r="X216" s="34" t="s">
        <v>16</v>
      </c>
      <c r="Y216" s="34" t="s">
        <v>15</v>
      </c>
      <c r="Z216" s="34" t="s">
        <v>16</v>
      </c>
      <c r="AA216" s="35" t="s">
        <v>16</v>
      </c>
      <c r="AB216" s="35" t="s">
        <v>16</v>
      </c>
      <c r="AC216" s="35" t="s">
        <v>16</v>
      </c>
      <c r="AD216" s="36" t="s">
        <v>16</v>
      </c>
      <c r="AE216" s="36" t="s">
        <v>16</v>
      </c>
      <c r="AF216" s="36" t="s">
        <v>16</v>
      </c>
      <c r="AG216" s="37" t="s">
        <v>13</v>
      </c>
      <c r="AH216" s="37" t="s">
        <v>16</v>
      </c>
      <c r="AI216" s="37" t="s">
        <v>16</v>
      </c>
      <c r="AJ216" s="37" t="s">
        <v>13</v>
      </c>
      <c r="AK216" s="37" t="s">
        <v>16</v>
      </c>
      <c r="AL216" s="38">
        <f t="shared" si="6"/>
        <v>4</v>
      </c>
      <c r="AM216" s="38">
        <f t="shared" si="7"/>
        <v>3</v>
      </c>
    </row>
    <row r="217" spans="1:39" ht="15" customHeight="1">
      <c r="A217" s="27">
        <v>216</v>
      </c>
      <c r="B217" s="28" t="s">
        <v>191</v>
      </c>
      <c r="C217" s="29" t="s">
        <v>326</v>
      </c>
      <c r="D217" s="28" t="s">
        <v>348</v>
      </c>
      <c r="E217" s="28" t="s">
        <v>209</v>
      </c>
      <c r="F217" s="28"/>
      <c r="G217" s="28"/>
      <c r="H217" s="28"/>
      <c r="I217" s="28" t="s">
        <v>13</v>
      </c>
      <c r="J217" s="28"/>
      <c r="K217" s="31" t="s">
        <v>16</v>
      </c>
      <c r="L217" s="31" t="s">
        <v>16</v>
      </c>
      <c r="M217" s="31" t="s">
        <v>16</v>
      </c>
      <c r="N217" s="31" t="s">
        <v>16</v>
      </c>
      <c r="O217" s="31" t="s">
        <v>16</v>
      </c>
      <c r="P217" s="32" t="s">
        <v>13</v>
      </c>
      <c r="Q217" s="32" t="s">
        <v>13</v>
      </c>
      <c r="R217" s="32" t="s">
        <v>15</v>
      </c>
      <c r="S217" s="32" t="s">
        <v>18</v>
      </c>
      <c r="T217" s="33" t="s">
        <v>13</v>
      </c>
      <c r="U217" s="33" t="s">
        <v>16</v>
      </c>
      <c r="V217" s="33" t="s">
        <v>13</v>
      </c>
      <c r="W217" s="34" t="s">
        <v>13</v>
      </c>
      <c r="X217" s="34" t="s">
        <v>16</v>
      </c>
      <c r="Y217" s="34" t="s">
        <v>18</v>
      </c>
      <c r="Z217" s="34" t="s">
        <v>16</v>
      </c>
      <c r="AA217" s="35" t="s">
        <v>13</v>
      </c>
      <c r="AB217" s="35" t="s">
        <v>16</v>
      </c>
      <c r="AC217" s="35" t="s">
        <v>15</v>
      </c>
      <c r="AD217" s="36" t="s">
        <v>16</v>
      </c>
      <c r="AE217" s="36" t="s">
        <v>16</v>
      </c>
      <c r="AF217" s="36" t="s">
        <v>16</v>
      </c>
      <c r="AG217" s="37" t="s">
        <v>13</v>
      </c>
      <c r="AH217" s="37" t="s">
        <v>16</v>
      </c>
      <c r="AI217" s="37" t="s">
        <v>13</v>
      </c>
      <c r="AJ217" s="37" t="s">
        <v>13</v>
      </c>
      <c r="AK217" s="37" t="s">
        <v>16</v>
      </c>
      <c r="AL217" s="38">
        <f t="shared" si="6"/>
        <v>5</v>
      </c>
      <c r="AM217" s="38">
        <f t="shared" si="7"/>
        <v>4</v>
      </c>
    </row>
    <row r="218" spans="1:39" ht="15" customHeight="1">
      <c r="A218" s="27">
        <v>217</v>
      </c>
      <c r="B218" s="28" t="s">
        <v>191</v>
      </c>
      <c r="C218" s="29" t="s">
        <v>326</v>
      </c>
      <c r="D218" s="30" t="s">
        <v>349</v>
      </c>
      <c r="E218" s="28" t="s">
        <v>205</v>
      </c>
      <c r="F218" s="28"/>
      <c r="G218" s="28"/>
      <c r="H218" s="28"/>
      <c r="I218" s="28" t="s">
        <v>13</v>
      </c>
      <c r="J218" s="28"/>
      <c r="K218" s="31" t="s">
        <v>16</v>
      </c>
      <c r="L218" s="31" t="s">
        <v>16</v>
      </c>
      <c r="M218" s="31" t="s">
        <v>16</v>
      </c>
      <c r="N218" s="31" t="s">
        <v>16</v>
      </c>
      <c r="O218" s="31" t="s">
        <v>16</v>
      </c>
      <c r="P218" s="32" t="s">
        <v>13</v>
      </c>
      <c r="Q218" s="32" t="s">
        <v>13</v>
      </c>
      <c r="R218" s="32" t="s">
        <v>13</v>
      </c>
      <c r="S218" s="32" t="s">
        <v>16</v>
      </c>
      <c r="T218" s="33" t="s">
        <v>13</v>
      </c>
      <c r="U218" s="33" t="s">
        <v>16</v>
      </c>
      <c r="V218" s="33" t="s">
        <v>13</v>
      </c>
      <c r="W218" s="34" t="s">
        <v>16</v>
      </c>
      <c r="X218" s="34" t="s">
        <v>16</v>
      </c>
      <c r="Y218" s="34" t="s">
        <v>16</v>
      </c>
      <c r="Z218" s="34" t="s">
        <v>16</v>
      </c>
      <c r="AA218" s="35" t="s">
        <v>16</v>
      </c>
      <c r="AB218" s="35" t="s">
        <v>16</v>
      </c>
      <c r="AC218" s="35" t="s">
        <v>16</v>
      </c>
      <c r="AD218" s="36" t="s">
        <v>16</v>
      </c>
      <c r="AE218" s="36" t="s">
        <v>16</v>
      </c>
      <c r="AF218" s="36" t="s">
        <v>16</v>
      </c>
      <c r="AG218" s="37" t="s">
        <v>13</v>
      </c>
      <c r="AH218" s="37" t="s">
        <v>16</v>
      </c>
      <c r="AI218" s="37" t="s">
        <v>16</v>
      </c>
      <c r="AJ218" s="37" t="s">
        <v>13</v>
      </c>
      <c r="AK218" s="37" t="s">
        <v>16</v>
      </c>
      <c r="AL218" s="38">
        <f t="shared" si="6"/>
        <v>3</v>
      </c>
      <c r="AM218" s="38">
        <f t="shared" si="7"/>
        <v>4</v>
      </c>
    </row>
    <row r="219" spans="1:39" ht="15" customHeight="1">
      <c r="A219" s="27">
        <v>218</v>
      </c>
      <c r="B219" s="28" t="s">
        <v>191</v>
      </c>
      <c r="C219" s="29" t="s">
        <v>326</v>
      </c>
      <c r="D219" s="28" t="s">
        <v>350</v>
      </c>
      <c r="E219" s="28" t="s">
        <v>205</v>
      </c>
      <c r="F219" s="28"/>
      <c r="G219" s="28"/>
      <c r="H219" s="28"/>
      <c r="I219" s="28" t="s">
        <v>13</v>
      </c>
      <c r="J219" s="28"/>
      <c r="K219" s="31" t="s">
        <v>16</v>
      </c>
      <c r="L219" s="31" t="s">
        <v>16</v>
      </c>
      <c r="M219" s="31" t="s">
        <v>16</v>
      </c>
      <c r="N219" s="31" t="s">
        <v>16</v>
      </c>
      <c r="O219" s="31" t="s">
        <v>16</v>
      </c>
      <c r="P219" s="32" t="s">
        <v>13</v>
      </c>
      <c r="Q219" s="32" t="s">
        <v>13</v>
      </c>
      <c r="R219" s="32" t="s">
        <v>13</v>
      </c>
      <c r="S219" s="32" t="s">
        <v>16</v>
      </c>
      <c r="T219" s="33" t="s">
        <v>13</v>
      </c>
      <c r="U219" s="33" t="s">
        <v>16</v>
      </c>
      <c r="V219" s="33" t="s">
        <v>13</v>
      </c>
      <c r="W219" s="34" t="s">
        <v>16</v>
      </c>
      <c r="X219" s="34" t="s">
        <v>16</v>
      </c>
      <c r="Y219" s="34" t="s">
        <v>16</v>
      </c>
      <c r="Z219" s="34" t="s">
        <v>16</v>
      </c>
      <c r="AA219" s="35" t="s">
        <v>16</v>
      </c>
      <c r="AB219" s="35" t="s">
        <v>16</v>
      </c>
      <c r="AC219" s="35" t="s">
        <v>16</v>
      </c>
      <c r="AD219" s="36" t="s">
        <v>16</v>
      </c>
      <c r="AE219" s="36" t="s">
        <v>16</v>
      </c>
      <c r="AF219" s="36" t="s">
        <v>16</v>
      </c>
      <c r="AG219" s="37" t="s">
        <v>13</v>
      </c>
      <c r="AH219" s="37" t="s">
        <v>16</v>
      </c>
      <c r="AI219" s="37" t="s">
        <v>16</v>
      </c>
      <c r="AJ219" s="37" t="s">
        <v>13</v>
      </c>
      <c r="AK219" s="37" t="s">
        <v>16</v>
      </c>
      <c r="AL219" s="38">
        <f t="shared" si="6"/>
        <v>3</v>
      </c>
      <c r="AM219" s="38">
        <f t="shared" si="7"/>
        <v>4</v>
      </c>
    </row>
    <row r="220" spans="1:39" ht="15" customHeight="1">
      <c r="A220" s="27">
        <v>219</v>
      </c>
      <c r="B220" s="28" t="s">
        <v>191</v>
      </c>
      <c r="C220" s="29" t="s">
        <v>326</v>
      </c>
      <c r="D220" s="28" t="s">
        <v>351</v>
      </c>
      <c r="E220" s="28" t="s">
        <v>205</v>
      </c>
      <c r="F220" s="28"/>
      <c r="G220" s="28"/>
      <c r="H220" s="28"/>
      <c r="I220" s="28" t="s">
        <v>13</v>
      </c>
      <c r="J220" s="28"/>
      <c r="K220" s="31" t="s">
        <v>16</v>
      </c>
      <c r="L220" s="31" t="s">
        <v>16</v>
      </c>
      <c r="M220" s="31" t="s">
        <v>16</v>
      </c>
      <c r="N220" s="31" t="s">
        <v>16</v>
      </c>
      <c r="O220" s="31" t="s">
        <v>16</v>
      </c>
      <c r="P220" s="32" t="s">
        <v>13</v>
      </c>
      <c r="Q220" s="32" t="s">
        <v>13</v>
      </c>
      <c r="R220" s="32" t="s">
        <v>13</v>
      </c>
      <c r="S220" s="32" t="s">
        <v>16</v>
      </c>
      <c r="T220" s="33" t="s">
        <v>13</v>
      </c>
      <c r="U220" s="33" t="s">
        <v>16</v>
      </c>
      <c r="V220" s="33" t="s">
        <v>18</v>
      </c>
      <c r="W220" s="34" t="s">
        <v>16</v>
      </c>
      <c r="X220" s="34" t="s">
        <v>16</v>
      </c>
      <c r="Y220" s="34" t="s">
        <v>16</v>
      </c>
      <c r="Z220" s="34" t="s">
        <v>16</v>
      </c>
      <c r="AA220" s="35" t="s">
        <v>13</v>
      </c>
      <c r="AB220" s="35" t="s">
        <v>16</v>
      </c>
      <c r="AC220" s="35" t="s">
        <v>13</v>
      </c>
      <c r="AD220" s="36" t="s">
        <v>16</v>
      </c>
      <c r="AE220" s="36" t="s">
        <v>16</v>
      </c>
      <c r="AF220" s="36" t="s">
        <v>16</v>
      </c>
      <c r="AG220" s="37" t="s">
        <v>13</v>
      </c>
      <c r="AH220" s="37" t="s">
        <v>16</v>
      </c>
      <c r="AI220" s="37" t="s">
        <v>16</v>
      </c>
      <c r="AJ220" s="37" t="s">
        <v>13</v>
      </c>
      <c r="AK220" s="37" t="s">
        <v>16</v>
      </c>
      <c r="AL220" s="38">
        <f t="shared" si="6"/>
        <v>4</v>
      </c>
      <c r="AM220" s="38">
        <f t="shared" si="7"/>
        <v>4</v>
      </c>
    </row>
    <row r="221" spans="1:39" ht="15" customHeight="1">
      <c r="A221" s="27">
        <v>220</v>
      </c>
      <c r="B221" s="28" t="s">
        <v>191</v>
      </c>
      <c r="C221" s="29" t="s">
        <v>326</v>
      </c>
      <c r="D221" s="30" t="s">
        <v>352</v>
      </c>
      <c r="E221" s="28" t="s">
        <v>205</v>
      </c>
      <c r="F221" s="28"/>
      <c r="G221" s="28"/>
      <c r="H221" s="28"/>
      <c r="I221" s="28" t="s">
        <v>13</v>
      </c>
      <c r="J221" s="28"/>
      <c r="K221" s="31" t="s">
        <v>16</v>
      </c>
      <c r="L221" s="31" t="s">
        <v>16</v>
      </c>
      <c r="M221" s="31" t="s">
        <v>16</v>
      </c>
      <c r="N221" s="31" t="s">
        <v>16</v>
      </c>
      <c r="O221" s="31" t="s">
        <v>16</v>
      </c>
      <c r="P221" s="32" t="s">
        <v>13</v>
      </c>
      <c r="Q221" s="32" t="s">
        <v>15</v>
      </c>
      <c r="R221" s="32" t="s">
        <v>16</v>
      </c>
      <c r="S221" s="32" t="s">
        <v>16</v>
      </c>
      <c r="T221" s="33" t="s">
        <v>13</v>
      </c>
      <c r="U221" s="33" t="s">
        <v>16</v>
      </c>
      <c r="V221" s="33" t="s">
        <v>15</v>
      </c>
      <c r="W221" s="34" t="s">
        <v>16</v>
      </c>
      <c r="X221" s="34" t="s">
        <v>16</v>
      </c>
      <c r="Y221" s="34" t="s">
        <v>16</v>
      </c>
      <c r="Z221" s="34" t="s">
        <v>16</v>
      </c>
      <c r="AA221" s="35" t="s">
        <v>16</v>
      </c>
      <c r="AB221" s="35" t="s">
        <v>16</v>
      </c>
      <c r="AC221" s="35" t="s">
        <v>16</v>
      </c>
      <c r="AD221" s="36" t="s">
        <v>16</v>
      </c>
      <c r="AE221" s="36" t="s">
        <v>16</v>
      </c>
      <c r="AF221" s="36" t="s">
        <v>16</v>
      </c>
      <c r="AG221" s="37" t="s">
        <v>13</v>
      </c>
      <c r="AH221" s="37" t="s">
        <v>16</v>
      </c>
      <c r="AI221" s="37" t="s">
        <v>16</v>
      </c>
      <c r="AJ221" s="37" t="s">
        <v>13</v>
      </c>
      <c r="AK221" s="37" t="s">
        <v>16</v>
      </c>
      <c r="AL221" s="38">
        <f t="shared" si="6"/>
        <v>3</v>
      </c>
      <c r="AM221" s="38">
        <f t="shared" si="7"/>
        <v>1</v>
      </c>
    </row>
    <row r="222" spans="1:39" ht="15" customHeight="1">
      <c r="A222" s="27">
        <v>221</v>
      </c>
      <c r="B222" s="28" t="s">
        <v>191</v>
      </c>
      <c r="C222" s="29" t="s">
        <v>326</v>
      </c>
      <c r="D222" s="28" t="s">
        <v>353</v>
      </c>
      <c r="E222" s="28" t="s">
        <v>354</v>
      </c>
      <c r="F222" s="28"/>
      <c r="G222" s="28"/>
      <c r="H222" s="28"/>
      <c r="I222" s="28" t="s">
        <v>13</v>
      </c>
      <c r="J222" s="28"/>
      <c r="K222" s="31" t="s">
        <v>16</v>
      </c>
      <c r="L222" s="31" t="s">
        <v>16</v>
      </c>
      <c r="M222" s="31" t="s">
        <v>16</v>
      </c>
      <c r="N222" s="31" t="s">
        <v>16</v>
      </c>
      <c r="O222" s="31" t="s">
        <v>16</v>
      </c>
      <c r="P222" s="32" t="s">
        <v>13</v>
      </c>
      <c r="Q222" s="32" t="s">
        <v>16</v>
      </c>
      <c r="R222" s="32" t="s">
        <v>16</v>
      </c>
      <c r="S222" s="32" t="s">
        <v>16</v>
      </c>
      <c r="T222" s="33" t="s">
        <v>13</v>
      </c>
      <c r="U222" s="33" t="s">
        <v>16</v>
      </c>
      <c r="V222" s="33" t="s">
        <v>13</v>
      </c>
      <c r="W222" s="34" t="s">
        <v>13</v>
      </c>
      <c r="X222" s="34" t="s">
        <v>16</v>
      </c>
      <c r="Y222" s="34" t="s">
        <v>13</v>
      </c>
      <c r="Z222" s="34" t="s">
        <v>16</v>
      </c>
      <c r="AA222" s="35" t="s">
        <v>16</v>
      </c>
      <c r="AB222" s="35" t="s">
        <v>16</v>
      </c>
      <c r="AC222" s="35" t="s">
        <v>16</v>
      </c>
      <c r="AD222" s="36" t="s">
        <v>16</v>
      </c>
      <c r="AE222" s="36" t="s">
        <v>16</v>
      </c>
      <c r="AF222" s="36" t="s">
        <v>16</v>
      </c>
      <c r="AG222" s="37" t="s">
        <v>13</v>
      </c>
      <c r="AH222" s="37" t="s">
        <v>16</v>
      </c>
      <c r="AI222" s="37" t="s">
        <v>16</v>
      </c>
      <c r="AJ222" s="37" t="s">
        <v>13</v>
      </c>
      <c r="AK222" s="37" t="s">
        <v>16</v>
      </c>
      <c r="AL222" s="38">
        <f t="shared" si="6"/>
        <v>4</v>
      </c>
      <c r="AM222" s="38">
        <f t="shared" si="7"/>
        <v>3</v>
      </c>
    </row>
    <row r="223" spans="1:39" ht="15" customHeight="1">
      <c r="A223" s="27">
        <v>222</v>
      </c>
      <c r="B223" s="28" t="s">
        <v>191</v>
      </c>
      <c r="C223" s="29" t="s">
        <v>326</v>
      </c>
      <c r="D223" s="28" t="s">
        <v>355</v>
      </c>
      <c r="E223" s="28" t="s">
        <v>354</v>
      </c>
      <c r="F223" s="28"/>
      <c r="G223" s="28"/>
      <c r="H223" s="28"/>
      <c r="I223" s="28" t="s">
        <v>13</v>
      </c>
      <c r="J223" s="28"/>
      <c r="K223" s="31" t="s">
        <v>16</v>
      </c>
      <c r="L223" s="31" t="s">
        <v>16</v>
      </c>
      <c r="M223" s="31" t="s">
        <v>16</v>
      </c>
      <c r="N223" s="31" t="s">
        <v>16</v>
      </c>
      <c r="O223" s="31" t="s">
        <v>16</v>
      </c>
      <c r="P223" s="32" t="s">
        <v>13</v>
      </c>
      <c r="Q223" s="32" t="s">
        <v>16</v>
      </c>
      <c r="R223" s="32" t="s">
        <v>15</v>
      </c>
      <c r="S223" s="32" t="s">
        <v>13</v>
      </c>
      <c r="T223" s="33" t="s">
        <v>13</v>
      </c>
      <c r="U223" s="33" t="s">
        <v>16</v>
      </c>
      <c r="V223" s="33" t="s">
        <v>13</v>
      </c>
      <c r="W223" s="34" t="s">
        <v>13</v>
      </c>
      <c r="X223" s="34" t="s">
        <v>16</v>
      </c>
      <c r="Y223" s="34" t="s">
        <v>13</v>
      </c>
      <c r="Z223" s="34" t="s">
        <v>16</v>
      </c>
      <c r="AA223" s="35" t="s">
        <v>16</v>
      </c>
      <c r="AB223" s="35" t="s">
        <v>16</v>
      </c>
      <c r="AC223" s="35" t="s">
        <v>16</v>
      </c>
      <c r="AD223" s="36" t="s">
        <v>13</v>
      </c>
      <c r="AE223" s="36" t="s">
        <v>16</v>
      </c>
      <c r="AF223" s="36" t="s">
        <v>13</v>
      </c>
      <c r="AG223" s="37" t="s">
        <v>13</v>
      </c>
      <c r="AH223" s="37" t="s">
        <v>16</v>
      </c>
      <c r="AI223" s="37" t="s">
        <v>15</v>
      </c>
      <c r="AJ223" s="37" t="s">
        <v>15</v>
      </c>
      <c r="AK223" s="37" t="s">
        <v>16</v>
      </c>
      <c r="AL223" s="38">
        <f t="shared" si="6"/>
        <v>5</v>
      </c>
      <c r="AM223" s="38">
        <f t="shared" si="7"/>
        <v>4</v>
      </c>
    </row>
    <row r="224" spans="1:39" ht="15" customHeight="1">
      <c r="A224" s="27">
        <v>223</v>
      </c>
      <c r="B224" s="28" t="s">
        <v>191</v>
      </c>
      <c r="C224" s="29" t="s">
        <v>356</v>
      </c>
      <c r="D224" s="30" t="s">
        <v>357</v>
      </c>
      <c r="E224" s="28" t="s">
        <v>358</v>
      </c>
      <c r="F224" s="28"/>
      <c r="G224" s="28"/>
      <c r="H224" s="28"/>
      <c r="I224" s="28" t="s">
        <v>13</v>
      </c>
      <c r="J224" s="28"/>
      <c r="K224" s="31" t="s">
        <v>16</v>
      </c>
      <c r="L224" s="31" t="s">
        <v>16</v>
      </c>
      <c r="M224" s="31" t="s">
        <v>16</v>
      </c>
      <c r="N224" s="31" t="s">
        <v>16</v>
      </c>
      <c r="O224" s="31" t="s">
        <v>16</v>
      </c>
      <c r="P224" s="32" t="s">
        <v>13</v>
      </c>
      <c r="Q224" s="32" t="s">
        <v>15</v>
      </c>
      <c r="R224" s="32" t="s">
        <v>16</v>
      </c>
      <c r="S224" s="32" t="s">
        <v>16</v>
      </c>
      <c r="T224" s="33" t="s">
        <v>13</v>
      </c>
      <c r="U224" s="33" t="s">
        <v>16</v>
      </c>
      <c r="V224" s="33" t="s">
        <v>15</v>
      </c>
      <c r="W224" s="34" t="s">
        <v>13</v>
      </c>
      <c r="X224" s="34" t="s">
        <v>16</v>
      </c>
      <c r="Y224" s="34" t="s">
        <v>13</v>
      </c>
      <c r="Z224" s="34" t="s">
        <v>16</v>
      </c>
      <c r="AA224" s="35" t="s">
        <v>16</v>
      </c>
      <c r="AB224" s="35" t="s">
        <v>16</v>
      </c>
      <c r="AC224" s="35" t="s">
        <v>16</v>
      </c>
      <c r="AD224" s="36" t="s">
        <v>16</v>
      </c>
      <c r="AE224" s="36" t="s">
        <v>16</v>
      </c>
      <c r="AF224" s="36" t="s">
        <v>16</v>
      </c>
      <c r="AG224" s="37" t="s">
        <v>13</v>
      </c>
      <c r="AH224" s="37" t="s">
        <v>16</v>
      </c>
      <c r="AI224" s="37" t="s">
        <v>16</v>
      </c>
      <c r="AJ224" s="37" t="s">
        <v>13</v>
      </c>
      <c r="AK224" s="37" t="s">
        <v>16</v>
      </c>
      <c r="AL224" s="38">
        <f t="shared" si="6"/>
        <v>4</v>
      </c>
      <c r="AM224" s="38">
        <f t="shared" si="7"/>
        <v>2</v>
      </c>
    </row>
    <row r="225" spans="1:39" ht="15" customHeight="1">
      <c r="A225" s="27">
        <v>224</v>
      </c>
      <c r="B225" s="28" t="s">
        <v>191</v>
      </c>
      <c r="C225" s="29" t="s">
        <v>356</v>
      </c>
      <c r="D225" s="28" t="s">
        <v>359</v>
      </c>
      <c r="E225" s="28" t="s">
        <v>360</v>
      </c>
      <c r="F225" s="28" t="s">
        <v>13</v>
      </c>
      <c r="G225" s="28" t="s">
        <v>13</v>
      </c>
      <c r="H225" s="28" t="s">
        <v>13</v>
      </c>
      <c r="I225" s="28" t="s">
        <v>13</v>
      </c>
      <c r="J225" s="28"/>
      <c r="K225" s="31" t="s">
        <v>16</v>
      </c>
      <c r="L225" s="31" t="s">
        <v>16</v>
      </c>
      <c r="M225" s="31" t="s">
        <v>16</v>
      </c>
      <c r="N225" s="31" t="s">
        <v>16</v>
      </c>
      <c r="O225" s="31" t="s">
        <v>16</v>
      </c>
      <c r="P225" s="32" t="s">
        <v>13</v>
      </c>
      <c r="Q225" s="32" t="s">
        <v>15</v>
      </c>
      <c r="R225" s="32" t="s">
        <v>13</v>
      </c>
      <c r="S225" s="32" t="s">
        <v>16</v>
      </c>
      <c r="T225" s="33" t="s">
        <v>13</v>
      </c>
      <c r="U225" s="33" t="s">
        <v>16</v>
      </c>
      <c r="V225" s="33" t="s">
        <v>15</v>
      </c>
      <c r="W225" s="34" t="s">
        <v>13</v>
      </c>
      <c r="X225" s="34" t="s">
        <v>16</v>
      </c>
      <c r="Y225" s="34" t="s">
        <v>13</v>
      </c>
      <c r="Z225" s="34" t="s">
        <v>16</v>
      </c>
      <c r="AA225" s="35" t="s">
        <v>13</v>
      </c>
      <c r="AB225" s="35" t="s">
        <v>16</v>
      </c>
      <c r="AC225" s="35" t="s">
        <v>13</v>
      </c>
      <c r="AD225" s="36" t="s">
        <v>13</v>
      </c>
      <c r="AE225" s="36" t="s">
        <v>13</v>
      </c>
      <c r="AF225" s="36" t="s">
        <v>13</v>
      </c>
      <c r="AG225" s="37" t="s">
        <v>13</v>
      </c>
      <c r="AH225" s="37" t="s">
        <v>16</v>
      </c>
      <c r="AI225" s="37" t="s">
        <v>16</v>
      </c>
      <c r="AJ225" s="37" t="s">
        <v>13</v>
      </c>
      <c r="AK225" s="37" t="s">
        <v>16</v>
      </c>
      <c r="AL225" s="38">
        <f t="shared" si="6"/>
        <v>6</v>
      </c>
      <c r="AM225" s="38">
        <f t="shared" si="7"/>
        <v>6</v>
      </c>
    </row>
  </sheetData>
  <autoFilter ref="A1:AM225" xr:uid="{AFA1CD05-C42B-1340-916E-E3319C311599}"/>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196EE6-940F-ED4F-BC3B-24EDB2F0B83D}">
  <dimension ref="A1:AK817"/>
  <sheetViews>
    <sheetView tabSelected="1" workbookViewId="0"/>
  </sheetViews>
  <sheetFormatPr baseColWidth="10" defaultColWidth="8.83203125" defaultRowHeight="15" customHeight="1"/>
  <cols>
    <col min="1" max="1" width="18.33203125" style="53" customWidth="1"/>
    <col min="2" max="2" width="40.1640625" style="59" customWidth="1"/>
    <col min="3" max="3" width="27.83203125" style="56" customWidth="1"/>
    <col min="4" max="4" width="34.33203125" style="51" customWidth="1"/>
    <col min="5" max="5" width="33.1640625" style="51" customWidth="1"/>
    <col min="6" max="6" width="22" style="129" customWidth="1"/>
    <col min="7" max="7" width="17" style="67" customWidth="1"/>
    <col min="8" max="8" width="18.5" style="65" customWidth="1"/>
    <col min="9" max="9" width="20.33203125" style="129" customWidth="1"/>
    <col min="10" max="10" width="14.83203125" style="67" customWidth="1"/>
    <col min="11" max="11" width="16.5" style="65" customWidth="1"/>
    <col min="12" max="12" width="20.33203125" style="27" customWidth="1"/>
    <col min="13" max="13" width="20.5" style="67" customWidth="1"/>
    <col min="14" max="14" width="18.33203125" style="27" customWidth="1"/>
    <col min="15" max="15" width="18.33203125" style="60" customWidth="1"/>
    <col min="16" max="20" width="8.83203125" style="27"/>
    <col min="21" max="30" width="8.83203125" style="60"/>
    <col min="31" max="16384" width="8.83203125" style="27"/>
  </cols>
  <sheetData>
    <row r="1" spans="1:34" ht="75.75" customHeight="1">
      <c r="A1" s="41" t="s">
        <v>1657</v>
      </c>
      <c r="B1" s="42" t="s">
        <v>1685</v>
      </c>
      <c r="C1" s="42" t="s">
        <v>1</v>
      </c>
      <c r="D1" s="43" t="s">
        <v>361</v>
      </c>
      <c r="E1" s="43" t="s">
        <v>362</v>
      </c>
      <c r="F1" s="44" t="s">
        <v>363</v>
      </c>
      <c r="G1" s="44" t="s">
        <v>364</v>
      </c>
      <c r="H1" s="44" t="s">
        <v>365</v>
      </c>
      <c r="I1" s="44" t="s">
        <v>366</v>
      </c>
      <c r="J1" s="44" t="s">
        <v>367</v>
      </c>
      <c r="K1" s="44" t="s">
        <v>368</v>
      </c>
      <c r="L1" s="45" t="s">
        <v>369</v>
      </c>
      <c r="M1" s="46" t="s">
        <v>370</v>
      </c>
      <c r="N1" s="44" t="s">
        <v>371</v>
      </c>
      <c r="O1" s="44" t="s">
        <v>372</v>
      </c>
      <c r="P1" s="47" t="s">
        <v>2</v>
      </c>
      <c r="Q1" s="47" t="s">
        <v>3</v>
      </c>
      <c r="R1" s="47" t="s">
        <v>4</v>
      </c>
      <c r="S1" s="47" t="s">
        <v>5</v>
      </c>
      <c r="T1" s="47" t="s">
        <v>6</v>
      </c>
      <c r="U1" s="48" t="s">
        <v>373</v>
      </c>
      <c r="V1" s="48" t="s">
        <v>374</v>
      </c>
      <c r="W1" s="48" t="s">
        <v>373</v>
      </c>
      <c r="X1" s="48" t="s">
        <v>374</v>
      </c>
      <c r="Y1" s="48" t="s">
        <v>373</v>
      </c>
      <c r="Z1" s="48" t="s">
        <v>374</v>
      </c>
      <c r="AA1" s="48" t="s">
        <v>373</v>
      </c>
      <c r="AB1" s="48" t="s">
        <v>374</v>
      </c>
      <c r="AC1" s="48" t="s">
        <v>373</v>
      </c>
      <c r="AD1" s="48" t="s">
        <v>374</v>
      </c>
      <c r="AE1" s="48" t="s">
        <v>373</v>
      </c>
      <c r="AF1" s="48" t="s">
        <v>374</v>
      </c>
    </row>
    <row r="2" spans="1:34" ht="15" customHeight="1">
      <c r="A2" s="49">
        <v>1</v>
      </c>
      <c r="B2" s="49" t="s">
        <v>11</v>
      </c>
      <c r="C2" s="50" t="s">
        <v>12</v>
      </c>
      <c r="D2" s="51" t="s">
        <v>375</v>
      </c>
      <c r="E2" s="51" t="s">
        <v>376</v>
      </c>
      <c r="F2" s="52" t="s">
        <v>377</v>
      </c>
      <c r="G2" s="53" t="s">
        <v>378</v>
      </c>
      <c r="H2" s="54"/>
      <c r="I2" s="42" t="s">
        <v>379</v>
      </c>
      <c r="J2" s="55" t="s">
        <v>380</v>
      </c>
      <c r="K2" s="54"/>
      <c r="L2" s="56" t="s">
        <v>377</v>
      </c>
      <c r="M2" s="57" t="s">
        <v>381</v>
      </c>
      <c r="N2" s="58"/>
      <c r="O2" s="59"/>
      <c r="P2" s="28" t="s">
        <v>13</v>
      </c>
      <c r="Q2" s="28" t="s">
        <v>14</v>
      </c>
      <c r="R2" s="28" t="s">
        <v>13</v>
      </c>
      <c r="S2" s="28"/>
      <c r="T2" s="28"/>
    </row>
    <row r="3" spans="1:34" ht="15" customHeight="1">
      <c r="A3" s="49">
        <v>1</v>
      </c>
      <c r="B3" s="49" t="s">
        <v>11</v>
      </c>
      <c r="C3" s="50" t="s">
        <v>12</v>
      </c>
      <c r="D3" s="51" t="s">
        <v>375</v>
      </c>
      <c r="E3" s="51" t="s">
        <v>382</v>
      </c>
      <c r="F3" s="42" t="s">
        <v>379</v>
      </c>
      <c r="G3" s="53" t="s">
        <v>383</v>
      </c>
      <c r="H3" s="54"/>
      <c r="I3" s="42" t="s">
        <v>379</v>
      </c>
      <c r="J3" s="55" t="s">
        <v>380</v>
      </c>
      <c r="K3" s="54"/>
      <c r="L3" s="56" t="s">
        <v>377</v>
      </c>
      <c r="M3" s="57" t="s">
        <v>384</v>
      </c>
      <c r="N3" s="58"/>
      <c r="O3" s="59"/>
      <c r="P3" s="28"/>
      <c r="Q3" s="28"/>
      <c r="R3" s="28"/>
      <c r="S3" s="28"/>
      <c r="T3" s="28"/>
    </row>
    <row r="4" spans="1:34" ht="15" customHeight="1">
      <c r="A4" s="49">
        <v>1</v>
      </c>
      <c r="B4" s="49" t="s">
        <v>11</v>
      </c>
      <c r="C4" s="50" t="s">
        <v>12</v>
      </c>
      <c r="D4" s="51" t="s">
        <v>375</v>
      </c>
      <c r="E4" s="51" t="s">
        <v>385</v>
      </c>
      <c r="F4" s="42" t="s">
        <v>379</v>
      </c>
      <c r="G4" s="57" t="s">
        <v>386</v>
      </c>
      <c r="H4" s="54"/>
      <c r="I4" s="42" t="s">
        <v>379</v>
      </c>
      <c r="J4" s="55" t="s">
        <v>387</v>
      </c>
      <c r="K4" s="54"/>
      <c r="L4" s="56" t="s">
        <v>377</v>
      </c>
      <c r="M4" s="57" t="s">
        <v>388</v>
      </c>
      <c r="N4" s="58"/>
      <c r="O4" s="61"/>
      <c r="P4" s="28"/>
      <c r="Q4" s="28"/>
      <c r="R4" s="28"/>
      <c r="S4" s="28"/>
      <c r="T4" s="28"/>
      <c r="U4" s="62" t="s">
        <v>389</v>
      </c>
      <c r="V4" s="60" t="s">
        <v>390</v>
      </c>
      <c r="W4" s="60" t="s">
        <v>391</v>
      </c>
      <c r="X4" s="60" t="s">
        <v>392</v>
      </c>
      <c r="Y4" s="1" t="s">
        <v>393</v>
      </c>
      <c r="Z4" s="60" t="s">
        <v>394</v>
      </c>
      <c r="AA4" s="1" t="s">
        <v>395</v>
      </c>
      <c r="AB4" s="60" t="s">
        <v>396</v>
      </c>
      <c r="AE4" s="40" t="s">
        <v>397</v>
      </c>
      <c r="AF4" s="27" t="s">
        <v>398</v>
      </c>
      <c r="AG4" s="40" t="s">
        <v>399</v>
      </c>
      <c r="AH4" s="27" t="s">
        <v>400</v>
      </c>
    </row>
    <row r="5" spans="1:34" ht="15" customHeight="1">
      <c r="A5" s="49">
        <v>1</v>
      </c>
      <c r="B5" s="49" t="s">
        <v>11</v>
      </c>
      <c r="C5" s="50" t="s">
        <v>12</v>
      </c>
      <c r="D5" s="51" t="s">
        <v>401</v>
      </c>
      <c r="E5" s="51" t="s">
        <v>402</v>
      </c>
      <c r="F5" s="56" t="s">
        <v>403</v>
      </c>
      <c r="G5" s="53" t="s">
        <v>404</v>
      </c>
      <c r="H5" s="54"/>
      <c r="I5" s="42" t="s">
        <v>405</v>
      </c>
      <c r="J5" s="53" t="s">
        <v>406</v>
      </c>
      <c r="K5" s="54"/>
      <c r="L5" s="56" t="s">
        <v>405</v>
      </c>
      <c r="M5" s="57" t="s">
        <v>407</v>
      </c>
      <c r="N5" s="58"/>
      <c r="O5" s="59"/>
      <c r="P5" s="28"/>
      <c r="Q5" s="28"/>
      <c r="R5" s="28"/>
      <c r="S5" s="28"/>
      <c r="T5" s="28"/>
      <c r="U5" s="1" t="s">
        <v>408</v>
      </c>
      <c r="V5" s="60" t="s">
        <v>409</v>
      </c>
      <c r="W5" s="1" t="s">
        <v>410</v>
      </c>
      <c r="X5" s="60" t="s">
        <v>411</v>
      </c>
      <c r="Z5" s="60" t="s">
        <v>412</v>
      </c>
      <c r="AA5" s="60" t="s">
        <v>413</v>
      </c>
    </row>
    <row r="6" spans="1:34" ht="15" customHeight="1">
      <c r="A6" s="49">
        <v>1</v>
      </c>
      <c r="B6" s="49" t="s">
        <v>11</v>
      </c>
      <c r="C6" s="50" t="s">
        <v>12</v>
      </c>
      <c r="D6" s="51" t="s">
        <v>401</v>
      </c>
      <c r="E6" s="51" t="s">
        <v>414</v>
      </c>
      <c r="F6" s="52" t="s">
        <v>379</v>
      </c>
      <c r="G6" s="53" t="s">
        <v>415</v>
      </c>
      <c r="H6" s="54"/>
      <c r="I6" s="42" t="s">
        <v>416</v>
      </c>
      <c r="J6" s="53" t="s">
        <v>417</v>
      </c>
      <c r="K6" s="54"/>
      <c r="L6" s="56" t="s">
        <v>405</v>
      </c>
      <c r="M6" s="53" t="s">
        <v>418</v>
      </c>
      <c r="N6" s="58"/>
      <c r="O6" s="59"/>
      <c r="P6" s="28"/>
      <c r="Q6" s="28"/>
      <c r="R6" s="28"/>
      <c r="S6" s="28"/>
      <c r="T6" s="28"/>
      <c r="U6" s="1" t="s">
        <v>419</v>
      </c>
      <c r="V6" s="60" t="s">
        <v>420</v>
      </c>
      <c r="W6" s="1" t="s">
        <v>408</v>
      </c>
      <c r="X6" s="60" t="s">
        <v>409</v>
      </c>
      <c r="Z6" s="60" t="s">
        <v>412</v>
      </c>
      <c r="AA6" s="60" t="s">
        <v>413</v>
      </c>
    </row>
    <row r="7" spans="1:34" ht="15" customHeight="1">
      <c r="A7" s="49">
        <v>1</v>
      </c>
      <c r="B7" s="49" t="s">
        <v>11</v>
      </c>
      <c r="C7" s="50" t="s">
        <v>12</v>
      </c>
      <c r="D7" s="51" t="s">
        <v>401</v>
      </c>
      <c r="E7" s="63" t="s">
        <v>421</v>
      </c>
      <c r="F7" s="52" t="s">
        <v>416</v>
      </c>
      <c r="G7" s="53" t="s">
        <v>422</v>
      </c>
      <c r="H7" s="54"/>
      <c r="I7" s="42" t="s">
        <v>416</v>
      </c>
      <c r="J7" s="53" t="s">
        <v>423</v>
      </c>
      <c r="K7" s="54"/>
      <c r="L7" s="56" t="s">
        <v>405</v>
      </c>
      <c r="M7" s="53" t="s">
        <v>424</v>
      </c>
      <c r="N7" s="58"/>
      <c r="O7" s="64"/>
      <c r="P7" s="28"/>
      <c r="Q7" s="28"/>
      <c r="R7" s="28"/>
      <c r="S7" s="28"/>
      <c r="T7" s="28"/>
      <c r="U7" s="1" t="s">
        <v>425</v>
      </c>
      <c r="V7" s="60" t="s">
        <v>426</v>
      </c>
      <c r="W7" s="1" t="s">
        <v>427</v>
      </c>
      <c r="X7" s="60" t="s">
        <v>428</v>
      </c>
      <c r="Z7" s="60" t="s">
        <v>412</v>
      </c>
      <c r="AA7" s="60" t="s">
        <v>413</v>
      </c>
    </row>
    <row r="8" spans="1:34" ht="15" customHeight="1">
      <c r="A8" s="49">
        <v>1</v>
      </c>
      <c r="B8" s="49" t="s">
        <v>11</v>
      </c>
      <c r="C8" s="50" t="s">
        <v>12</v>
      </c>
      <c r="D8" s="51" t="s">
        <v>429</v>
      </c>
      <c r="E8" s="51" t="s">
        <v>430</v>
      </c>
      <c r="F8" s="52" t="s">
        <v>379</v>
      </c>
      <c r="G8" s="53" t="s">
        <v>431</v>
      </c>
      <c r="H8" s="54"/>
      <c r="I8" s="42" t="s">
        <v>379</v>
      </c>
      <c r="J8" s="53" t="s">
        <v>432</v>
      </c>
      <c r="K8" s="54"/>
      <c r="L8" s="56" t="s">
        <v>405</v>
      </c>
      <c r="M8" s="53" t="s">
        <v>433</v>
      </c>
      <c r="N8" s="58"/>
      <c r="O8" s="59"/>
      <c r="P8" s="28"/>
      <c r="Q8" s="28"/>
      <c r="R8" s="28"/>
      <c r="S8" s="28"/>
      <c r="T8" s="28"/>
      <c r="U8" s="60" t="s">
        <v>434</v>
      </c>
      <c r="V8" s="60" t="s">
        <v>435</v>
      </c>
      <c r="W8" s="1" t="s">
        <v>436</v>
      </c>
      <c r="X8" s="60" t="s">
        <v>437</v>
      </c>
      <c r="Y8" s="1" t="s">
        <v>438</v>
      </c>
      <c r="Z8" s="60" t="s">
        <v>439</v>
      </c>
      <c r="AA8" s="1" t="s">
        <v>440</v>
      </c>
      <c r="AB8" s="60" t="s">
        <v>441</v>
      </c>
      <c r="AC8" s="1" t="s">
        <v>442</v>
      </c>
      <c r="AD8" s="60" t="s">
        <v>437</v>
      </c>
    </row>
    <row r="9" spans="1:34" ht="15" customHeight="1">
      <c r="A9" s="49">
        <v>1</v>
      </c>
      <c r="B9" s="49" t="s">
        <v>11</v>
      </c>
      <c r="C9" s="50" t="s">
        <v>12</v>
      </c>
      <c r="D9" s="51" t="s">
        <v>429</v>
      </c>
      <c r="E9" s="51" t="s">
        <v>443</v>
      </c>
      <c r="F9" s="52" t="s">
        <v>416</v>
      </c>
      <c r="G9" s="53" t="s">
        <v>444</v>
      </c>
      <c r="H9" s="54"/>
      <c r="I9" s="42" t="s">
        <v>416</v>
      </c>
      <c r="J9" s="53" t="s">
        <v>445</v>
      </c>
      <c r="L9" s="56" t="s">
        <v>405</v>
      </c>
      <c r="M9" s="53" t="s">
        <v>446</v>
      </c>
      <c r="N9" s="58"/>
      <c r="O9" s="59"/>
      <c r="P9" s="28"/>
      <c r="Q9" s="28"/>
      <c r="R9" s="28"/>
      <c r="S9" s="28"/>
      <c r="T9" s="28"/>
      <c r="U9" s="1" t="s">
        <v>447</v>
      </c>
      <c r="V9" s="60" t="s">
        <v>448</v>
      </c>
      <c r="W9" s="1" t="s">
        <v>449</v>
      </c>
      <c r="X9" s="60" t="s">
        <v>450</v>
      </c>
      <c r="Y9" s="1" t="s">
        <v>451</v>
      </c>
      <c r="Z9" s="60" t="s">
        <v>452</v>
      </c>
    </row>
    <row r="10" spans="1:34" ht="15" customHeight="1">
      <c r="A10" s="49">
        <v>1</v>
      </c>
      <c r="B10" s="49" t="s">
        <v>11</v>
      </c>
      <c r="C10" s="50" t="s">
        <v>12</v>
      </c>
      <c r="D10" s="51" t="s">
        <v>429</v>
      </c>
      <c r="E10" s="51" t="s">
        <v>453</v>
      </c>
      <c r="F10" s="42" t="s">
        <v>405</v>
      </c>
      <c r="G10" s="53" t="s">
        <v>454</v>
      </c>
      <c r="H10" s="54"/>
      <c r="I10" s="42" t="s">
        <v>416</v>
      </c>
      <c r="J10" s="53" t="s">
        <v>455</v>
      </c>
      <c r="K10" s="54"/>
      <c r="L10" s="56" t="s">
        <v>416</v>
      </c>
      <c r="M10" s="53" t="s">
        <v>456</v>
      </c>
      <c r="N10" s="58"/>
      <c r="O10" s="59"/>
      <c r="P10" s="28"/>
      <c r="Q10" s="28"/>
      <c r="R10" s="28"/>
      <c r="S10" s="28"/>
      <c r="T10" s="28"/>
      <c r="U10" s="1" t="s">
        <v>457</v>
      </c>
      <c r="V10" s="60" t="s">
        <v>458</v>
      </c>
      <c r="W10" s="1" t="s">
        <v>459</v>
      </c>
      <c r="X10" s="60" t="s">
        <v>460</v>
      </c>
      <c r="Y10" s="1" t="s">
        <v>447</v>
      </c>
      <c r="Z10" s="60" t="s">
        <v>448</v>
      </c>
    </row>
    <row r="11" spans="1:34" ht="15" customHeight="1">
      <c r="A11" s="49">
        <v>1</v>
      </c>
      <c r="B11" s="49" t="s">
        <v>11</v>
      </c>
      <c r="C11" s="50" t="s">
        <v>12</v>
      </c>
      <c r="D11" s="51" t="s">
        <v>429</v>
      </c>
      <c r="E11" s="51" t="s">
        <v>461</v>
      </c>
      <c r="F11" s="42" t="s">
        <v>377</v>
      </c>
      <c r="G11" s="53" t="s">
        <v>462</v>
      </c>
      <c r="H11" s="66"/>
      <c r="I11" s="42" t="s">
        <v>416</v>
      </c>
      <c r="J11" s="53" t="s">
        <v>463</v>
      </c>
      <c r="K11" s="54"/>
      <c r="L11" s="56" t="s">
        <v>377</v>
      </c>
      <c r="M11" s="53" t="s">
        <v>464</v>
      </c>
      <c r="N11" s="58"/>
      <c r="O11" s="59"/>
      <c r="P11" s="28"/>
      <c r="Q11" s="28"/>
      <c r="R11" s="28"/>
      <c r="S11" s="28"/>
      <c r="T11" s="28"/>
      <c r="U11" s="1" t="s">
        <v>465</v>
      </c>
      <c r="V11" s="60" t="s">
        <v>466</v>
      </c>
      <c r="W11" s="1" t="s">
        <v>467</v>
      </c>
      <c r="X11" s="60" t="s">
        <v>468</v>
      </c>
      <c r="Y11" s="1" t="s">
        <v>469</v>
      </c>
    </row>
    <row r="12" spans="1:34" ht="15" customHeight="1">
      <c r="A12" s="49">
        <v>1</v>
      </c>
      <c r="B12" s="49" t="s">
        <v>11</v>
      </c>
      <c r="C12" s="50" t="s">
        <v>12</v>
      </c>
      <c r="D12" s="51" t="s">
        <v>470</v>
      </c>
      <c r="E12" s="51" t="s">
        <v>471</v>
      </c>
      <c r="F12" s="42" t="s">
        <v>405</v>
      </c>
      <c r="G12" s="53" t="s">
        <v>472</v>
      </c>
      <c r="H12" s="54"/>
      <c r="I12" s="42" t="s">
        <v>416</v>
      </c>
      <c r="J12" s="53" t="s">
        <v>473</v>
      </c>
      <c r="K12" s="54"/>
      <c r="L12" s="56" t="s">
        <v>379</v>
      </c>
      <c r="M12" s="53" t="s">
        <v>474</v>
      </c>
      <c r="N12" s="58"/>
      <c r="O12" s="59"/>
      <c r="P12" s="28"/>
      <c r="Q12" s="28"/>
      <c r="R12" s="28"/>
      <c r="S12" s="28"/>
      <c r="T12" s="28"/>
      <c r="U12" s="1" t="s">
        <v>475</v>
      </c>
      <c r="V12" s="60" t="s">
        <v>476</v>
      </c>
    </row>
    <row r="13" spans="1:34" ht="15" customHeight="1">
      <c r="A13" s="49">
        <v>1</v>
      </c>
      <c r="B13" s="49" t="s">
        <v>11</v>
      </c>
      <c r="C13" s="50" t="s">
        <v>12</v>
      </c>
      <c r="D13" s="51" t="s">
        <v>470</v>
      </c>
      <c r="E13" s="51" t="s">
        <v>477</v>
      </c>
      <c r="F13" s="52" t="s">
        <v>379</v>
      </c>
      <c r="G13" s="53" t="s">
        <v>478</v>
      </c>
      <c r="H13" s="54"/>
      <c r="I13" s="42" t="s">
        <v>377</v>
      </c>
      <c r="J13" s="53" t="s">
        <v>479</v>
      </c>
      <c r="K13" s="54"/>
      <c r="L13" s="56" t="s">
        <v>379</v>
      </c>
      <c r="M13" s="53" t="s">
        <v>480</v>
      </c>
      <c r="N13" s="58"/>
      <c r="O13" s="59"/>
      <c r="P13" s="28"/>
      <c r="Q13" s="28"/>
      <c r="R13" s="28"/>
      <c r="S13" s="28"/>
      <c r="T13" s="28"/>
      <c r="U13" s="1" t="s">
        <v>481</v>
      </c>
      <c r="V13" s="60" t="s">
        <v>482</v>
      </c>
    </row>
    <row r="14" spans="1:34" ht="15" customHeight="1">
      <c r="A14" s="49">
        <v>1</v>
      </c>
      <c r="B14" s="49" t="s">
        <v>11</v>
      </c>
      <c r="C14" s="50" t="s">
        <v>12</v>
      </c>
      <c r="D14" s="51" t="s">
        <v>483</v>
      </c>
      <c r="E14" s="51" t="s">
        <v>484</v>
      </c>
      <c r="F14" s="42" t="s">
        <v>405</v>
      </c>
      <c r="G14" s="53" t="s">
        <v>485</v>
      </c>
      <c r="H14" s="54"/>
      <c r="I14" s="42" t="s">
        <v>416</v>
      </c>
      <c r="J14" s="53" t="s">
        <v>486</v>
      </c>
      <c r="K14" s="54"/>
      <c r="L14" s="56" t="s">
        <v>487</v>
      </c>
      <c r="M14" s="53" t="s">
        <v>488</v>
      </c>
      <c r="N14" s="58"/>
      <c r="O14" s="59"/>
      <c r="P14" s="28"/>
      <c r="Q14" s="28"/>
      <c r="R14" s="28"/>
      <c r="S14" s="28"/>
      <c r="T14" s="28"/>
      <c r="U14" s="1" t="s">
        <v>489</v>
      </c>
      <c r="V14" s="60" t="s">
        <v>490</v>
      </c>
      <c r="W14" s="1" t="s">
        <v>491</v>
      </c>
      <c r="X14" s="60" t="s">
        <v>492</v>
      </c>
      <c r="Y14" s="1" t="s">
        <v>493</v>
      </c>
      <c r="Z14" s="60" t="s">
        <v>494</v>
      </c>
    </row>
    <row r="15" spans="1:34" ht="15" customHeight="1">
      <c r="A15" s="49">
        <v>1</v>
      </c>
      <c r="B15" s="49" t="s">
        <v>11</v>
      </c>
      <c r="C15" s="50" t="s">
        <v>12</v>
      </c>
      <c r="D15" s="51" t="s">
        <v>483</v>
      </c>
      <c r="E15" s="51" t="s">
        <v>495</v>
      </c>
      <c r="F15" s="52" t="s">
        <v>379</v>
      </c>
      <c r="G15" s="53" t="s">
        <v>378</v>
      </c>
      <c r="H15" s="54"/>
      <c r="I15" s="42" t="s">
        <v>416</v>
      </c>
      <c r="J15" s="53" t="s">
        <v>496</v>
      </c>
      <c r="K15" s="54"/>
      <c r="L15" s="56" t="s">
        <v>416</v>
      </c>
      <c r="M15" s="53" t="s">
        <v>497</v>
      </c>
      <c r="N15" s="58"/>
      <c r="O15" s="59"/>
      <c r="P15" s="28"/>
      <c r="Q15" s="28"/>
      <c r="R15" s="28"/>
      <c r="S15" s="28"/>
      <c r="T15" s="28"/>
    </row>
    <row r="16" spans="1:34" ht="15" customHeight="1">
      <c r="A16" s="49">
        <v>1</v>
      </c>
      <c r="B16" s="49" t="s">
        <v>11</v>
      </c>
      <c r="C16" s="50" t="s">
        <v>12</v>
      </c>
      <c r="D16" s="51" t="s">
        <v>483</v>
      </c>
      <c r="E16" s="51" t="s">
        <v>498</v>
      </c>
      <c r="F16" s="52" t="s">
        <v>379</v>
      </c>
      <c r="G16" s="53" t="s">
        <v>499</v>
      </c>
      <c r="H16" s="54"/>
      <c r="I16" s="42" t="s">
        <v>379</v>
      </c>
      <c r="J16" s="53" t="s">
        <v>500</v>
      </c>
      <c r="K16" s="54"/>
      <c r="L16" s="56" t="s">
        <v>377</v>
      </c>
      <c r="M16" s="53" t="s">
        <v>501</v>
      </c>
      <c r="N16" s="58"/>
      <c r="O16" s="59"/>
      <c r="P16" s="28"/>
      <c r="Q16" s="28"/>
      <c r="R16" s="28"/>
      <c r="S16" s="28"/>
      <c r="T16" s="28"/>
      <c r="U16" s="60" t="s">
        <v>502</v>
      </c>
      <c r="V16" s="60" t="s">
        <v>503</v>
      </c>
      <c r="W16" s="1" t="s">
        <v>504</v>
      </c>
      <c r="X16" s="60" t="s">
        <v>505</v>
      </c>
    </row>
    <row r="17" spans="1:33" ht="15" customHeight="1">
      <c r="A17" s="49">
        <v>1</v>
      </c>
      <c r="B17" s="49" t="s">
        <v>11</v>
      </c>
      <c r="C17" s="50" t="s">
        <v>12</v>
      </c>
      <c r="D17" s="51" t="s">
        <v>483</v>
      </c>
      <c r="E17" s="51" t="s">
        <v>506</v>
      </c>
      <c r="F17" s="42" t="s">
        <v>405</v>
      </c>
      <c r="G17" s="53" t="s">
        <v>507</v>
      </c>
      <c r="H17" s="54"/>
      <c r="I17" s="42" t="s">
        <v>379</v>
      </c>
      <c r="J17" s="53" t="s">
        <v>508</v>
      </c>
      <c r="K17" s="54"/>
      <c r="L17" s="56" t="s">
        <v>377</v>
      </c>
      <c r="M17" s="53" t="s">
        <v>509</v>
      </c>
      <c r="N17" s="58"/>
      <c r="O17" s="59"/>
      <c r="P17" s="28"/>
      <c r="Q17" s="28"/>
      <c r="R17" s="28"/>
      <c r="S17" s="28"/>
      <c r="T17" s="28"/>
      <c r="U17" s="60" t="s">
        <v>510</v>
      </c>
      <c r="V17" s="60" t="s">
        <v>511</v>
      </c>
      <c r="W17" s="1" t="s">
        <v>512</v>
      </c>
      <c r="X17" s="60" t="s">
        <v>513</v>
      </c>
    </row>
    <row r="18" spans="1:33" ht="15" customHeight="1">
      <c r="A18" s="49">
        <v>1</v>
      </c>
      <c r="B18" s="49" t="s">
        <v>11</v>
      </c>
      <c r="C18" s="50" t="s">
        <v>12</v>
      </c>
      <c r="D18" s="51" t="s">
        <v>514</v>
      </c>
      <c r="E18" s="51" t="s">
        <v>515</v>
      </c>
      <c r="F18" s="52" t="s">
        <v>379</v>
      </c>
      <c r="G18" s="53" t="s">
        <v>516</v>
      </c>
      <c r="H18" s="54"/>
      <c r="I18" s="42" t="s">
        <v>416</v>
      </c>
      <c r="J18" s="67" t="s">
        <v>517</v>
      </c>
      <c r="K18" s="54"/>
      <c r="L18" s="56" t="s">
        <v>377</v>
      </c>
      <c r="M18" s="53" t="s">
        <v>518</v>
      </c>
      <c r="N18" s="58"/>
      <c r="O18" s="59"/>
      <c r="P18" s="28"/>
      <c r="Q18" s="28"/>
      <c r="R18" s="28"/>
      <c r="S18" s="28"/>
      <c r="T18" s="28"/>
      <c r="U18" s="1" t="s">
        <v>519</v>
      </c>
      <c r="V18" s="60" t="s">
        <v>520</v>
      </c>
      <c r="W18" s="1" t="s">
        <v>521</v>
      </c>
      <c r="X18" s="60" t="s">
        <v>522</v>
      </c>
    </row>
    <row r="19" spans="1:33" ht="15" customHeight="1">
      <c r="A19" s="49">
        <v>1</v>
      </c>
      <c r="B19" s="49" t="s">
        <v>11</v>
      </c>
      <c r="C19" s="50" t="s">
        <v>12</v>
      </c>
      <c r="D19" s="51" t="s">
        <v>514</v>
      </c>
      <c r="E19" s="51" t="s">
        <v>523</v>
      </c>
      <c r="F19" s="42" t="s">
        <v>379</v>
      </c>
      <c r="G19" s="53" t="s">
        <v>524</v>
      </c>
      <c r="H19" s="54"/>
      <c r="I19" s="42" t="s">
        <v>416</v>
      </c>
      <c r="J19" s="67" t="s">
        <v>525</v>
      </c>
      <c r="K19" s="54"/>
      <c r="L19" s="56" t="s">
        <v>405</v>
      </c>
      <c r="M19" s="53" t="s">
        <v>526</v>
      </c>
      <c r="N19" s="58"/>
      <c r="O19" s="59"/>
      <c r="P19" s="28"/>
      <c r="Q19" s="28"/>
      <c r="R19" s="28"/>
      <c r="S19" s="28"/>
      <c r="T19" s="28"/>
      <c r="U19" s="1" t="s">
        <v>519</v>
      </c>
      <c r="V19" s="60" t="s">
        <v>520</v>
      </c>
      <c r="W19" s="1" t="s">
        <v>521</v>
      </c>
      <c r="X19" s="60" t="s">
        <v>522</v>
      </c>
    </row>
    <row r="20" spans="1:33" ht="15" customHeight="1">
      <c r="A20" s="49">
        <v>1</v>
      </c>
      <c r="B20" s="49" t="s">
        <v>11</v>
      </c>
      <c r="C20" s="50" t="s">
        <v>12</v>
      </c>
      <c r="D20" s="51" t="s">
        <v>514</v>
      </c>
      <c r="E20" s="51" t="s">
        <v>527</v>
      </c>
      <c r="F20" s="42" t="s">
        <v>379</v>
      </c>
      <c r="G20" s="53" t="s">
        <v>378</v>
      </c>
      <c r="H20" s="54"/>
      <c r="I20" s="42" t="s">
        <v>377</v>
      </c>
      <c r="J20" s="53" t="s">
        <v>528</v>
      </c>
      <c r="K20" s="54"/>
      <c r="L20" s="56" t="s">
        <v>379</v>
      </c>
      <c r="M20" s="53" t="s">
        <v>529</v>
      </c>
      <c r="N20" s="58"/>
      <c r="O20" s="59"/>
      <c r="P20" s="28"/>
      <c r="Q20" s="28"/>
      <c r="R20" s="28"/>
      <c r="S20" s="28"/>
      <c r="T20" s="28"/>
      <c r="U20" s="1" t="s">
        <v>521</v>
      </c>
      <c r="V20" s="60" t="s">
        <v>522</v>
      </c>
    </row>
    <row r="21" spans="1:33" ht="15" customHeight="1">
      <c r="A21" s="49">
        <v>1</v>
      </c>
      <c r="B21" s="49" t="s">
        <v>11</v>
      </c>
      <c r="C21" s="50" t="s">
        <v>12</v>
      </c>
      <c r="D21" s="51" t="s">
        <v>530</v>
      </c>
      <c r="E21" s="51" t="s">
        <v>531</v>
      </c>
      <c r="F21" s="42" t="s">
        <v>405</v>
      </c>
      <c r="G21" s="53" t="s">
        <v>532</v>
      </c>
      <c r="H21" s="54"/>
      <c r="I21" s="42" t="s">
        <v>379</v>
      </c>
      <c r="J21" s="53" t="s">
        <v>533</v>
      </c>
      <c r="L21" s="56" t="s">
        <v>377</v>
      </c>
      <c r="M21" s="53" t="s">
        <v>534</v>
      </c>
      <c r="O21" s="53" t="s">
        <v>535</v>
      </c>
      <c r="P21" s="28"/>
      <c r="Q21" s="28"/>
      <c r="R21" s="28"/>
      <c r="S21" s="28"/>
      <c r="T21" s="28"/>
      <c r="U21" s="1" t="s">
        <v>536</v>
      </c>
      <c r="V21" s="60" t="s">
        <v>537</v>
      </c>
      <c r="W21" s="1" t="s">
        <v>538</v>
      </c>
      <c r="X21" s="60" t="s">
        <v>539</v>
      </c>
      <c r="Y21" s="1" t="s">
        <v>540</v>
      </c>
      <c r="Z21" s="60" t="s">
        <v>541</v>
      </c>
      <c r="AA21" s="1" t="s">
        <v>542</v>
      </c>
      <c r="AB21" s="60" t="s">
        <v>543</v>
      </c>
    </row>
    <row r="22" spans="1:33" ht="15" customHeight="1">
      <c r="A22" s="49">
        <v>1</v>
      </c>
      <c r="B22" s="49" t="s">
        <v>11</v>
      </c>
      <c r="C22" s="68" t="s">
        <v>12</v>
      </c>
      <c r="D22" s="51" t="s">
        <v>530</v>
      </c>
      <c r="E22" s="51" t="s">
        <v>544</v>
      </c>
      <c r="F22" s="42" t="s">
        <v>405</v>
      </c>
      <c r="G22" s="53" t="s">
        <v>545</v>
      </c>
      <c r="H22" s="54"/>
      <c r="I22" s="42" t="s">
        <v>379</v>
      </c>
      <c r="J22" s="53" t="s">
        <v>546</v>
      </c>
      <c r="L22" s="56" t="s">
        <v>377</v>
      </c>
      <c r="M22" s="53" t="s">
        <v>534</v>
      </c>
      <c r="N22" s="58"/>
      <c r="O22" s="53" t="s">
        <v>535</v>
      </c>
      <c r="P22" s="28"/>
      <c r="Q22" s="28"/>
      <c r="R22" s="28"/>
      <c r="S22" s="28"/>
      <c r="T22" s="28"/>
      <c r="U22" s="1" t="s">
        <v>536</v>
      </c>
      <c r="V22" s="60" t="s">
        <v>537</v>
      </c>
      <c r="W22" s="1" t="s">
        <v>538</v>
      </c>
      <c r="X22" s="60" t="s">
        <v>539</v>
      </c>
      <c r="Y22" s="1" t="s">
        <v>540</v>
      </c>
      <c r="Z22" s="60" t="s">
        <v>541</v>
      </c>
      <c r="AA22" s="1" t="s">
        <v>542</v>
      </c>
      <c r="AB22" s="60" t="s">
        <v>543</v>
      </c>
    </row>
    <row r="23" spans="1:33" ht="15" customHeight="1">
      <c r="A23" s="49">
        <v>1</v>
      </c>
      <c r="B23" s="49" t="s">
        <v>11</v>
      </c>
      <c r="C23" s="68" t="s">
        <v>12</v>
      </c>
      <c r="D23" s="63" t="s">
        <v>547</v>
      </c>
      <c r="E23" s="57" t="s">
        <v>378</v>
      </c>
      <c r="F23" s="52" t="s">
        <v>379</v>
      </c>
      <c r="G23" s="57" t="s">
        <v>548</v>
      </c>
      <c r="H23" s="57"/>
      <c r="I23" s="43" t="s">
        <v>377</v>
      </c>
      <c r="J23" s="57" t="s">
        <v>549</v>
      </c>
      <c r="K23" s="69"/>
      <c r="L23" s="70" t="s">
        <v>416</v>
      </c>
      <c r="M23" s="57" t="s">
        <v>550</v>
      </c>
      <c r="N23" s="71"/>
      <c r="O23" s="71"/>
      <c r="P23" s="72"/>
      <c r="Q23" s="72"/>
      <c r="R23" s="72"/>
      <c r="S23" s="72"/>
      <c r="T23" s="72"/>
      <c r="U23" s="1" t="s">
        <v>551</v>
      </c>
      <c r="V23" s="60" t="s">
        <v>552</v>
      </c>
      <c r="W23" s="1" t="s">
        <v>553</v>
      </c>
      <c r="X23" s="73" t="s">
        <v>554</v>
      </c>
      <c r="Y23" s="1" t="s">
        <v>555</v>
      </c>
      <c r="Z23" s="60" t="s">
        <v>556</v>
      </c>
      <c r="AB23" s="74"/>
      <c r="AC23" s="74"/>
      <c r="AD23" s="74"/>
      <c r="AE23" s="74"/>
      <c r="AF23" s="74"/>
      <c r="AG23" s="75"/>
    </row>
    <row r="24" spans="1:33" ht="15" customHeight="1">
      <c r="A24" s="49">
        <v>2</v>
      </c>
      <c r="B24" s="49" t="s">
        <v>17</v>
      </c>
      <c r="C24" s="50" t="s">
        <v>12</v>
      </c>
      <c r="D24" s="51" t="s">
        <v>375</v>
      </c>
      <c r="E24" s="51" t="s">
        <v>376</v>
      </c>
      <c r="F24" s="52" t="s">
        <v>377</v>
      </c>
      <c r="G24" s="53" t="s">
        <v>378</v>
      </c>
      <c r="H24" s="54"/>
      <c r="I24" s="42" t="s">
        <v>379</v>
      </c>
      <c r="J24" s="55" t="s">
        <v>380</v>
      </c>
      <c r="K24" s="54"/>
      <c r="L24" s="56" t="s">
        <v>377</v>
      </c>
      <c r="M24" s="57" t="s">
        <v>381</v>
      </c>
      <c r="N24" s="58"/>
      <c r="O24" s="59"/>
      <c r="P24" s="28" t="s">
        <v>13</v>
      </c>
      <c r="Q24" s="28" t="s">
        <v>14</v>
      </c>
      <c r="R24" s="28" t="s">
        <v>13</v>
      </c>
      <c r="S24" s="28"/>
      <c r="T24" s="28"/>
    </row>
    <row r="25" spans="1:33" ht="15" customHeight="1">
      <c r="A25" s="49">
        <v>2</v>
      </c>
      <c r="B25" s="49" t="s">
        <v>17</v>
      </c>
      <c r="C25" s="50" t="s">
        <v>12</v>
      </c>
      <c r="D25" s="51" t="s">
        <v>375</v>
      </c>
      <c r="E25" s="51" t="s">
        <v>382</v>
      </c>
      <c r="F25" s="42" t="s">
        <v>379</v>
      </c>
      <c r="G25" s="53" t="s">
        <v>383</v>
      </c>
      <c r="H25" s="54"/>
      <c r="I25" s="42" t="s">
        <v>379</v>
      </c>
      <c r="J25" s="55" t="s">
        <v>380</v>
      </c>
      <c r="K25" s="54"/>
      <c r="L25" s="56" t="s">
        <v>377</v>
      </c>
      <c r="M25" s="57" t="s">
        <v>384</v>
      </c>
      <c r="N25" s="58"/>
      <c r="O25" s="59"/>
      <c r="P25" s="28"/>
      <c r="Q25" s="28"/>
      <c r="R25" s="28"/>
      <c r="S25" s="28"/>
      <c r="T25" s="28"/>
    </row>
    <row r="26" spans="1:33" ht="15" customHeight="1">
      <c r="A26" s="49">
        <v>2</v>
      </c>
      <c r="B26" s="49" t="s">
        <v>17</v>
      </c>
      <c r="C26" s="50" t="s">
        <v>12</v>
      </c>
      <c r="D26" s="51" t="s">
        <v>375</v>
      </c>
      <c r="E26" s="51" t="s">
        <v>385</v>
      </c>
      <c r="F26" s="42" t="s">
        <v>379</v>
      </c>
      <c r="G26" s="57" t="s">
        <v>386</v>
      </c>
      <c r="H26" s="54"/>
      <c r="I26" s="42" t="s">
        <v>379</v>
      </c>
      <c r="J26" s="55" t="s">
        <v>387</v>
      </c>
      <c r="K26" s="54"/>
      <c r="L26" s="56" t="s">
        <v>377</v>
      </c>
      <c r="M26" s="57" t="s">
        <v>388</v>
      </c>
      <c r="N26" s="58"/>
      <c r="O26" s="61"/>
      <c r="P26" s="28"/>
      <c r="Q26" s="28"/>
      <c r="R26" s="28"/>
      <c r="S26" s="28"/>
      <c r="T26" s="28"/>
      <c r="U26" s="62" t="s">
        <v>389</v>
      </c>
      <c r="V26" s="60" t="s">
        <v>390</v>
      </c>
      <c r="W26" s="60" t="s">
        <v>391</v>
      </c>
      <c r="X26" s="60" t="s">
        <v>392</v>
      </c>
      <c r="Y26" s="1" t="s">
        <v>393</v>
      </c>
      <c r="Z26" s="60" t="s">
        <v>394</v>
      </c>
      <c r="AA26" s="1" t="s">
        <v>395</v>
      </c>
      <c r="AB26" s="60" t="s">
        <v>396</v>
      </c>
      <c r="AE26" s="40" t="s">
        <v>397</v>
      </c>
      <c r="AF26" s="27" t="s">
        <v>398</v>
      </c>
      <c r="AG26" s="40" t="s">
        <v>399</v>
      </c>
    </row>
    <row r="27" spans="1:33" ht="15" customHeight="1">
      <c r="A27" s="49">
        <v>2</v>
      </c>
      <c r="B27" s="49" t="s">
        <v>17</v>
      </c>
      <c r="C27" s="50" t="s">
        <v>12</v>
      </c>
      <c r="D27" s="51" t="s">
        <v>401</v>
      </c>
      <c r="E27" s="51" t="s">
        <v>402</v>
      </c>
      <c r="F27" s="56" t="s">
        <v>403</v>
      </c>
      <c r="G27" s="53" t="s">
        <v>404</v>
      </c>
      <c r="H27" s="54"/>
      <c r="I27" s="42" t="s">
        <v>405</v>
      </c>
      <c r="J27" s="53" t="s">
        <v>406</v>
      </c>
      <c r="K27" s="54"/>
      <c r="L27" s="56" t="s">
        <v>405</v>
      </c>
      <c r="M27" s="57" t="s">
        <v>407</v>
      </c>
      <c r="N27" s="58"/>
      <c r="O27" s="59"/>
      <c r="P27" s="28"/>
      <c r="Q27" s="28"/>
      <c r="R27" s="28"/>
      <c r="S27" s="28"/>
      <c r="T27" s="28"/>
      <c r="U27" s="1" t="s">
        <v>408</v>
      </c>
      <c r="V27" s="60" t="s">
        <v>409</v>
      </c>
      <c r="W27" s="1" t="s">
        <v>410</v>
      </c>
      <c r="X27" s="60" t="s">
        <v>411</v>
      </c>
      <c r="Z27" s="60" t="s">
        <v>412</v>
      </c>
      <c r="AA27" s="60" t="s">
        <v>413</v>
      </c>
    </row>
    <row r="28" spans="1:33" ht="15" customHeight="1">
      <c r="A28" s="49">
        <v>2</v>
      </c>
      <c r="B28" s="49" t="s">
        <v>17</v>
      </c>
      <c r="C28" s="50" t="s">
        <v>12</v>
      </c>
      <c r="D28" s="51" t="s">
        <v>401</v>
      </c>
      <c r="E28" s="51" t="s">
        <v>414</v>
      </c>
      <c r="F28" s="52" t="s">
        <v>379</v>
      </c>
      <c r="G28" s="53" t="s">
        <v>415</v>
      </c>
      <c r="H28" s="54"/>
      <c r="I28" s="42" t="s">
        <v>416</v>
      </c>
      <c r="J28" s="53" t="s">
        <v>417</v>
      </c>
      <c r="K28" s="54"/>
      <c r="L28" s="56" t="s">
        <v>405</v>
      </c>
      <c r="M28" s="53" t="s">
        <v>418</v>
      </c>
      <c r="N28" s="58"/>
      <c r="O28" s="59"/>
      <c r="P28" s="28"/>
      <c r="Q28" s="28"/>
      <c r="R28" s="28"/>
      <c r="S28" s="28"/>
      <c r="T28" s="28"/>
      <c r="U28" s="1" t="s">
        <v>419</v>
      </c>
      <c r="V28" s="60" t="s">
        <v>420</v>
      </c>
      <c r="W28" s="1" t="s">
        <v>408</v>
      </c>
      <c r="X28" s="60" t="s">
        <v>409</v>
      </c>
      <c r="Z28" s="60" t="s">
        <v>412</v>
      </c>
      <c r="AA28" s="60" t="s">
        <v>413</v>
      </c>
    </row>
    <row r="29" spans="1:33" ht="15" customHeight="1">
      <c r="A29" s="49">
        <v>2</v>
      </c>
      <c r="B29" s="49" t="s">
        <v>17</v>
      </c>
      <c r="C29" s="50" t="s">
        <v>12</v>
      </c>
      <c r="D29" s="51" t="s">
        <v>401</v>
      </c>
      <c r="E29" s="63" t="s">
        <v>557</v>
      </c>
      <c r="F29" s="52" t="s">
        <v>416</v>
      </c>
      <c r="G29" s="53" t="s">
        <v>422</v>
      </c>
      <c r="H29" s="54"/>
      <c r="I29" s="42" t="s">
        <v>416</v>
      </c>
      <c r="J29" s="53" t="s">
        <v>423</v>
      </c>
      <c r="K29" s="54"/>
      <c r="L29" s="56" t="s">
        <v>405</v>
      </c>
      <c r="M29" s="53" t="s">
        <v>558</v>
      </c>
      <c r="N29" s="58"/>
      <c r="O29" s="64"/>
      <c r="P29" s="28"/>
      <c r="Q29" s="28"/>
      <c r="R29" s="28"/>
      <c r="S29" s="28"/>
      <c r="T29" s="28"/>
      <c r="U29" s="1" t="s">
        <v>425</v>
      </c>
      <c r="V29" s="60" t="s">
        <v>426</v>
      </c>
      <c r="W29" s="1" t="s">
        <v>427</v>
      </c>
      <c r="X29" s="60" t="s">
        <v>428</v>
      </c>
      <c r="Z29" s="60" t="s">
        <v>412</v>
      </c>
      <c r="AA29" s="60" t="s">
        <v>413</v>
      </c>
    </row>
    <row r="30" spans="1:33" ht="15" customHeight="1">
      <c r="A30" s="49">
        <v>2</v>
      </c>
      <c r="B30" s="49" t="s">
        <v>17</v>
      </c>
      <c r="C30" s="50" t="s">
        <v>12</v>
      </c>
      <c r="D30" s="51" t="s">
        <v>429</v>
      </c>
      <c r="E30" s="51" t="s">
        <v>430</v>
      </c>
      <c r="F30" s="52" t="s">
        <v>379</v>
      </c>
      <c r="G30" s="53" t="s">
        <v>431</v>
      </c>
      <c r="H30" s="54"/>
      <c r="I30" s="42" t="s">
        <v>379</v>
      </c>
      <c r="J30" s="53" t="s">
        <v>432</v>
      </c>
      <c r="K30" s="54"/>
      <c r="L30" s="56" t="s">
        <v>405</v>
      </c>
      <c r="M30" s="53" t="s">
        <v>433</v>
      </c>
      <c r="N30" s="58"/>
      <c r="O30" s="59"/>
      <c r="P30" s="28"/>
      <c r="Q30" s="28"/>
      <c r="R30" s="28"/>
      <c r="S30" s="28"/>
      <c r="T30" s="28"/>
      <c r="U30" s="60" t="s">
        <v>434</v>
      </c>
      <c r="V30" s="60" t="s">
        <v>435</v>
      </c>
      <c r="W30" s="1" t="s">
        <v>436</v>
      </c>
      <c r="X30" s="60" t="s">
        <v>437</v>
      </c>
      <c r="Y30" s="1" t="s">
        <v>438</v>
      </c>
      <c r="Z30" s="60" t="s">
        <v>439</v>
      </c>
      <c r="AA30" s="1" t="s">
        <v>440</v>
      </c>
      <c r="AB30" s="60" t="s">
        <v>441</v>
      </c>
      <c r="AC30" s="1" t="s">
        <v>442</v>
      </c>
      <c r="AD30" s="60" t="s">
        <v>437</v>
      </c>
    </row>
    <row r="31" spans="1:33" ht="15" customHeight="1">
      <c r="A31" s="49">
        <v>2</v>
      </c>
      <c r="B31" s="49" t="s">
        <v>17</v>
      </c>
      <c r="C31" s="50" t="s">
        <v>12</v>
      </c>
      <c r="D31" s="51" t="s">
        <v>429</v>
      </c>
      <c r="E31" s="51" t="s">
        <v>443</v>
      </c>
      <c r="F31" s="52" t="s">
        <v>416</v>
      </c>
      <c r="G31" s="53" t="s">
        <v>444</v>
      </c>
      <c r="H31" s="54"/>
      <c r="I31" s="42" t="s">
        <v>416</v>
      </c>
      <c r="J31" s="53" t="s">
        <v>559</v>
      </c>
      <c r="L31" s="56" t="s">
        <v>405</v>
      </c>
      <c r="M31" s="53" t="s">
        <v>560</v>
      </c>
      <c r="N31" s="58"/>
      <c r="O31" s="59"/>
      <c r="P31" s="28"/>
      <c r="Q31" s="28"/>
      <c r="R31" s="28"/>
      <c r="S31" s="28"/>
      <c r="T31" s="28"/>
      <c r="U31" s="1" t="s">
        <v>447</v>
      </c>
      <c r="V31" s="60" t="s">
        <v>448</v>
      </c>
      <c r="W31" s="1" t="s">
        <v>449</v>
      </c>
      <c r="X31" s="60" t="s">
        <v>450</v>
      </c>
      <c r="Y31" s="1" t="s">
        <v>451</v>
      </c>
      <c r="Z31" s="60" t="s">
        <v>452</v>
      </c>
    </row>
    <row r="32" spans="1:33" ht="15" customHeight="1">
      <c r="A32" s="49">
        <v>2</v>
      </c>
      <c r="B32" s="49" t="s">
        <v>17</v>
      </c>
      <c r="C32" s="50" t="s">
        <v>12</v>
      </c>
      <c r="D32" s="51" t="s">
        <v>429</v>
      </c>
      <c r="E32" s="51" t="s">
        <v>453</v>
      </c>
      <c r="F32" s="42" t="s">
        <v>405</v>
      </c>
      <c r="G32" s="53" t="s">
        <v>454</v>
      </c>
      <c r="H32" s="54"/>
      <c r="I32" s="42" t="s">
        <v>416</v>
      </c>
      <c r="J32" s="53" t="s">
        <v>561</v>
      </c>
      <c r="K32" s="54"/>
      <c r="L32" s="56" t="s">
        <v>416</v>
      </c>
      <c r="M32" s="53" t="s">
        <v>456</v>
      </c>
      <c r="N32" s="58"/>
      <c r="O32" s="59"/>
      <c r="P32" s="28"/>
      <c r="Q32" s="28"/>
      <c r="R32" s="28"/>
      <c r="S32" s="28"/>
      <c r="T32" s="28"/>
      <c r="U32" s="1" t="s">
        <v>457</v>
      </c>
      <c r="V32" s="60" t="s">
        <v>458</v>
      </c>
      <c r="W32" s="1" t="s">
        <v>459</v>
      </c>
      <c r="X32" s="60" t="s">
        <v>460</v>
      </c>
      <c r="Y32" s="1" t="s">
        <v>447</v>
      </c>
      <c r="Z32" s="60" t="s">
        <v>448</v>
      </c>
    </row>
    <row r="33" spans="1:33" ht="15" customHeight="1">
      <c r="A33" s="49">
        <v>2</v>
      </c>
      <c r="B33" s="49" t="s">
        <v>17</v>
      </c>
      <c r="C33" s="50" t="s">
        <v>12</v>
      </c>
      <c r="D33" s="51" t="s">
        <v>429</v>
      </c>
      <c r="E33" s="51" t="s">
        <v>461</v>
      </c>
      <c r="F33" s="42" t="s">
        <v>377</v>
      </c>
      <c r="G33" s="53" t="s">
        <v>462</v>
      </c>
      <c r="H33" s="66"/>
      <c r="I33" s="42" t="s">
        <v>416</v>
      </c>
      <c r="J33" s="53" t="s">
        <v>463</v>
      </c>
      <c r="K33" s="54"/>
      <c r="L33" s="56" t="s">
        <v>377</v>
      </c>
      <c r="M33" s="53" t="s">
        <v>464</v>
      </c>
      <c r="N33" s="58"/>
      <c r="O33" s="59"/>
      <c r="P33" s="28"/>
      <c r="Q33" s="28"/>
      <c r="R33" s="28"/>
      <c r="S33" s="28"/>
      <c r="T33" s="28"/>
      <c r="U33" s="1" t="s">
        <v>465</v>
      </c>
      <c r="V33" s="60" t="s">
        <v>466</v>
      </c>
      <c r="W33" s="1" t="s">
        <v>467</v>
      </c>
      <c r="X33" s="60" t="s">
        <v>468</v>
      </c>
      <c r="Y33" s="1" t="s">
        <v>469</v>
      </c>
    </row>
    <row r="34" spans="1:33" ht="15" customHeight="1">
      <c r="A34" s="49">
        <v>2</v>
      </c>
      <c r="B34" s="49" t="s">
        <v>17</v>
      </c>
      <c r="C34" s="50" t="s">
        <v>12</v>
      </c>
      <c r="D34" s="51" t="s">
        <v>470</v>
      </c>
      <c r="E34" s="51" t="s">
        <v>471</v>
      </c>
      <c r="F34" s="42" t="s">
        <v>405</v>
      </c>
      <c r="G34" s="53" t="s">
        <v>472</v>
      </c>
      <c r="H34" s="54"/>
      <c r="I34" s="42" t="s">
        <v>416</v>
      </c>
      <c r="J34" s="53" t="s">
        <v>473</v>
      </c>
      <c r="K34" s="54"/>
      <c r="L34" s="56" t="s">
        <v>379</v>
      </c>
      <c r="M34" s="53" t="s">
        <v>474</v>
      </c>
      <c r="N34" s="58"/>
      <c r="O34" s="59"/>
      <c r="P34" s="28"/>
      <c r="Q34" s="28"/>
      <c r="R34" s="28"/>
      <c r="S34" s="28"/>
      <c r="T34" s="28"/>
      <c r="U34" s="1" t="s">
        <v>475</v>
      </c>
      <c r="V34" s="60" t="s">
        <v>476</v>
      </c>
    </row>
    <row r="35" spans="1:33" ht="15" customHeight="1">
      <c r="A35" s="49">
        <v>2</v>
      </c>
      <c r="B35" s="49" t="s">
        <v>17</v>
      </c>
      <c r="C35" s="50" t="s">
        <v>12</v>
      </c>
      <c r="D35" s="51" t="s">
        <v>470</v>
      </c>
      <c r="E35" s="51" t="s">
        <v>477</v>
      </c>
      <c r="F35" s="52" t="s">
        <v>379</v>
      </c>
      <c r="G35" s="53" t="s">
        <v>562</v>
      </c>
      <c r="H35" s="54"/>
      <c r="I35" s="42" t="s">
        <v>377</v>
      </c>
      <c r="J35" s="53" t="s">
        <v>563</v>
      </c>
      <c r="K35" s="54"/>
      <c r="L35" s="56" t="s">
        <v>379</v>
      </c>
      <c r="M35" s="53" t="s">
        <v>480</v>
      </c>
      <c r="N35" s="58"/>
      <c r="O35" s="59"/>
      <c r="P35" s="28"/>
      <c r="Q35" s="28"/>
      <c r="R35" s="28"/>
      <c r="S35" s="28"/>
      <c r="T35" s="28"/>
      <c r="U35" s="1" t="s">
        <v>481</v>
      </c>
      <c r="V35" s="60" t="s">
        <v>482</v>
      </c>
    </row>
    <row r="36" spans="1:33" ht="15" customHeight="1">
      <c r="A36" s="49">
        <v>2</v>
      </c>
      <c r="B36" s="49" t="s">
        <v>17</v>
      </c>
      <c r="C36" s="50" t="s">
        <v>12</v>
      </c>
      <c r="D36" s="51" t="s">
        <v>483</v>
      </c>
      <c r="E36" s="51" t="s">
        <v>484</v>
      </c>
      <c r="F36" s="42" t="s">
        <v>405</v>
      </c>
      <c r="G36" s="53" t="s">
        <v>485</v>
      </c>
      <c r="H36" s="54"/>
      <c r="I36" s="42" t="s">
        <v>416</v>
      </c>
      <c r="J36" s="53" t="s">
        <v>486</v>
      </c>
      <c r="K36" s="54"/>
      <c r="L36" s="56" t="s">
        <v>487</v>
      </c>
      <c r="M36" s="53" t="s">
        <v>488</v>
      </c>
      <c r="N36" s="58"/>
      <c r="O36" s="59"/>
      <c r="P36" s="28"/>
      <c r="Q36" s="28"/>
      <c r="R36" s="28"/>
      <c r="S36" s="28"/>
      <c r="T36" s="28"/>
      <c r="U36" s="1" t="s">
        <v>489</v>
      </c>
      <c r="V36" s="60" t="s">
        <v>490</v>
      </c>
      <c r="W36" s="1" t="s">
        <v>491</v>
      </c>
      <c r="X36" s="60" t="s">
        <v>492</v>
      </c>
      <c r="Y36" s="1" t="s">
        <v>493</v>
      </c>
      <c r="Z36" s="60" t="s">
        <v>494</v>
      </c>
    </row>
    <row r="37" spans="1:33" ht="15" customHeight="1">
      <c r="A37" s="49">
        <v>2</v>
      </c>
      <c r="B37" s="49" t="s">
        <v>17</v>
      </c>
      <c r="C37" s="50" t="s">
        <v>12</v>
      </c>
      <c r="D37" s="51" t="s">
        <v>483</v>
      </c>
      <c r="E37" s="51" t="s">
        <v>495</v>
      </c>
      <c r="F37" s="52" t="s">
        <v>379</v>
      </c>
      <c r="G37" s="53" t="s">
        <v>378</v>
      </c>
      <c r="H37" s="54"/>
      <c r="I37" s="42" t="s">
        <v>416</v>
      </c>
      <c r="J37" s="53" t="s">
        <v>496</v>
      </c>
      <c r="K37" s="54"/>
      <c r="L37" s="56" t="s">
        <v>416</v>
      </c>
      <c r="M37" s="53" t="s">
        <v>497</v>
      </c>
      <c r="N37" s="58"/>
      <c r="O37" s="59"/>
      <c r="P37" s="28"/>
      <c r="Q37" s="28"/>
      <c r="R37" s="28"/>
      <c r="S37" s="28"/>
      <c r="T37" s="28"/>
    </row>
    <row r="38" spans="1:33" ht="15" customHeight="1">
      <c r="A38" s="49">
        <v>2</v>
      </c>
      <c r="B38" s="49" t="s">
        <v>17</v>
      </c>
      <c r="C38" s="50" t="s">
        <v>12</v>
      </c>
      <c r="D38" s="51" t="s">
        <v>483</v>
      </c>
      <c r="E38" s="51" t="s">
        <v>498</v>
      </c>
      <c r="F38" s="52" t="s">
        <v>379</v>
      </c>
      <c r="G38" s="53" t="s">
        <v>499</v>
      </c>
      <c r="H38" s="54"/>
      <c r="I38" s="42" t="s">
        <v>379</v>
      </c>
      <c r="J38" s="53" t="s">
        <v>500</v>
      </c>
      <c r="K38" s="54"/>
      <c r="L38" s="56" t="s">
        <v>377</v>
      </c>
      <c r="M38" s="53" t="s">
        <v>501</v>
      </c>
      <c r="N38" s="58"/>
      <c r="O38" s="59"/>
      <c r="P38" s="28"/>
      <c r="Q38" s="28"/>
      <c r="R38" s="28"/>
      <c r="S38" s="28"/>
      <c r="T38" s="28"/>
      <c r="U38" s="60" t="s">
        <v>502</v>
      </c>
      <c r="V38" s="60" t="s">
        <v>503</v>
      </c>
      <c r="W38" s="1" t="s">
        <v>504</v>
      </c>
      <c r="X38" s="60" t="s">
        <v>505</v>
      </c>
    </row>
    <row r="39" spans="1:33" ht="15" customHeight="1">
      <c r="A39" s="49">
        <v>2</v>
      </c>
      <c r="B39" s="49" t="s">
        <v>17</v>
      </c>
      <c r="C39" s="50" t="s">
        <v>12</v>
      </c>
      <c r="D39" s="51" t="s">
        <v>483</v>
      </c>
      <c r="E39" s="51" t="s">
        <v>506</v>
      </c>
      <c r="F39" s="42" t="s">
        <v>405</v>
      </c>
      <c r="G39" s="53" t="s">
        <v>507</v>
      </c>
      <c r="H39" s="54"/>
      <c r="I39" s="42" t="s">
        <v>379</v>
      </c>
      <c r="J39" s="53" t="s">
        <v>564</v>
      </c>
      <c r="K39" s="54"/>
      <c r="L39" s="56" t="s">
        <v>377</v>
      </c>
      <c r="M39" s="53" t="s">
        <v>509</v>
      </c>
      <c r="N39" s="58"/>
      <c r="O39" s="59"/>
      <c r="P39" s="28"/>
      <c r="Q39" s="28"/>
      <c r="R39" s="28"/>
      <c r="S39" s="28"/>
      <c r="T39" s="28"/>
      <c r="U39" s="60" t="s">
        <v>510</v>
      </c>
      <c r="V39" s="60" t="s">
        <v>511</v>
      </c>
      <c r="W39" s="1" t="s">
        <v>512</v>
      </c>
      <c r="X39" s="60" t="s">
        <v>513</v>
      </c>
    </row>
    <row r="40" spans="1:33" ht="15" customHeight="1">
      <c r="A40" s="49">
        <v>2</v>
      </c>
      <c r="B40" s="49" t="s">
        <v>17</v>
      </c>
      <c r="C40" s="50" t="s">
        <v>12</v>
      </c>
      <c r="D40" s="51" t="s">
        <v>514</v>
      </c>
      <c r="E40" s="51" t="s">
        <v>515</v>
      </c>
      <c r="F40" s="52" t="s">
        <v>379</v>
      </c>
      <c r="G40" s="53" t="s">
        <v>516</v>
      </c>
      <c r="H40" s="54"/>
      <c r="I40" s="42" t="s">
        <v>416</v>
      </c>
      <c r="J40" s="53" t="s">
        <v>517</v>
      </c>
      <c r="K40" s="54"/>
      <c r="L40" s="56" t="s">
        <v>377</v>
      </c>
      <c r="M40" s="53" t="s">
        <v>518</v>
      </c>
      <c r="N40" s="58"/>
      <c r="O40" s="59"/>
      <c r="P40" s="28"/>
      <c r="Q40" s="28"/>
      <c r="R40" s="28"/>
      <c r="S40" s="28"/>
      <c r="T40" s="28"/>
      <c r="U40" s="1" t="s">
        <v>519</v>
      </c>
      <c r="V40" s="60" t="s">
        <v>520</v>
      </c>
      <c r="W40" s="1" t="s">
        <v>521</v>
      </c>
      <c r="X40" s="60" t="s">
        <v>522</v>
      </c>
    </row>
    <row r="41" spans="1:33" ht="15" customHeight="1">
      <c r="A41" s="49">
        <v>2</v>
      </c>
      <c r="B41" s="49" t="s">
        <v>17</v>
      </c>
      <c r="C41" s="50" t="s">
        <v>12</v>
      </c>
      <c r="D41" s="51" t="s">
        <v>514</v>
      </c>
      <c r="E41" s="51" t="s">
        <v>523</v>
      </c>
      <c r="F41" s="42" t="s">
        <v>379</v>
      </c>
      <c r="G41" s="53" t="s">
        <v>524</v>
      </c>
      <c r="H41" s="54"/>
      <c r="I41" s="42" t="s">
        <v>416</v>
      </c>
      <c r="J41" s="53" t="s">
        <v>525</v>
      </c>
      <c r="K41" s="54"/>
      <c r="L41" s="56" t="s">
        <v>405</v>
      </c>
      <c r="M41" s="53" t="s">
        <v>526</v>
      </c>
      <c r="N41" s="58"/>
      <c r="O41" s="59"/>
      <c r="P41" s="28"/>
      <c r="Q41" s="28"/>
      <c r="R41" s="28"/>
      <c r="S41" s="28"/>
      <c r="T41" s="28"/>
      <c r="U41" s="1" t="s">
        <v>519</v>
      </c>
      <c r="V41" s="60" t="s">
        <v>520</v>
      </c>
      <c r="W41" s="1" t="s">
        <v>521</v>
      </c>
      <c r="X41" s="60" t="s">
        <v>522</v>
      </c>
    </row>
    <row r="42" spans="1:33" ht="15" customHeight="1">
      <c r="A42" s="49">
        <v>2</v>
      </c>
      <c r="B42" s="49" t="s">
        <v>17</v>
      </c>
      <c r="C42" s="50" t="s">
        <v>12</v>
      </c>
      <c r="D42" s="51" t="s">
        <v>514</v>
      </c>
      <c r="E42" s="51" t="s">
        <v>527</v>
      </c>
      <c r="F42" s="42" t="s">
        <v>379</v>
      </c>
      <c r="G42" s="53" t="s">
        <v>378</v>
      </c>
      <c r="H42" s="54"/>
      <c r="I42" s="42" t="s">
        <v>377</v>
      </c>
      <c r="J42" s="53" t="s">
        <v>528</v>
      </c>
      <c r="K42" s="54"/>
      <c r="L42" s="56" t="s">
        <v>379</v>
      </c>
      <c r="M42" s="53" t="s">
        <v>529</v>
      </c>
      <c r="N42" s="58"/>
      <c r="O42" s="59"/>
      <c r="P42" s="28"/>
      <c r="Q42" s="28"/>
      <c r="R42" s="28"/>
      <c r="S42" s="28"/>
      <c r="T42" s="28"/>
      <c r="U42" s="1" t="s">
        <v>521</v>
      </c>
      <c r="V42" s="60" t="s">
        <v>522</v>
      </c>
    </row>
    <row r="43" spans="1:33" ht="15" customHeight="1">
      <c r="A43" s="49">
        <v>2</v>
      </c>
      <c r="B43" s="49" t="s">
        <v>17</v>
      </c>
      <c r="C43" s="50" t="s">
        <v>12</v>
      </c>
      <c r="D43" s="51" t="s">
        <v>530</v>
      </c>
      <c r="E43" s="51" t="s">
        <v>531</v>
      </c>
      <c r="F43" s="42" t="s">
        <v>405</v>
      </c>
      <c r="G43" s="53" t="s">
        <v>532</v>
      </c>
      <c r="H43" s="54"/>
      <c r="I43" s="42" t="s">
        <v>379</v>
      </c>
      <c r="J43" s="53" t="s">
        <v>533</v>
      </c>
      <c r="L43" s="56" t="s">
        <v>377</v>
      </c>
      <c r="M43" s="53" t="s">
        <v>534</v>
      </c>
      <c r="O43" s="53" t="s">
        <v>535</v>
      </c>
      <c r="P43" s="28"/>
      <c r="Q43" s="28"/>
      <c r="R43" s="28"/>
      <c r="S43" s="28"/>
      <c r="T43" s="28"/>
      <c r="U43" s="1" t="s">
        <v>536</v>
      </c>
      <c r="V43" s="60" t="s">
        <v>537</v>
      </c>
      <c r="W43" s="1" t="s">
        <v>538</v>
      </c>
      <c r="X43" s="60" t="s">
        <v>539</v>
      </c>
      <c r="Y43" s="1" t="s">
        <v>540</v>
      </c>
      <c r="Z43" s="60" t="s">
        <v>541</v>
      </c>
      <c r="AA43" s="1" t="s">
        <v>542</v>
      </c>
      <c r="AB43" s="60" t="s">
        <v>543</v>
      </c>
    </row>
    <row r="44" spans="1:33" ht="15" customHeight="1">
      <c r="A44" s="49">
        <v>2</v>
      </c>
      <c r="B44" s="49" t="s">
        <v>17</v>
      </c>
      <c r="C44" s="50" t="s">
        <v>12</v>
      </c>
      <c r="D44" s="51" t="s">
        <v>530</v>
      </c>
      <c r="E44" s="51" t="s">
        <v>544</v>
      </c>
      <c r="F44" s="42" t="s">
        <v>405</v>
      </c>
      <c r="G44" s="53" t="s">
        <v>545</v>
      </c>
      <c r="H44" s="54"/>
      <c r="I44" s="42" t="s">
        <v>379</v>
      </c>
      <c r="J44" s="53" t="s">
        <v>546</v>
      </c>
      <c r="L44" s="56" t="s">
        <v>377</v>
      </c>
      <c r="M44" s="53" t="s">
        <v>534</v>
      </c>
      <c r="N44" s="58"/>
      <c r="O44" s="53" t="s">
        <v>535</v>
      </c>
      <c r="P44" s="28"/>
      <c r="Q44" s="28"/>
      <c r="R44" s="28"/>
      <c r="S44" s="28"/>
      <c r="T44" s="28"/>
      <c r="U44" s="1" t="s">
        <v>536</v>
      </c>
      <c r="V44" s="60" t="s">
        <v>537</v>
      </c>
      <c r="W44" s="1" t="s">
        <v>538</v>
      </c>
      <c r="X44" s="60" t="s">
        <v>539</v>
      </c>
      <c r="Y44" s="1" t="s">
        <v>540</v>
      </c>
      <c r="Z44" s="60" t="s">
        <v>541</v>
      </c>
      <c r="AA44" s="1" t="s">
        <v>542</v>
      </c>
      <c r="AB44" s="60" t="s">
        <v>543</v>
      </c>
    </row>
    <row r="45" spans="1:33" ht="15" customHeight="1">
      <c r="A45" s="49">
        <v>2</v>
      </c>
      <c r="B45" s="49" t="s">
        <v>17</v>
      </c>
      <c r="C45" s="50" t="s">
        <v>12</v>
      </c>
      <c r="D45" s="63" t="s">
        <v>547</v>
      </c>
      <c r="E45" s="57" t="s">
        <v>378</v>
      </c>
      <c r="F45" s="52" t="s">
        <v>379</v>
      </c>
      <c r="G45" s="57" t="s">
        <v>548</v>
      </c>
      <c r="H45" s="57"/>
      <c r="I45" s="43" t="s">
        <v>377</v>
      </c>
      <c r="J45" s="57" t="s">
        <v>549</v>
      </c>
      <c r="K45" s="69"/>
      <c r="L45" s="70" t="s">
        <v>416</v>
      </c>
      <c r="M45" s="57" t="s">
        <v>550</v>
      </c>
      <c r="N45" s="71"/>
      <c r="O45" s="71"/>
      <c r="P45" s="72"/>
      <c r="Q45" s="72"/>
      <c r="R45" s="72"/>
      <c r="S45" s="72"/>
      <c r="T45" s="72"/>
      <c r="U45" s="1" t="s">
        <v>551</v>
      </c>
      <c r="V45" s="60" t="s">
        <v>552</v>
      </c>
      <c r="W45" s="1" t="s">
        <v>553</v>
      </c>
      <c r="X45" s="73" t="s">
        <v>554</v>
      </c>
      <c r="Y45" s="1" t="s">
        <v>555</v>
      </c>
      <c r="Z45" s="60" t="s">
        <v>556</v>
      </c>
      <c r="AB45" s="74"/>
      <c r="AC45" s="74"/>
      <c r="AD45" s="74"/>
      <c r="AE45" s="74"/>
      <c r="AF45" s="74"/>
      <c r="AG45" s="75"/>
    </row>
    <row r="46" spans="1:33" ht="15" customHeight="1">
      <c r="A46" s="49">
        <v>3</v>
      </c>
      <c r="B46" s="49" t="s">
        <v>19</v>
      </c>
      <c r="C46" s="50" t="s">
        <v>12</v>
      </c>
      <c r="D46" s="51" t="s">
        <v>375</v>
      </c>
      <c r="E46" s="51" t="s">
        <v>376</v>
      </c>
      <c r="F46" s="52" t="s">
        <v>377</v>
      </c>
      <c r="G46" s="53" t="s">
        <v>378</v>
      </c>
      <c r="H46" s="54"/>
      <c r="I46" s="42" t="s">
        <v>379</v>
      </c>
      <c r="J46" s="53" t="s">
        <v>380</v>
      </c>
      <c r="K46" s="54"/>
      <c r="L46" s="56" t="s">
        <v>377</v>
      </c>
      <c r="M46" s="57" t="s">
        <v>381</v>
      </c>
      <c r="N46" s="58"/>
      <c r="O46" s="59"/>
      <c r="P46" s="28" t="s">
        <v>13</v>
      </c>
      <c r="Q46" s="28" t="s">
        <v>14</v>
      </c>
      <c r="R46" s="28" t="s">
        <v>13</v>
      </c>
      <c r="S46" s="28"/>
      <c r="T46" s="28"/>
    </row>
    <row r="47" spans="1:33" ht="15" customHeight="1">
      <c r="A47" s="49">
        <v>3</v>
      </c>
      <c r="B47" s="49" t="s">
        <v>19</v>
      </c>
      <c r="C47" s="50" t="s">
        <v>12</v>
      </c>
      <c r="D47" s="51" t="s">
        <v>375</v>
      </c>
      <c r="E47" s="51" t="s">
        <v>382</v>
      </c>
      <c r="F47" s="42" t="s">
        <v>379</v>
      </c>
      <c r="G47" s="53" t="s">
        <v>383</v>
      </c>
      <c r="H47" s="54"/>
      <c r="I47" s="42" t="s">
        <v>379</v>
      </c>
      <c r="J47" s="53" t="s">
        <v>380</v>
      </c>
      <c r="K47" s="54"/>
      <c r="L47" s="56" t="s">
        <v>377</v>
      </c>
      <c r="M47" s="57" t="s">
        <v>384</v>
      </c>
      <c r="N47" s="58"/>
      <c r="O47" s="59"/>
      <c r="P47" s="28"/>
      <c r="Q47" s="28"/>
      <c r="R47" s="28"/>
      <c r="S47" s="28"/>
      <c r="T47" s="28"/>
    </row>
    <row r="48" spans="1:33" ht="15" customHeight="1">
      <c r="A48" s="49">
        <v>3</v>
      </c>
      <c r="B48" s="49" t="s">
        <v>19</v>
      </c>
      <c r="C48" s="50" t="s">
        <v>12</v>
      </c>
      <c r="D48" s="51" t="s">
        <v>375</v>
      </c>
      <c r="E48" s="51" t="s">
        <v>385</v>
      </c>
      <c r="F48" s="42" t="s">
        <v>379</v>
      </c>
      <c r="G48" s="57" t="s">
        <v>386</v>
      </c>
      <c r="H48" s="54"/>
      <c r="I48" s="42" t="s">
        <v>379</v>
      </c>
      <c r="J48" s="53" t="s">
        <v>387</v>
      </c>
      <c r="K48" s="54"/>
      <c r="L48" s="56" t="s">
        <v>377</v>
      </c>
      <c r="M48" s="57" t="s">
        <v>388</v>
      </c>
      <c r="N48" s="58"/>
      <c r="O48" s="61"/>
      <c r="P48" s="28"/>
      <c r="Q48" s="28"/>
      <c r="R48" s="28"/>
      <c r="S48" s="28"/>
      <c r="T48" s="28"/>
      <c r="U48" s="62" t="s">
        <v>389</v>
      </c>
      <c r="V48" s="60" t="s">
        <v>390</v>
      </c>
      <c r="W48" s="60" t="s">
        <v>391</v>
      </c>
      <c r="X48" s="60" t="s">
        <v>392</v>
      </c>
      <c r="Y48" s="1" t="s">
        <v>393</v>
      </c>
      <c r="Z48" s="60" t="s">
        <v>394</v>
      </c>
      <c r="AA48" s="1" t="s">
        <v>395</v>
      </c>
      <c r="AB48" s="60" t="s">
        <v>396</v>
      </c>
      <c r="AE48" s="40" t="s">
        <v>397</v>
      </c>
      <c r="AF48" s="27" t="s">
        <v>398</v>
      </c>
      <c r="AG48" s="40" t="s">
        <v>399</v>
      </c>
    </row>
    <row r="49" spans="1:30" ht="15" customHeight="1">
      <c r="A49" s="49">
        <v>3</v>
      </c>
      <c r="B49" s="49" t="s">
        <v>19</v>
      </c>
      <c r="C49" s="50" t="s">
        <v>12</v>
      </c>
      <c r="D49" s="51" t="s">
        <v>401</v>
      </c>
      <c r="E49" s="51" t="s">
        <v>402</v>
      </c>
      <c r="F49" s="56" t="s">
        <v>403</v>
      </c>
      <c r="G49" s="53" t="s">
        <v>404</v>
      </c>
      <c r="H49" s="54"/>
      <c r="I49" s="42" t="s">
        <v>405</v>
      </c>
      <c r="J49" s="53" t="s">
        <v>406</v>
      </c>
      <c r="K49" s="54"/>
      <c r="L49" s="56" t="s">
        <v>405</v>
      </c>
      <c r="M49" s="57" t="s">
        <v>407</v>
      </c>
      <c r="N49" s="58"/>
      <c r="O49" s="59"/>
      <c r="P49" s="28"/>
      <c r="Q49" s="28"/>
      <c r="R49" s="28"/>
      <c r="S49" s="28"/>
      <c r="T49" s="28"/>
      <c r="U49" s="1" t="s">
        <v>408</v>
      </c>
      <c r="V49" s="60" t="s">
        <v>409</v>
      </c>
      <c r="W49" s="1" t="s">
        <v>410</v>
      </c>
      <c r="X49" s="60" t="s">
        <v>411</v>
      </c>
      <c r="Z49" s="60" t="s">
        <v>412</v>
      </c>
      <c r="AA49" s="60" t="s">
        <v>413</v>
      </c>
    </row>
    <row r="50" spans="1:30" ht="15" customHeight="1">
      <c r="A50" s="49">
        <v>3</v>
      </c>
      <c r="B50" s="49" t="s">
        <v>19</v>
      </c>
      <c r="C50" s="50" t="s">
        <v>12</v>
      </c>
      <c r="D50" s="51" t="s">
        <v>401</v>
      </c>
      <c r="E50" s="51" t="s">
        <v>414</v>
      </c>
      <c r="F50" s="52" t="s">
        <v>379</v>
      </c>
      <c r="G50" s="53" t="s">
        <v>415</v>
      </c>
      <c r="H50" s="54"/>
      <c r="I50" s="42" t="s">
        <v>416</v>
      </c>
      <c r="J50" s="53" t="s">
        <v>417</v>
      </c>
      <c r="K50" s="54"/>
      <c r="L50" s="56" t="s">
        <v>405</v>
      </c>
      <c r="M50" s="53" t="s">
        <v>418</v>
      </c>
      <c r="N50" s="58"/>
      <c r="O50" s="59"/>
      <c r="P50" s="28"/>
      <c r="Q50" s="28"/>
      <c r="R50" s="28"/>
      <c r="S50" s="28"/>
      <c r="T50" s="28"/>
      <c r="U50" s="1" t="s">
        <v>419</v>
      </c>
      <c r="V50" s="60" t="s">
        <v>420</v>
      </c>
      <c r="W50" s="1" t="s">
        <v>408</v>
      </c>
      <c r="X50" s="60" t="s">
        <v>409</v>
      </c>
      <c r="Z50" s="60" t="s">
        <v>412</v>
      </c>
      <c r="AA50" s="60" t="s">
        <v>413</v>
      </c>
    </row>
    <row r="51" spans="1:30" ht="15" customHeight="1">
      <c r="A51" s="49">
        <v>3</v>
      </c>
      <c r="B51" s="49" t="s">
        <v>19</v>
      </c>
      <c r="C51" s="50" t="s">
        <v>12</v>
      </c>
      <c r="D51" s="51" t="s">
        <v>401</v>
      </c>
      <c r="E51" s="63" t="s">
        <v>557</v>
      </c>
      <c r="F51" s="52" t="s">
        <v>416</v>
      </c>
      <c r="G51" s="53" t="s">
        <v>422</v>
      </c>
      <c r="H51" s="54"/>
      <c r="I51" s="42" t="s">
        <v>416</v>
      </c>
      <c r="J51" s="53" t="s">
        <v>423</v>
      </c>
      <c r="K51" s="54"/>
      <c r="L51" s="56" t="s">
        <v>405</v>
      </c>
      <c r="M51" s="53" t="s">
        <v>424</v>
      </c>
      <c r="N51" s="58"/>
      <c r="O51" s="64"/>
      <c r="P51" s="28"/>
      <c r="Q51" s="28"/>
      <c r="R51" s="28"/>
      <c r="S51" s="28"/>
      <c r="T51" s="28"/>
      <c r="U51" s="1" t="s">
        <v>425</v>
      </c>
      <c r="V51" s="60" t="s">
        <v>426</v>
      </c>
      <c r="W51" s="1" t="s">
        <v>427</v>
      </c>
      <c r="X51" s="60" t="s">
        <v>428</v>
      </c>
      <c r="Z51" s="60" t="s">
        <v>412</v>
      </c>
      <c r="AA51" s="60" t="s">
        <v>413</v>
      </c>
    </row>
    <row r="52" spans="1:30" ht="15" customHeight="1">
      <c r="A52" s="49">
        <v>3</v>
      </c>
      <c r="B52" s="49" t="s">
        <v>19</v>
      </c>
      <c r="C52" s="50" t="s">
        <v>12</v>
      </c>
      <c r="D52" s="51" t="s">
        <v>429</v>
      </c>
      <c r="E52" s="51" t="s">
        <v>430</v>
      </c>
      <c r="F52" s="52" t="s">
        <v>379</v>
      </c>
      <c r="G52" s="53" t="s">
        <v>431</v>
      </c>
      <c r="H52" s="54"/>
      <c r="I52" s="42" t="s">
        <v>379</v>
      </c>
      <c r="J52" s="53" t="s">
        <v>565</v>
      </c>
      <c r="K52" s="54"/>
      <c r="L52" s="56" t="s">
        <v>405</v>
      </c>
      <c r="M52" s="53" t="s">
        <v>433</v>
      </c>
      <c r="N52" s="58"/>
      <c r="O52" s="59"/>
      <c r="P52" s="28"/>
      <c r="Q52" s="28"/>
      <c r="R52" s="28"/>
      <c r="S52" s="28"/>
      <c r="T52" s="28"/>
      <c r="U52" s="60" t="s">
        <v>434</v>
      </c>
      <c r="V52" s="60" t="s">
        <v>435</v>
      </c>
      <c r="W52" s="1" t="s">
        <v>436</v>
      </c>
      <c r="X52" s="60" t="s">
        <v>437</v>
      </c>
      <c r="Y52" s="1" t="s">
        <v>438</v>
      </c>
      <c r="Z52" s="60" t="s">
        <v>439</v>
      </c>
      <c r="AA52" s="1" t="s">
        <v>440</v>
      </c>
      <c r="AB52" s="60" t="s">
        <v>441</v>
      </c>
      <c r="AC52" s="1" t="s">
        <v>442</v>
      </c>
      <c r="AD52" s="60" t="s">
        <v>437</v>
      </c>
    </row>
    <row r="53" spans="1:30" ht="15" customHeight="1">
      <c r="A53" s="49">
        <v>3</v>
      </c>
      <c r="B53" s="49" t="s">
        <v>19</v>
      </c>
      <c r="C53" s="50" t="s">
        <v>12</v>
      </c>
      <c r="D53" s="51" t="s">
        <v>429</v>
      </c>
      <c r="E53" s="51" t="s">
        <v>443</v>
      </c>
      <c r="F53" s="52" t="s">
        <v>416</v>
      </c>
      <c r="G53" s="53" t="s">
        <v>444</v>
      </c>
      <c r="H53" s="54"/>
      <c r="I53" s="42" t="s">
        <v>416</v>
      </c>
      <c r="J53" s="53" t="s">
        <v>559</v>
      </c>
      <c r="L53" s="56" t="s">
        <v>405</v>
      </c>
      <c r="M53" s="53" t="s">
        <v>446</v>
      </c>
      <c r="N53" s="58"/>
      <c r="O53" s="59"/>
      <c r="P53" s="28"/>
      <c r="Q53" s="28"/>
      <c r="R53" s="28"/>
      <c r="S53" s="28"/>
      <c r="T53" s="28"/>
      <c r="U53" s="1" t="s">
        <v>447</v>
      </c>
      <c r="V53" s="60" t="s">
        <v>448</v>
      </c>
      <c r="W53" s="1" t="s">
        <v>449</v>
      </c>
      <c r="X53" s="60" t="s">
        <v>450</v>
      </c>
      <c r="Y53" s="1" t="s">
        <v>451</v>
      </c>
      <c r="Z53" s="60" t="s">
        <v>452</v>
      </c>
    </row>
    <row r="54" spans="1:30" ht="15" customHeight="1">
      <c r="A54" s="49">
        <v>3</v>
      </c>
      <c r="B54" s="49" t="s">
        <v>19</v>
      </c>
      <c r="C54" s="50" t="s">
        <v>12</v>
      </c>
      <c r="D54" s="51" t="s">
        <v>429</v>
      </c>
      <c r="E54" s="51" t="s">
        <v>453</v>
      </c>
      <c r="F54" s="42" t="s">
        <v>405</v>
      </c>
      <c r="G54" s="53" t="s">
        <v>454</v>
      </c>
      <c r="H54" s="54"/>
      <c r="I54" s="42" t="s">
        <v>416</v>
      </c>
      <c r="J54" s="53" t="s">
        <v>561</v>
      </c>
      <c r="K54" s="54"/>
      <c r="L54" s="56" t="s">
        <v>416</v>
      </c>
      <c r="M54" s="53" t="s">
        <v>456</v>
      </c>
      <c r="N54" s="58"/>
      <c r="O54" s="59"/>
      <c r="P54" s="28"/>
      <c r="Q54" s="28"/>
      <c r="R54" s="28"/>
      <c r="S54" s="28"/>
      <c r="T54" s="28"/>
      <c r="U54" s="1" t="s">
        <v>457</v>
      </c>
      <c r="V54" s="60" t="s">
        <v>458</v>
      </c>
      <c r="W54" s="1" t="s">
        <v>459</v>
      </c>
      <c r="X54" s="60" t="s">
        <v>460</v>
      </c>
      <c r="Y54" s="1" t="s">
        <v>447</v>
      </c>
      <c r="Z54" s="60" t="s">
        <v>448</v>
      </c>
    </row>
    <row r="55" spans="1:30" ht="15" customHeight="1">
      <c r="A55" s="49">
        <v>3</v>
      </c>
      <c r="B55" s="49" t="s">
        <v>19</v>
      </c>
      <c r="C55" s="50" t="s">
        <v>12</v>
      </c>
      <c r="D55" s="51" t="s">
        <v>429</v>
      </c>
      <c r="E55" s="51" t="s">
        <v>461</v>
      </c>
      <c r="F55" s="42" t="s">
        <v>377</v>
      </c>
      <c r="G55" s="53" t="s">
        <v>462</v>
      </c>
      <c r="H55" s="66"/>
      <c r="I55" s="42" t="s">
        <v>416</v>
      </c>
      <c r="J55" s="53" t="s">
        <v>463</v>
      </c>
      <c r="K55" s="54"/>
      <c r="L55" s="56" t="s">
        <v>377</v>
      </c>
      <c r="M55" s="53" t="s">
        <v>464</v>
      </c>
      <c r="N55" s="58"/>
      <c r="O55" s="59"/>
      <c r="P55" s="28"/>
      <c r="Q55" s="28"/>
      <c r="R55" s="28"/>
      <c r="S55" s="28"/>
      <c r="T55" s="28"/>
      <c r="U55" s="1" t="s">
        <v>465</v>
      </c>
      <c r="V55" s="60" t="s">
        <v>466</v>
      </c>
      <c r="W55" s="1" t="s">
        <v>467</v>
      </c>
      <c r="X55" s="60" t="s">
        <v>468</v>
      </c>
      <c r="Y55" s="1" t="s">
        <v>469</v>
      </c>
    </row>
    <row r="56" spans="1:30" ht="15" customHeight="1">
      <c r="A56" s="49">
        <v>3</v>
      </c>
      <c r="B56" s="49" t="s">
        <v>19</v>
      </c>
      <c r="C56" s="50" t="s">
        <v>12</v>
      </c>
      <c r="D56" s="51" t="s">
        <v>470</v>
      </c>
      <c r="E56" s="51" t="s">
        <v>471</v>
      </c>
      <c r="F56" s="42" t="s">
        <v>405</v>
      </c>
      <c r="G56" s="53" t="s">
        <v>472</v>
      </c>
      <c r="H56" s="54"/>
      <c r="I56" s="42" t="s">
        <v>416</v>
      </c>
      <c r="J56" s="53" t="s">
        <v>473</v>
      </c>
      <c r="K56" s="54"/>
      <c r="L56" s="56" t="s">
        <v>379</v>
      </c>
      <c r="M56" s="53" t="s">
        <v>474</v>
      </c>
      <c r="N56" s="58"/>
      <c r="O56" s="59"/>
      <c r="P56" s="28"/>
      <c r="Q56" s="28"/>
      <c r="R56" s="28"/>
      <c r="S56" s="28"/>
      <c r="T56" s="28"/>
      <c r="U56" s="1" t="s">
        <v>475</v>
      </c>
      <c r="V56" s="60" t="s">
        <v>476</v>
      </c>
    </row>
    <row r="57" spans="1:30" ht="15" customHeight="1">
      <c r="A57" s="49">
        <v>3</v>
      </c>
      <c r="B57" s="49" t="s">
        <v>19</v>
      </c>
      <c r="C57" s="50" t="s">
        <v>12</v>
      </c>
      <c r="D57" s="51" t="s">
        <v>470</v>
      </c>
      <c r="E57" s="51" t="s">
        <v>477</v>
      </c>
      <c r="F57" s="52" t="s">
        <v>379</v>
      </c>
      <c r="G57" s="53" t="s">
        <v>478</v>
      </c>
      <c r="H57" s="54"/>
      <c r="I57" s="42" t="s">
        <v>377</v>
      </c>
      <c r="J57" s="53" t="s">
        <v>563</v>
      </c>
      <c r="K57" s="54"/>
      <c r="L57" s="56" t="s">
        <v>379</v>
      </c>
      <c r="M57" s="53" t="s">
        <v>480</v>
      </c>
      <c r="N57" s="58"/>
      <c r="O57" s="59"/>
      <c r="P57" s="28"/>
      <c r="Q57" s="28"/>
      <c r="R57" s="28"/>
      <c r="S57" s="28"/>
      <c r="T57" s="28"/>
      <c r="U57" s="1" t="s">
        <v>481</v>
      </c>
      <c r="V57" s="60" t="s">
        <v>482</v>
      </c>
    </row>
    <row r="58" spans="1:30" ht="15" customHeight="1">
      <c r="A58" s="49">
        <v>3</v>
      </c>
      <c r="B58" s="49" t="s">
        <v>19</v>
      </c>
      <c r="C58" s="50" t="s">
        <v>12</v>
      </c>
      <c r="D58" s="51" t="s">
        <v>483</v>
      </c>
      <c r="E58" s="51" t="s">
        <v>484</v>
      </c>
      <c r="F58" s="42" t="s">
        <v>405</v>
      </c>
      <c r="G58" s="53" t="s">
        <v>485</v>
      </c>
      <c r="H58" s="54"/>
      <c r="I58" s="42" t="s">
        <v>416</v>
      </c>
      <c r="J58" s="53" t="s">
        <v>486</v>
      </c>
      <c r="K58" s="54"/>
      <c r="L58" s="56" t="s">
        <v>487</v>
      </c>
      <c r="M58" s="53" t="s">
        <v>488</v>
      </c>
      <c r="N58" s="58"/>
      <c r="O58" s="59"/>
      <c r="P58" s="28"/>
      <c r="Q58" s="28"/>
      <c r="R58" s="28"/>
      <c r="S58" s="28"/>
      <c r="T58" s="28"/>
      <c r="U58" s="1" t="s">
        <v>489</v>
      </c>
      <c r="V58" s="60" t="s">
        <v>490</v>
      </c>
      <c r="W58" s="1" t="s">
        <v>491</v>
      </c>
      <c r="X58" s="60" t="s">
        <v>492</v>
      </c>
      <c r="Y58" s="1" t="s">
        <v>493</v>
      </c>
      <c r="Z58" s="60" t="s">
        <v>494</v>
      </c>
    </row>
    <row r="59" spans="1:30" ht="15" customHeight="1">
      <c r="A59" s="49">
        <v>3</v>
      </c>
      <c r="B59" s="49" t="s">
        <v>19</v>
      </c>
      <c r="C59" s="50" t="s">
        <v>12</v>
      </c>
      <c r="D59" s="51" t="s">
        <v>483</v>
      </c>
      <c r="E59" s="51" t="s">
        <v>495</v>
      </c>
      <c r="F59" s="52" t="s">
        <v>379</v>
      </c>
      <c r="G59" s="53" t="s">
        <v>378</v>
      </c>
      <c r="H59" s="54"/>
      <c r="I59" s="42" t="s">
        <v>416</v>
      </c>
      <c r="J59" s="53" t="s">
        <v>496</v>
      </c>
      <c r="K59" s="54"/>
      <c r="L59" s="56" t="s">
        <v>416</v>
      </c>
      <c r="M59" s="53" t="s">
        <v>497</v>
      </c>
      <c r="N59" s="58"/>
      <c r="O59" s="59"/>
      <c r="P59" s="28"/>
      <c r="Q59" s="28"/>
      <c r="R59" s="28"/>
      <c r="S59" s="28"/>
      <c r="T59" s="28"/>
    </row>
    <row r="60" spans="1:30" ht="15" customHeight="1">
      <c r="A60" s="49">
        <v>3</v>
      </c>
      <c r="B60" s="49" t="s">
        <v>19</v>
      </c>
      <c r="C60" s="50" t="s">
        <v>12</v>
      </c>
      <c r="D60" s="51" t="s">
        <v>483</v>
      </c>
      <c r="E60" s="51" t="s">
        <v>498</v>
      </c>
      <c r="F60" s="52" t="s">
        <v>379</v>
      </c>
      <c r="G60" s="53" t="s">
        <v>499</v>
      </c>
      <c r="H60" s="54"/>
      <c r="I60" s="42" t="s">
        <v>379</v>
      </c>
      <c r="J60" s="53" t="s">
        <v>500</v>
      </c>
      <c r="K60" s="54"/>
      <c r="L60" s="56" t="s">
        <v>377</v>
      </c>
      <c r="M60" s="53" t="s">
        <v>501</v>
      </c>
      <c r="N60" s="58"/>
      <c r="O60" s="59"/>
      <c r="P60" s="28"/>
      <c r="Q60" s="28"/>
      <c r="R60" s="28"/>
      <c r="S60" s="28"/>
      <c r="T60" s="28"/>
      <c r="U60" s="60" t="s">
        <v>502</v>
      </c>
      <c r="V60" s="60" t="s">
        <v>503</v>
      </c>
      <c r="W60" s="1" t="s">
        <v>504</v>
      </c>
      <c r="X60" s="60" t="s">
        <v>505</v>
      </c>
    </row>
    <row r="61" spans="1:30" ht="15" customHeight="1">
      <c r="A61" s="49">
        <v>3</v>
      </c>
      <c r="B61" s="49" t="s">
        <v>19</v>
      </c>
      <c r="C61" s="50" t="s">
        <v>12</v>
      </c>
      <c r="D61" s="51" t="s">
        <v>483</v>
      </c>
      <c r="E61" s="51" t="s">
        <v>506</v>
      </c>
      <c r="F61" s="42" t="s">
        <v>405</v>
      </c>
      <c r="G61" s="53" t="s">
        <v>507</v>
      </c>
      <c r="H61" s="54"/>
      <c r="I61" s="42" t="s">
        <v>379</v>
      </c>
      <c r="J61" s="53" t="s">
        <v>508</v>
      </c>
      <c r="K61" s="54"/>
      <c r="L61" s="56" t="s">
        <v>377</v>
      </c>
      <c r="M61" s="53" t="s">
        <v>509</v>
      </c>
      <c r="N61" s="58"/>
      <c r="O61" s="59"/>
      <c r="P61" s="28"/>
      <c r="Q61" s="28"/>
      <c r="R61" s="28"/>
      <c r="S61" s="28"/>
      <c r="T61" s="28"/>
      <c r="U61" s="60" t="s">
        <v>510</v>
      </c>
      <c r="V61" s="60" t="s">
        <v>511</v>
      </c>
      <c r="W61" s="1" t="s">
        <v>512</v>
      </c>
      <c r="X61" s="60" t="s">
        <v>513</v>
      </c>
    </row>
    <row r="62" spans="1:30" ht="15" customHeight="1">
      <c r="A62" s="49">
        <v>3</v>
      </c>
      <c r="B62" s="49" t="s">
        <v>19</v>
      </c>
      <c r="C62" s="50" t="s">
        <v>12</v>
      </c>
      <c r="D62" s="51" t="s">
        <v>514</v>
      </c>
      <c r="E62" s="51" t="s">
        <v>515</v>
      </c>
      <c r="F62" s="52" t="s">
        <v>379</v>
      </c>
      <c r="G62" s="53" t="s">
        <v>516</v>
      </c>
      <c r="H62" s="54"/>
      <c r="I62" s="42" t="s">
        <v>416</v>
      </c>
      <c r="J62" s="67" t="s">
        <v>517</v>
      </c>
      <c r="K62" s="54"/>
      <c r="L62" s="56" t="s">
        <v>377</v>
      </c>
      <c r="M62" s="53" t="s">
        <v>518</v>
      </c>
      <c r="N62" s="58"/>
      <c r="O62" s="59"/>
      <c r="P62" s="28"/>
      <c r="Q62" s="28"/>
      <c r="R62" s="28"/>
      <c r="S62" s="28"/>
      <c r="T62" s="28"/>
      <c r="U62" s="1" t="s">
        <v>519</v>
      </c>
      <c r="V62" s="60" t="s">
        <v>520</v>
      </c>
      <c r="W62" s="1" t="s">
        <v>521</v>
      </c>
      <c r="X62" s="60" t="s">
        <v>522</v>
      </c>
    </row>
    <row r="63" spans="1:30" ht="15" customHeight="1">
      <c r="A63" s="49">
        <v>3</v>
      </c>
      <c r="B63" s="49" t="s">
        <v>19</v>
      </c>
      <c r="C63" s="50" t="s">
        <v>12</v>
      </c>
      <c r="D63" s="51" t="s">
        <v>514</v>
      </c>
      <c r="E63" s="51" t="s">
        <v>523</v>
      </c>
      <c r="F63" s="42" t="s">
        <v>379</v>
      </c>
      <c r="G63" s="53" t="s">
        <v>524</v>
      </c>
      <c r="H63" s="54"/>
      <c r="I63" s="42" t="s">
        <v>416</v>
      </c>
      <c r="J63" s="67" t="s">
        <v>525</v>
      </c>
      <c r="K63" s="54"/>
      <c r="L63" s="56" t="s">
        <v>405</v>
      </c>
      <c r="M63" s="53" t="s">
        <v>526</v>
      </c>
      <c r="N63" s="58"/>
      <c r="O63" s="59"/>
      <c r="P63" s="28"/>
      <c r="Q63" s="28"/>
      <c r="R63" s="28"/>
      <c r="S63" s="28"/>
      <c r="T63" s="28"/>
      <c r="U63" s="1" t="s">
        <v>519</v>
      </c>
      <c r="V63" s="60" t="s">
        <v>520</v>
      </c>
      <c r="W63" s="1" t="s">
        <v>521</v>
      </c>
      <c r="X63" s="60" t="s">
        <v>522</v>
      </c>
    </row>
    <row r="64" spans="1:30" ht="15" customHeight="1">
      <c r="A64" s="49">
        <v>3</v>
      </c>
      <c r="B64" s="49" t="s">
        <v>19</v>
      </c>
      <c r="C64" s="50" t="s">
        <v>12</v>
      </c>
      <c r="D64" s="51" t="s">
        <v>514</v>
      </c>
      <c r="E64" s="51" t="s">
        <v>527</v>
      </c>
      <c r="F64" s="42" t="s">
        <v>379</v>
      </c>
      <c r="G64" s="53" t="s">
        <v>378</v>
      </c>
      <c r="H64" s="54"/>
      <c r="I64" s="42" t="s">
        <v>377</v>
      </c>
      <c r="J64" s="53" t="s">
        <v>528</v>
      </c>
      <c r="K64" s="54"/>
      <c r="L64" s="56" t="s">
        <v>379</v>
      </c>
      <c r="M64" s="53" t="s">
        <v>529</v>
      </c>
      <c r="N64" s="58"/>
      <c r="O64" s="59"/>
      <c r="P64" s="28"/>
      <c r="Q64" s="28"/>
      <c r="R64" s="28"/>
      <c r="S64" s="28"/>
      <c r="T64" s="28"/>
      <c r="U64" s="1" t="s">
        <v>521</v>
      </c>
      <c r="V64" s="60" t="s">
        <v>522</v>
      </c>
    </row>
    <row r="65" spans="1:33" ht="15" customHeight="1">
      <c r="A65" s="49">
        <v>3</v>
      </c>
      <c r="B65" s="49" t="s">
        <v>19</v>
      </c>
      <c r="C65" s="50" t="s">
        <v>12</v>
      </c>
      <c r="D65" s="51" t="s">
        <v>530</v>
      </c>
      <c r="E65" s="51" t="s">
        <v>531</v>
      </c>
      <c r="F65" s="42" t="s">
        <v>405</v>
      </c>
      <c r="G65" s="53" t="s">
        <v>532</v>
      </c>
      <c r="H65" s="54"/>
      <c r="I65" s="42" t="s">
        <v>379</v>
      </c>
      <c r="J65" s="53" t="s">
        <v>533</v>
      </c>
      <c r="L65" s="56" t="s">
        <v>377</v>
      </c>
      <c r="M65" s="53" t="s">
        <v>534</v>
      </c>
      <c r="O65" s="53" t="s">
        <v>535</v>
      </c>
      <c r="P65" s="28"/>
      <c r="Q65" s="28"/>
      <c r="R65" s="28"/>
      <c r="S65" s="28"/>
      <c r="T65" s="28"/>
      <c r="U65" s="1" t="s">
        <v>536</v>
      </c>
      <c r="V65" s="60" t="s">
        <v>537</v>
      </c>
      <c r="W65" s="1" t="s">
        <v>538</v>
      </c>
      <c r="X65" s="60" t="s">
        <v>539</v>
      </c>
      <c r="Y65" s="1" t="s">
        <v>540</v>
      </c>
      <c r="Z65" s="60" t="s">
        <v>541</v>
      </c>
      <c r="AA65" s="1" t="s">
        <v>542</v>
      </c>
      <c r="AB65" s="60" t="s">
        <v>543</v>
      </c>
    </row>
    <row r="66" spans="1:33" ht="15" customHeight="1">
      <c r="A66" s="49">
        <v>3</v>
      </c>
      <c r="B66" s="49" t="s">
        <v>19</v>
      </c>
      <c r="C66" s="50" t="s">
        <v>12</v>
      </c>
      <c r="D66" s="51" t="s">
        <v>530</v>
      </c>
      <c r="E66" s="51" t="s">
        <v>544</v>
      </c>
      <c r="F66" s="42" t="s">
        <v>405</v>
      </c>
      <c r="G66" s="53" t="s">
        <v>545</v>
      </c>
      <c r="H66" s="54"/>
      <c r="I66" s="42" t="s">
        <v>379</v>
      </c>
      <c r="J66" s="53" t="s">
        <v>546</v>
      </c>
      <c r="L66" s="56" t="s">
        <v>377</v>
      </c>
      <c r="M66" s="53" t="s">
        <v>534</v>
      </c>
      <c r="N66" s="58"/>
      <c r="O66" s="53" t="s">
        <v>535</v>
      </c>
      <c r="P66" s="28"/>
      <c r="Q66" s="28"/>
      <c r="R66" s="28"/>
      <c r="S66" s="28"/>
      <c r="T66" s="28"/>
      <c r="U66" s="1" t="s">
        <v>536</v>
      </c>
      <c r="V66" s="60" t="s">
        <v>537</v>
      </c>
      <c r="W66" s="1" t="s">
        <v>538</v>
      </c>
      <c r="X66" s="60" t="s">
        <v>539</v>
      </c>
      <c r="Y66" s="1" t="s">
        <v>540</v>
      </c>
      <c r="Z66" s="60" t="s">
        <v>541</v>
      </c>
      <c r="AA66" s="1" t="s">
        <v>542</v>
      </c>
      <c r="AB66" s="60" t="s">
        <v>543</v>
      </c>
    </row>
    <row r="67" spans="1:33" ht="15" customHeight="1">
      <c r="A67" s="49">
        <v>3</v>
      </c>
      <c r="B67" s="49" t="s">
        <v>19</v>
      </c>
      <c r="C67" s="50" t="s">
        <v>12</v>
      </c>
      <c r="D67" s="63" t="s">
        <v>547</v>
      </c>
      <c r="E67" s="57" t="s">
        <v>378</v>
      </c>
      <c r="F67" s="52" t="s">
        <v>379</v>
      </c>
      <c r="G67" s="57" t="s">
        <v>548</v>
      </c>
      <c r="H67" s="57"/>
      <c r="I67" s="43" t="s">
        <v>377</v>
      </c>
      <c r="J67" s="57" t="s">
        <v>549</v>
      </c>
      <c r="K67" s="69"/>
      <c r="L67" s="70" t="s">
        <v>416</v>
      </c>
      <c r="M67" s="57" t="s">
        <v>550</v>
      </c>
      <c r="N67" s="71"/>
      <c r="O67" s="71"/>
      <c r="P67" s="72"/>
      <c r="Q67" s="72"/>
      <c r="R67" s="72"/>
      <c r="S67" s="72"/>
      <c r="T67" s="72"/>
      <c r="U67" s="1" t="s">
        <v>551</v>
      </c>
      <c r="V67" s="60" t="s">
        <v>552</v>
      </c>
      <c r="W67" s="1" t="s">
        <v>553</v>
      </c>
      <c r="X67" s="73" t="s">
        <v>554</v>
      </c>
      <c r="Y67" s="1" t="s">
        <v>555</v>
      </c>
      <c r="Z67" s="60" t="s">
        <v>556</v>
      </c>
      <c r="AB67" s="74"/>
      <c r="AC67" s="74"/>
      <c r="AD67" s="74"/>
      <c r="AE67" s="74"/>
      <c r="AF67" s="74"/>
      <c r="AG67" s="75"/>
    </row>
    <row r="68" spans="1:33" ht="15" customHeight="1">
      <c r="A68" s="49">
        <v>4</v>
      </c>
      <c r="B68" s="49" t="s">
        <v>20</v>
      </c>
      <c r="C68" s="50" t="s">
        <v>21</v>
      </c>
      <c r="D68" s="51" t="s">
        <v>375</v>
      </c>
      <c r="E68" s="51" t="s">
        <v>376</v>
      </c>
      <c r="F68" s="52" t="s">
        <v>377</v>
      </c>
      <c r="G68" s="53" t="s">
        <v>378</v>
      </c>
      <c r="H68" s="54"/>
      <c r="I68" s="42" t="s">
        <v>379</v>
      </c>
      <c r="J68" s="55" t="s">
        <v>380</v>
      </c>
      <c r="K68" s="54"/>
      <c r="L68" s="56" t="s">
        <v>377</v>
      </c>
      <c r="M68" s="57" t="s">
        <v>381</v>
      </c>
      <c r="N68" s="58"/>
      <c r="O68" s="59"/>
      <c r="P68" s="28" t="s">
        <v>13</v>
      </c>
      <c r="Q68" s="28" t="s">
        <v>14</v>
      </c>
      <c r="R68" s="28" t="s">
        <v>13</v>
      </c>
      <c r="S68" s="28"/>
      <c r="T68" s="28"/>
    </row>
    <row r="69" spans="1:33" ht="15" customHeight="1">
      <c r="A69" s="49">
        <v>4</v>
      </c>
      <c r="B69" s="49" t="s">
        <v>20</v>
      </c>
      <c r="C69" s="50" t="s">
        <v>21</v>
      </c>
      <c r="D69" s="51" t="s">
        <v>375</v>
      </c>
      <c r="E69" s="51" t="s">
        <v>382</v>
      </c>
      <c r="F69" s="42" t="s">
        <v>379</v>
      </c>
      <c r="G69" s="53" t="s">
        <v>383</v>
      </c>
      <c r="H69" s="54"/>
      <c r="I69" s="42" t="s">
        <v>379</v>
      </c>
      <c r="J69" s="55" t="s">
        <v>380</v>
      </c>
      <c r="K69" s="54"/>
      <c r="L69" s="56" t="s">
        <v>377</v>
      </c>
      <c r="M69" s="57" t="s">
        <v>384</v>
      </c>
      <c r="N69" s="58"/>
      <c r="O69" s="59"/>
      <c r="P69" s="28"/>
      <c r="Q69" s="28"/>
      <c r="R69" s="28"/>
      <c r="S69" s="28"/>
      <c r="T69" s="28"/>
    </row>
    <row r="70" spans="1:33" ht="15" customHeight="1">
      <c r="A70" s="49">
        <v>4</v>
      </c>
      <c r="B70" s="49" t="s">
        <v>20</v>
      </c>
      <c r="C70" s="50" t="s">
        <v>21</v>
      </c>
      <c r="D70" s="51" t="s">
        <v>375</v>
      </c>
      <c r="E70" s="51" t="s">
        <v>385</v>
      </c>
      <c r="F70" s="42" t="s">
        <v>379</v>
      </c>
      <c r="G70" s="57" t="s">
        <v>386</v>
      </c>
      <c r="H70" s="54"/>
      <c r="I70" s="42" t="s">
        <v>379</v>
      </c>
      <c r="J70" s="55" t="s">
        <v>387</v>
      </c>
      <c r="K70" s="54"/>
      <c r="L70" s="56" t="s">
        <v>377</v>
      </c>
      <c r="M70" s="57" t="s">
        <v>388</v>
      </c>
      <c r="N70" s="58"/>
      <c r="O70" s="61"/>
      <c r="P70" s="28"/>
      <c r="Q70" s="28"/>
      <c r="R70" s="28"/>
      <c r="S70" s="28"/>
      <c r="T70" s="28"/>
      <c r="U70" s="62" t="s">
        <v>389</v>
      </c>
      <c r="V70" s="60" t="s">
        <v>390</v>
      </c>
      <c r="W70" s="60" t="s">
        <v>391</v>
      </c>
      <c r="X70" s="60" t="s">
        <v>392</v>
      </c>
      <c r="Y70" s="1" t="s">
        <v>393</v>
      </c>
      <c r="Z70" s="60" t="s">
        <v>394</v>
      </c>
      <c r="AA70" s="1" t="s">
        <v>395</v>
      </c>
      <c r="AB70" s="60" t="s">
        <v>396</v>
      </c>
      <c r="AE70" s="40" t="s">
        <v>397</v>
      </c>
      <c r="AF70" s="27" t="s">
        <v>398</v>
      </c>
      <c r="AG70" s="40" t="s">
        <v>399</v>
      </c>
    </row>
    <row r="71" spans="1:33" ht="15" customHeight="1">
      <c r="A71" s="49">
        <v>4</v>
      </c>
      <c r="B71" s="49" t="s">
        <v>20</v>
      </c>
      <c r="C71" s="50" t="s">
        <v>21</v>
      </c>
      <c r="D71" s="51" t="s">
        <v>401</v>
      </c>
      <c r="E71" s="51" t="s">
        <v>402</v>
      </c>
      <c r="F71" s="56" t="s">
        <v>403</v>
      </c>
      <c r="G71" s="53" t="s">
        <v>404</v>
      </c>
      <c r="H71" s="54"/>
      <c r="I71" s="42" t="s">
        <v>405</v>
      </c>
      <c r="J71" s="53" t="s">
        <v>406</v>
      </c>
      <c r="K71" s="54"/>
      <c r="L71" s="56" t="s">
        <v>405</v>
      </c>
      <c r="M71" s="57" t="s">
        <v>407</v>
      </c>
      <c r="N71" s="58"/>
      <c r="O71" s="59"/>
      <c r="P71" s="28"/>
      <c r="Q71" s="28"/>
      <c r="R71" s="28"/>
      <c r="S71" s="28"/>
      <c r="T71" s="28"/>
      <c r="U71" s="1" t="s">
        <v>408</v>
      </c>
      <c r="V71" s="60" t="s">
        <v>409</v>
      </c>
      <c r="W71" s="1" t="s">
        <v>410</v>
      </c>
      <c r="X71" s="60" t="s">
        <v>411</v>
      </c>
      <c r="Z71" s="60" t="s">
        <v>412</v>
      </c>
      <c r="AA71" s="60" t="s">
        <v>413</v>
      </c>
    </row>
    <row r="72" spans="1:33" ht="15" customHeight="1">
      <c r="A72" s="49">
        <v>4</v>
      </c>
      <c r="B72" s="49" t="s">
        <v>20</v>
      </c>
      <c r="C72" s="50" t="s">
        <v>21</v>
      </c>
      <c r="D72" s="51" t="s">
        <v>401</v>
      </c>
      <c r="E72" s="51" t="s">
        <v>414</v>
      </c>
      <c r="F72" s="52" t="s">
        <v>379</v>
      </c>
      <c r="G72" s="53" t="s">
        <v>415</v>
      </c>
      <c r="H72" s="54"/>
      <c r="I72" s="42" t="s">
        <v>416</v>
      </c>
      <c r="J72" s="53" t="s">
        <v>417</v>
      </c>
      <c r="K72" s="54"/>
      <c r="L72" s="56" t="s">
        <v>405</v>
      </c>
      <c r="M72" s="53" t="s">
        <v>418</v>
      </c>
      <c r="N72" s="58"/>
      <c r="O72" s="59"/>
      <c r="P72" s="28"/>
      <c r="Q72" s="28"/>
      <c r="R72" s="28"/>
      <c r="S72" s="28"/>
      <c r="T72" s="28"/>
      <c r="U72" s="1" t="s">
        <v>419</v>
      </c>
      <c r="V72" s="60" t="s">
        <v>420</v>
      </c>
      <c r="W72" s="1" t="s">
        <v>408</v>
      </c>
      <c r="X72" s="60" t="s">
        <v>409</v>
      </c>
      <c r="Z72" s="60" t="s">
        <v>412</v>
      </c>
      <c r="AA72" s="60" t="s">
        <v>413</v>
      </c>
    </row>
    <row r="73" spans="1:33" ht="15" customHeight="1">
      <c r="A73" s="49">
        <v>4</v>
      </c>
      <c r="B73" s="49" t="s">
        <v>20</v>
      </c>
      <c r="C73" s="50" t="s">
        <v>21</v>
      </c>
      <c r="D73" s="51" t="s">
        <v>401</v>
      </c>
      <c r="E73" s="63" t="s">
        <v>557</v>
      </c>
      <c r="F73" s="52" t="s">
        <v>416</v>
      </c>
      <c r="G73" s="53" t="s">
        <v>422</v>
      </c>
      <c r="H73" s="54"/>
      <c r="I73" s="42" t="s">
        <v>416</v>
      </c>
      <c r="J73" s="53" t="s">
        <v>423</v>
      </c>
      <c r="K73" s="54"/>
      <c r="L73" s="56" t="s">
        <v>405</v>
      </c>
      <c r="M73" s="53" t="s">
        <v>424</v>
      </c>
      <c r="N73" s="58"/>
      <c r="O73" s="64"/>
      <c r="P73" s="28"/>
      <c r="Q73" s="28"/>
      <c r="R73" s="28"/>
      <c r="S73" s="28"/>
      <c r="T73" s="28"/>
      <c r="U73" s="1" t="s">
        <v>425</v>
      </c>
      <c r="V73" s="60" t="s">
        <v>426</v>
      </c>
      <c r="W73" s="1" t="s">
        <v>427</v>
      </c>
      <c r="X73" s="60" t="s">
        <v>428</v>
      </c>
      <c r="Z73" s="60" t="s">
        <v>412</v>
      </c>
      <c r="AA73" s="60" t="s">
        <v>413</v>
      </c>
    </row>
    <row r="74" spans="1:33" ht="15" customHeight="1">
      <c r="A74" s="49">
        <v>4</v>
      </c>
      <c r="B74" s="49" t="s">
        <v>20</v>
      </c>
      <c r="C74" s="50" t="s">
        <v>21</v>
      </c>
      <c r="D74" s="51" t="s">
        <v>429</v>
      </c>
      <c r="E74" s="51" t="s">
        <v>430</v>
      </c>
      <c r="F74" s="52" t="s">
        <v>379</v>
      </c>
      <c r="G74" s="53" t="s">
        <v>431</v>
      </c>
      <c r="H74" s="54"/>
      <c r="I74" s="42" t="s">
        <v>379</v>
      </c>
      <c r="J74" s="53" t="s">
        <v>565</v>
      </c>
      <c r="K74" s="54"/>
      <c r="L74" s="56" t="s">
        <v>405</v>
      </c>
      <c r="M74" s="53" t="s">
        <v>433</v>
      </c>
      <c r="N74" s="58"/>
      <c r="O74" s="59"/>
      <c r="P74" s="28"/>
      <c r="Q74" s="28"/>
      <c r="R74" s="28"/>
      <c r="S74" s="28"/>
      <c r="T74" s="28"/>
      <c r="U74" s="60" t="s">
        <v>434</v>
      </c>
      <c r="V74" s="60" t="s">
        <v>435</v>
      </c>
      <c r="W74" s="1" t="s">
        <v>436</v>
      </c>
      <c r="X74" s="60" t="s">
        <v>437</v>
      </c>
      <c r="Y74" s="1" t="s">
        <v>438</v>
      </c>
      <c r="Z74" s="60" t="s">
        <v>439</v>
      </c>
      <c r="AA74" s="1" t="s">
        <v>440</v>
      </c>
      <c r="AB74" s="60" t="s">
        <v>441</v>
      </c>
      <c r="AC74" s="1" t="s">
        <v>442</v>
      </c>
      <c r="AD74" s="60" t="s">
        <v>437</v>
      </c>
    </row>
    <row r="75" spans="1:33" ht="15" customHeight="1">
      <c r="A75" s="49">
        <v>4</v>
      </c>
      <c r="B75" s="49" t="s">
        <v>20</v>
      </c>
      <c r="C75" s="50" t="s">
        <v>21</v>
      </c>
      <c r="D75" s="51" t="s">
        <v>429</v>
      </c>
      <c r="E75" s="51" t="s">
        <v>443</v>
      </c>
      <c r="F75" s="52" t="s">
        <v>416</v>
      </c>
      <c r="G75" s="53" t="s">
        <v>444</v>
      </c>
      <c r="H75" s="54"/>
      <c r="I75" s="42" t="s">
        <v>416</v>
      </c>
      <c r="J75" s="53" t="s">
        <v>559</v>
      </c>
      <c r="L75" s="56" t="s">
        <v>405</v>
      </c>
      <c r="M75" s="53" t="s">
        <v>446</v>
      </c>
      <c r="N75" s="58"/>
      <c r="O75" s="59"/>
      <c r="P75" s="28"/>
      <c r="Q75" s="28"/>
      <c r="R75" s="28"/>
      <c r="S75" s="28"/>
      <c r="T75" s="28"/>
      <c r="U75" s="1" t="s">
        <v>447</v>
      </c>
      <c r="V75" s="60" t="s">
        <v>448</v>
      </c>
      <c r="W75" s="1" t="s">
        <v>449</v>
      </c>
      <c r="X75" s="60" t="s">
        <v>450</v>
      </c>
      <c r="Y75" s="1" t="s">
        <v>451</v>
      </c>
      <c r="Z75" s="60" t="s">
        <v>452</v>
      </c>
    </row>
    <row r="76" spans="1:33" ht="15" customHeight="1">
      <c r="A76" s="49">
        <v>4</v>
      </c>
      <c r="B76" s="49" t="s">
        <v>20</v>
      </c>
      <c r="C76" s="50" t="s">
        <v>21</v>
      </c>
      <c r="D76" s="51" t="s">
        <v>429</v>
      </c>
      <c r="E76" s="51" t="s">
        <v>453</v>
      </c>
      <c r="F76" s="42" t="s">
        <v>405</v>
      </c>
      <c r="G76" s="53" t="s">
        <v>454</v>
      </c>
      <c r="H76" s="54"/>
      <c r="I76" s="42" t="s">
        <v>416</v>
      </c>
      <c r="J76" s="53" t="s">
        <v>561</v>
      </c>
      <c r="K76" s="54"/>
      <c r="L76" s="56" t="s">
        <v>416</v>
      </c>
      <c r="M76" s="53" t="s">
        <v>456</v>
      </c>
      <c r="N76" s="58"/>
      <c r="O76" s="59"/>
      <c r="P76" s="28"/>
      <c r="Q76" s="28"/>
      <c r="R76" s="28"/>
      <c r="S76" s="28"/>
      <c r="T76" s="28"/>
      <c r="U76" s="1" t="s">
        <v>457</v>
      </c>
      <c r="V76" s="60" t="s">
        <v>458</v>
      </c>
      <c r="W76" s="1" t="s">
        <v>459</v>
      </c>
      <c r="X76" s="60" t="s">
        <v>460</v>
      </c>
      <c r="Y76" s="1" t="s">
        <v>447</v>
      </c>
      <c r="Z76" s="60" t="s">
        <v>448</v>
      </c>
    </row>
    <row r="77" spans="1:33" ht="15" customHeight="1">
      <c r="A77" s="49">
        <v>4</v>
      </c>
      <c r="B77" s="49" t="s">
        <v>20</v>
      </c>
      <c r="C77" s="50" t="s">
        <v>21</v>
      </c>
      <c r="D77" s="51" t="s">
        <v>429</v>
      </c>
      <c r="E77" s="51" t="s">
        <v>461</v>
      </c>
      <c r="F77" s="42" t="s">
        <v>377</v>
      </c>
      <c r="G77" s="53" t="s">
        <v>462</v>
      </c>
      <c r="H77" s="66"/>
      <c r="I77" s="42" t="s">
        <v>416</v>
      </c>
      <c r="J77" s="53" t="s">
        <v>463</v>
      </c>
      <c r="K77" s="54"/>
      <c r="L77" s="56" t="s">
        <v>377</v>
      </c>
      <c r="M77" s="53" t="s">
        <v>464</v>
      </c>
      <c r="N77" s="58"/>
      <c r="O77" s="59"/>
      <c r="P77" s="28"/>
      <c r="Q77" s="28"/>
      <c r="R77" s="28"/>
      <c r="S77" s="28"/>
      <c r="T77" s="28"/>
      <c r="U77" s="1" t="s">
        <v>465</v>
      </c>
      <c r="V77" s="60" t="s">
        <v>466</v>
      </c>
      <c r="W77" s="1" t="s">
        <v>467</v>
      </c>
      <c r="X77" s="60" t="s">
        <v>468</v>
      </c>
      <c r="Y77" s="1" t="s">
        <v>469</v>
      </c>
    </row>
    <row r="78" spans="1:33" ht="15" customHeight="1">
      <c r="A78" s="49">
        <v>4</v>
      </c>
      <c r="B78" s="49" t="s">
        <v>20</v>
      </c>
      <c r="C78" s="50" t="s">
        <v>21</v>
      </c>
      <c r="D78" s="51" t="s">
        <v>470</v>
      </c>
      <c r="E78" s="51" t="s">
        <v>471</v>
      </c>
      <c r="F78" s="42" t="s">
        <v>405</v>
      </c>
      <c r="G78" s="53" t="s">
        <v>472</v>
      </c>
      <c r="H78" s="54"/>
      <c r="I78" s="42" t="s">
        <v>416</v>
      </c>
      <c r="J78" s="53" t="s">
        <v>473</v>
      </c>
      <c r="K78" s="54"/>
      <c r="L78" s="56" t="s">
        <v>379</v>
      </c>
      <c r="M78" s="53" t="s">
        <v>474</v>
      </c>
      <c r="N78" s="58"/>
      <c r="O78" s="59"/>
      <c r="P78" s="28"/>
      <c r="Q78" s="28"/>
      <c r="R78" s="28"/>
      <c r="S78" s="28"/>
      <c r="T78" s="28"/>
      <c r="U78" s="1" t="s">
        <v>475</v>
      </c>
      <c r="V78" s="60" t="s">
        <v>476</v>
      </c>
    </row>
    <row r="79" spans="1:33" ht="15" customHeight="1">
      <c r="A79" s="49">
        <v>4</v>
      </c>
      <c r="B79" s="49" t="s">
        <v>20</v>
      </c>
      <c r="C79" s="50" t="s">
        <v>21</v>
      </c>
      <c r="D79" s="51" t="s">
        <v>470</v>
      </c>
      <c r="E79" s="51" t="s">
        <v>477</v>
      </c>
      <c r="F79" s="52" t="s">
        <v>379</v>
      </c>
      <c r="G79" s="53" t="s">
        <v>478</v>
      </c>
      <c r="H79" s="54"/>
      <c r="I79" s="42" t="s">
        <v>377</v>
      </c>
      <c r="J79" s="53" t="s">
        <v>563</v>
      </c>
      <c r="K79" s="54"/>
      <c r="L79" s="56" t="s">
        <v>379</v>
      </c>
      <c r="M79" s="53" t="s">
        <v>480</v>
      </c>
      <c r="N79" s="58"/>
      <c r="O79" s="59"/>
      <c r="P79" s="28"/>
      <c r="Q79" s="28"/>
      <c r="R79" s="28"/>
      <c r="S79" s="28"/>
      <c r="T79" s="28"/>
      <c r="U79" s="1" t="s">
        <v>481</v>
      </c>
      <c r="V79" s="60" t="s">
        <v>482</v>
      </c>
    </row>
    <row r="80" spans="1:33" ht="15" customHeight="1">
      <c r="A80" s="49">
        <v>4</v>
      </c>
      <c r="B80" s="49" t="s">
        <v>20</v>
      </c>
      <c r="C80" s="50" t="s">
        <v>21</v>
      </c>
      <c r="D80" s="51" t="s">
        <v>483</v>
      </c>
      <c r="E80" s="51" t="s">
        <v>484</v>
      </c>
      <c r="F80" s="42" t="s">
        <v>405</v>
      </c>
      <c r="G80" s="53" t="s">
        <v>485</v>
      </c>
      <c r="H80" s="54"/>
      <c r="I80" s="42" t="s">
        <v>416</v>
      </c>
      <c r="J80" s="53" t="s">
        <v>486</v>
      </c>
      <c r="K80" s="54"/>
      <c r="L80" s="56" t="s">
        <v>487</v>
      </c>
      <c r="M80" s="53" t="s">
        <v>488</v>
      </c>
      <c r="N80" s="58"/>
      <c r="O80" s="59"/>
      <c r="P80" s="28"/>
      <c r="Q80" s="28"/>
      <c r="R80" s="28"/>
      <c r="S80" s="28"/>
      <c r="T80" s="28"/>
      <c r="U80" s="1" t="s">
        <v>489</v>
      </c>
      <c r="V80" s="60" t="s">
        <v>490</v>
      </c>
      <c r="W80" s="1" t="s">
        <v>491</v>
      </c>
      <c r="X80" s="60" t="s">
        <v>492</v>
      </c>
      <c r="Y80" s="1" t="s">
        <v>493</v>
      </c>
      <c r="Z80" s="60" t="s">
        <v>494</v>
      </c>
    </row>
    <row r="81" spans="1:33" ht="15" customHeight="1">
      <c r="A81" s="49">
        <v>4</v>
      </c>
      <c r="B81" s="49" t="s">
        <v>20</v>
      </c>
      <c r="C81" s="50" t="s">
        <v>21</v>
      </c>
      <c r="D81" s="51" t="s">
        <v>483</v>
      </c>
      <c r="E81" s="51" t="s">
        <v>495</v>
      </c>
      <c r="F81" s="52" t="s">
        <v>379</v>
      </c>
      <c r="G81" s="53" t="s">
        <v>378</v>
      </c>
      <c r="H81" s="54"/>
      <c r="I81" s="42" t="s">
        <v>416</v>
      </c>
      <c r="J81" s="53" t="s">
        <v>496</v>
      </c>
      <c r="K81" s="54"/>
      <c r="L81" s="56" t="s">
        <v>416</v>
      </c>
      <c r="M81" s="53" t="s">
        <v>497</v>
      </c>
      <c r="N81" s="58"/>
      <c r="O81" s="59"/>
      <c r="P81" s="28"/>
      <c r="Q81" s="28"/>
      <c r="R81" s="28"/>
      <c r="S81" s="28"/>
      <c r="T81" s="28"/>
    </row>
    <row r="82" spans="1:33" ht="15" customHeight="1">
      <c r="A82" s="49">
        <v>4</v>
      </c>
      <c r="B82" s="49" t="s">
        <v>20</v>
      </c>
      <c r="C82" s="50" t="s">
        <v>21</v>
      </c>
      <c r="D82" s="51" t="s">
        <v>483</v>
      </c>
      <c r="E82" s="51" t="s">
        <v>498</v>
      </c>
      <c r="F82" s="52" t="s">
        <v>379</v>
      </c>
      <c r="G82" s="53" t="s">
        <v>499</v>
      </c>
      <c r="H82" s="54"/>
      <c r="I82" s="42" t="s">
        <v>379</v>
      </c>
      <c r="J82" s="53" t="s">
        <v>500</v>
      </c>
      <c r="K82" s="54"/>
      <c r="L82" s="56" t="s">
        <v>377</v>
      </c>
      <c r="M82" s="53" t="s">
        <v>501</v>
      </c>
      <c r="N82" s="58"/>
      <c r="O82" s="59"/>
      <c r="P82" s="28"/>
      <c r="Q82" s="28"/>
      <c r="R82" s="28"/>
      <c r="S82" s="28"/>
      <c r="T82" s="28"/>
      <c r="U82" s="60" t="s">
        <v>502</v>
      </c>
      <c r="V82" s="60" t="s">
        <v>503</v>
      </c>
      <c r="W82" s="1" t="s">
        <v>504</v>
      </c>
      <c r="X82" s="60" t="s">
        <v>505</v>
      </c>
    </row>
    <row r="83" spans="1:33" ht="15" customHeight="1">
      <c r="A83" s="49">
        <v>4</v>
      </c>
      <c r="B83" s="49" t="s">
        <v>20</v>
      </c>
      <c r="C83" s="50" t="s">
        <v>21</v>
      </c>
      <c r="D83" s="51" t="s">
        <v>483</v>
      </c>
      <c r="E83" s="51" t="s">
        <v>506</v>
      </c>
      <c r="F83" s="42" t="s">
        <v>405</v>
      </c>
      <c r="G83" s="53" t="s">
        <v>507</v>
      </c>
      <c r="H83" s="54"/>
      <c r="I83" s="42" t="s">
        <v>379</v>
      </c>
      <c r="J83" s="53" t="s">
        <v>508</v>
      </c>
      <c r="K83" s="54"/>
      <c r="L83" s="56" t="s">
        <v>377</v>
      </c>
      <c r="M83" s="53" t="s">
        <v>509</v>
      </c>
      <c r="N83" s="58"/>
      <c r="O83" s="59"/>
      <c r="P83" s="28"/>
      <c r="Q83" s="28"/>
      <c r="R83" s="28"/>
      <c r="S83" s="28"/>
      <c r="T83" s="28"/>
      <c r="U83" s="60" t="s">
        <v>510</v>
      </c>
      <c r="V83" s="60" t="s">
        <v>511</v>
      </c>
      <c r="W83" s="1" t="s">
        <v>512</v>
      </c>
      <c r="X83" s="60" t="s">
        <v>513</v>
      </c>
    </row>
    <row r="84" spans="1:33" ht="15" customHeight="1">
      <c r="A84" s="49">
        <v>4</v>
      </c>
      <c r="B84" s="49" t="s">
        <v>20</v>
      </c>
      <c r="C84" s="50" t="s">
        <v>21</v>
      </c>
      <c r="D84" s="51" t="s">
        <v>514</v>
      </c>
      <c r="E84" s="51" t="s">
        <v>515</v>
      </c>
      <c r="F84" s="52" t="s">
        <v>379</v>
      </c>
      <c r="G84" s="53" t="s">
        <v>516</v>
      </c>
      <c r="H84" s="54"/>
      <c r="I84" s="42" t="s">
        <v>416</v>
      </c>
      <c r="J84" s="67" t="s">
        <v>517</v>
      </c>
      <c r="K84" s="54"/>
      <c r="L84" s="56" t="s">
        <v>377</v>
      </c>
      <c r="M84" s="53" t="s">
        <v>518</v>
      </c>
      <c r="N84" s="58"/>
      <c r="O84" s="59"/>
      <c r="P84" s="28"/>
      <c r="Q84" s="28"/>
      <c r="R84" s="28"/>
      <c r="S84" s="28"/>
      <c r="T84" s="28"/>
      <c r="U84" s="1" t="s">
        <v>519</v>
      </c>
      <c r="V84" s="60" t="s">
        <v>520</v>
      </c>
      <c r="W84" s="1" t="s">
        <v>521</v>
      </c>
      <c r="X84" s="60" t="s">
        <v>522</v>
      </c>
    </row>
    <row r="85" spans="1:33" ht="15" customHeight="1">
      <c r="A85" s="49">
        <v>4</v>
      </c>
      <c r="B85" s="49" t="s">
        <v>20</v>
      </c>
      <c r="C85" s="50" t="s">
        <v>21</v>
      </c>
      <c r="D85" s="51" t="s">
        <v>514</v>
      </c>
      <c r="E85" s="51" t="s">
        <v>523</v>
      </c>
      <c r="F85" s="42" t="s">
        <v>379</v>
      </c>
      <c r="G85" s="53" t="s">
        <v>524</v>
      </c>
      <c r="H85" s="54"/>
      <c r="I85" s="42" t="s">
        <v>416</v>
      </c>
      <c r="J85" s="67" t="s">
        <v>525</v>
      </c>
      <c r="K85" s="54"/>
      <c r="L85" s="56" t="s">
        <v>405</v>
      </c>
      <c r="M85" s="53" t="s">
        <v>526</v>
      </c>
      <c r="N85" s="58"/>
      <c r="O85" s="59"/>
      <c r="P85" s="28"/>
      <c r="Q85" s="28"/>
      <c r="R85" s="28"/>
      <c r="S85" s="28"/>
      <c r="T85" s="28"/>
      <c r="U85" s="1" t="s">
        <v>519</v>
      </c>
      <c r="V85" s="60" t="s">
        <v>520</v>
      </c>
      <c r="W85" s="1" t="s">
        <v>521</v>
      </c>
      <c r="X85" s="60" t="s">
        <v>522</v>
      </c>
    </row>
    <row r="86" spans="1:33" ht="15" customHeight="1">
      <c r="A86" s="49">
        <v>4</v>
      </c>
      <c r="B86" s="49" t="s">
        <v>20</v>
      </c>
      <c r="C86" s="50" t="s">
        <v>21</v>
      </c>
      <c r="D86" s="51" t="s">
        <v>514</v>
      </c>
      <c r="E86" s="51" t="s">
        <v>527</v>
      </c>
      <c r="F86" s="42" t="s">
        <v>379</v>
      </c>
      <c r="G86" s="53" t="s">
        <v>378</v>
      </c>
      <c r="H86" s="54"/>
      <c r="I86" s="42" t="s">
        <v>377</v>
      </c>
      <c r="J86" s="53" t="s">
        <v>528</v>
      </c>
      <c r="K86" s="54"/>
      <c r="L86" s="56" t="s">
        <v>379</v>
      </c>
      <c r="M86" s="53" t="s">
        <v>529</v>
      </c>
      <c r="N86" s="58"/>
      <c r="O86" s="59"/>
      <c r="P86" s="28"/>
      <c r="Q86" s="28"/>
      <c r="R86" s="28"/>
      <c r="S86" s="28"/>
      <c r="T86" s="28"/>
      <c r="U86" s="1" t="s">
        <v>521</v>
      </c>
      <c r="V86" s="60" t="s">
        <v>522</v>
      </c>
    </row>
    <row r="87" spans="1:33" ht="15" customHeight="1">
      <c r="A87" s="49">
        <v>4</v>
      </c>
      <c r="B87" s="49" t="s">
        <v>20</v>
      </c>
      <c r="C87" s="50" t="s">
        <v>21</v>
      </c>
      <c r="D87" s="51" t="s">
        <v>530</v>
      </c>
      <c r="E87" s="51" t="s">
        <v>531</v>
      </c>
      <c r="F87" s="42" t="s">
        <v>405</v>
      </c>
      <c r="G87" s="53" t="s">
        <v>532</v>
      </c>
      <c r="H87" s="54"/>
      <c r="I87" s="42" t="s">
        <v>379</v>
      </c>
      <c r="J87" s="53" t="s">
        <v>533</v>
      </c>
      <c r="L87" s="56" t="s">
        <v>377</v>
      </c>
      <c r="M87" s="53" t="s">
        <v>534</v>
      </c>
      <c r="O87" s="53" t="s">
        <v>535</v>
      </c>
      <c r="P87" s="28"/>
      <c r="Q87" s="28"/>
      <c r="R87" s="28"/>
      <c r="S87" s="28"/>
      <c r="T87" s="28"/>
      <c r="U87" s="1" t="s">
        <v>536</v>
      </c>
      <c r="V87" s="60" t="s">
        <v>537</v>
      </c>
      <c r="W87" s="1" t="s">
        <v>538</v>
      </c>
      <c r="X87" s="60" t="s">
        <v>539</v>
      </c>
      <c r="Y87" s="1" t="s">
        <v>540</v>
      </c>
      <c r="Z87" s="60" t="s">
        <v>541</v>
      </c>
      <c r="AA87" s="1" t="s">
        <v>542</v>
      </c>
      <c r="AB87" s="60" t="s">
        <v>543</v>
      </c>
    </row>
    <row r="88" spans="1:33" ht="15" customHeight="1">
      <c r="A88" s="49">
        <v>4</v>
      </c>
      <c r="B88" s="49" t="s">
        <v>20</v>
      </c>
      <c r="C88" s="50" t="s">
        <v>21</v>
      </c>
      <c r="D88" s="51" t="s">
        <v>530</v>
      </c>
      <c r="E88" s="51" t="s">
        <v>544</v>
      </c>
      <c r="F88" s="42" t="s">
        <v>405</v>
      </c>
      <c r="G88" s="53" t="s">
        <v>545</v>
      </c>
      <c r="H88" s="54"/>
      <c r="I88" s="42" t="s">
        <v>379</v>
      </c>
      <c r="J88" s="53" t="s">
        <v>546</v>
      </c>
      <c r="L88" s="56" t="s">
        <v>377</v>
      </c>
      <c r="M88" s="53" t="s">
        <v>534</v>
      </c>
      <c r="N88" s="58"/>
      <c r="O88" s="53" t="s">
        <v>535</v>
      </c>
      <c r="P88" s="28"/>
      <c r="Q88" s="28"/>
      <c r="R88" s="28"/>
      <c r="S88" s="28"/>
      <c r="T88" s="28"/>
      <c r="U88" s="1" t="s">
        <v>536</v>
      </c>
      <c r="V88" s="60" t="s">
        <v>537</v>
      </c>
      <c r="W88" s="1" t="s">
        <v>538</v>
      </c>
      <c r="X88" s="60" t="s">
        <v>539</v>
      </c>
      <c r="Y88" s="1" t="s">
        <v>540</v>
      </c>
      <c r="Z88" s="60" t="s">
        <v>541</v>
      </c>
      <c r="AA88" s="1" t="s">
        <v>542</v>
      </c>
      <c r="AB88" s="60" t="s">
        <v>543</v>
      </c>
    </row>
    <row r="89" spans="1:33" ht="15" customHeight="1">
      <c r="A89" s="49">
        <v>5</v>
      </c>
      <c r="B89" s="49" t="s">
        <v>22</v>
      </c>
      <c r="C89" s="50" t="s">
        <v>12</v>
      </c>
      <c r="D89" s="51" t="s">
        <v>429</v>
      </c>
      <c r="E89" s="51" t="s">
        <v>443</v>
      </c>
      <c r="F89" s="52" t="s">
        <v>416</v>
      </c>
      <c r="G89" s="53" t="s">
        <v>444</v>
      </c>
      <c r="H89" s="54"/>
      <c r="I89" s="42" t="s">
        <v>416</v>
      </c>
      <c r="J89" s="53" t="s">
        <v>559</v>
      </c>
      <c r="L89" s="56" t="s">
        <v>405</v>
      </c>
      <c r="M89" s="53" t="s">
        <v>446</v>
      </c>
      <c r="N89" s="58"/>
      <c r="O89" s="59"/>
      <c r="P89" s="28"/>
      <c r="Q89" s="28"/>
      <c r="R89" s="28"/>
      <c r="S89" s="28"/>
      <c r="T89" s="28"/>
      <c r="U89" s="1" t="s">
        <v>447</v>
      </c>
      <c r="V89" s="60" t="s">
        <v>448</v>
      </c>
      <c r="W89" s="1" t="s">
        <v>449</v>
      </c>
      <c r="X89" s="60" t="s">
        <v>450</v>
      </c>
      <c r="Y89" s="1" t="s">
        <v>451</v>
      </c>
      <c r="Z89" s="60" t="s">
        <v>452</v>
      </c>
    </row>
    <row r="90" spans="1:33" ht="15" customHeight="1">
      <c r="A90" s="49">
        <v>5</v>
      </c>
      <c r="B90" s="49" t="s">
        <v>22</v>
      </c>
      <c r="C90" s="50" t="s">
        <v>12</v>
      </c>
      <c r="D90" s="51" t="s">
        <v>429</v>
      </c>
      <c r="E90" s="51" t="s">
        <v>453</v>
      </c>
      <c r="F90" s="42" t="s">
        <v>405</v>
      </c>
      <c r="G90" s="53" t="s">
        <v>454</v>
      </c>
      <c r="H90" s="54"/>
      <c r="I90" s="42" t="s">
        <v>416</v>
      </c>
      <c r="J90" s="53" t="s">
        <v>561</v>
      </c>
      <c r="K90" s="54"/>
      <c r="L90" s="56" t="s">
        <v>416</v>
      </c>
      <c r="M90" s="53" t="s">
        <v>456</v>
      </c>
      <c r="N90" s="58"/>
      <c r="O90" s="59"/>
      <c r="P90" s="28"/>
      <c r="Q90" s="28"/>
      <c r="R90" s="28"/>
      <c r="S90" s="28"/>
      <c r="T90" s="28"/>
      <c r="U90" s="1" t="s">
        <v>457</v>
      </c>
      <c r="V90" s="60" t="s">
        <v>458</v>
      </c>
      <c r="W90" s="1" t="s">
        <v>459</v>
      </c>
      <c r="X90" s="60" t="s">
        <v>460</v>
      </c>
      <c r="Y90" s="1" t="s">
        <v>447</v>
      </c>
      <c r="Z90" s="60" t="s">
        <v>448</v>
      </c>
    </row>
    <row r="91" spans="1:33" ht="15" customHeight="1">
      <c r="A91" s="49">
        <v>6</v>
      </c>
      <c r="B91" s="49" t="s">
        <v>23</v>
      </c>
      <c r="C91" s="50" t="s">
        <v>24</v>
      </c>
      <c r="D91" s="51" t="s">
        <v>375</v>
      </c>
      <c r="E91" s="51" t="s">
        <v>376</v>
      </c>
      <c r="F91" s="52" t="s">
        <v>377</v>
      </c>
      <c r="G91" s="53" t="s">
        <v>378</v>
      </c>
      <c r="H91" s="54"/>
      <c r="I91" s="42" t="s">
        <v>379</v>
      </c>
      <c r="J91" s="55" t="s">
        <v>380</v>
      </c>
      <c r="K91" s="54"/>
      <c r="L91" s="56" t="s">
        <v>377</v>
      </c>
      <c r="M91" s="57" t="s">
        <v>381</v>
      </c>
      <c r="N91" s="58"/>
      <c r="O91" s="59"/>
      <c r="P91" s="28" t="s">
        <v>13</v>
      </c>
      <c r="Q91" s="28" t="s">
        <v>14</v>
      </c>
      <c r="R91" s="28" t="s">
        <v>13</v>
      </c>
      <c r="S91" s="28"/>
      <c r="T91" s="28"/>
    </row>
    <row r="92" spans="1:33" ht="15" customHeight="1">
      <c r="A92" s="49">
        <v>6</v>
      </c>
      <c r="B92" s="49" t="s">
        <v>23</v>
      </c>
      <c r="C92" s="50" t="s">
        <v>24</v>
      </c>
      <c r="D92" s="51" t="s">
        <v>375</v>
      </c>
      <c r="E92" s="51" t="s">
        <v>382</v>
      </c>
      <c r="F92" s="42" t="s">
        <v>379</v>
      </c>
      <c r="G92" s="53" t="s">
        <v>383</v>
      </c>
      <c r="H92" s="54"/>
      <c r="I92" s="42" t="s">
        <v>379</v>
      </c>
      <c r="J92" s="55" t="s">
        <v>380</v>
      </c>
      <c r="K92" s="54"/>
      <c r="L92" s="56" t="s">
        <v>377</v>
      </c>
      <c r="M92" s="57" t="s">
        <v>384</v>
      </c>
      <c r="N92" s="58"/>
      <c r="O92" s="59"/>
      <c r="P92" s="28"/>
      <c r="Q92" s="28"/>
      <c r="R92" s="28"/>
      <c r="S92" s="28"/>
      <c r="T92" s="28"/>
    </row>
    <row r="93" spans="1:33" ht="15" customHeight="1">
      <c r="A93" s="49">
        <v>6</v>
      </c>
      <c r="B93" s="49" t="s">
        <v>23</v>
      </c>
      <c r="C93" s="50" t="s">
        <v>24</v>
      </c>
      <c r="D93" s="51" t="s">
        <v>375</v>
      </c>
      <c r="E93" s="51" t="s">
        <v>385</v>
      </c>
      <c r="F93" s="42" t="s">
        <v>379</v>
      </c>
      <c r="G93" s="57" t="s">
        <v>386</v>
      </c>
      <c r="H93" s="54"/>
      <c r="I93" s="42" t="s">
        <v>379</v>
      </c>
      <c r="J93" s="55" t="s">
        <v>387</v>
      </c>
      <c r="K93" s="54"/>
      <c r="L93" s="56" t="s">
        <v>377</v>
      </c>
      <c r="M93" s="57" t="s">
        <v>388</v>
      </c>
      <c r="N93" s="58"/>
      <c r="O93" s="61"/>
      <c r="P93" s="28"/>
      <c r="Q93" s="28"/>
      <c r="R93" s="28"/>
      <c r="S93" s="28"/>
      <c r="T93" s="28"/>
      <c r="U93" s="62" t="s">
        <v>389</v>
      </c>
      <c r="V93" s="60" t="s">
        <v>390</v>
      </c>
      <c r="W93" s="60" t="s">
        <v>391</v>
      </c>
      <c r="X93" s="60" t="s">
        <v>392</v>
      </c>
      <c r="Y93" s="1" t="s">
        <v>393</v>
      </c>
      <c r="Z93" s="60" t="s">
        <v>394</v>
      </c>
      <c r="AA93" s="1" t="s">
        <v>395</v>
      </c>
      <c r="AB93" s="60" t="s">
        <v>396</v>
      </c>
      <c r="AE93" s="40" t="s">
        <v>397</v>
      </c>
      <c r="AF93" s="27" t="s">
        <v>398</v>
      </c>
      <c r="AG93" s="40" t="s">
        <v>399</v>
      </c>
    </row>
    <row r="94" spans="1:33" ht="15" customHeight="1">
      <c r="A94" s="49">
        <v>6</v>
      </c>
      <c r="B94" s="49" t="s">
        <v>23</v>
      </c>
      <c r="C94" s="50" t="s">
        <v>24</v>
      </c>
      <c r="D94" s="51" t="s">
        <v>401</v>
      </c>
      <c r="E94" s="51" t="s">
        <v>402</v>
      </c>
      <c r="F94" s="56" t="s">
        <v>403</v>
      </c>
      <c r="G94" s="53" t="s">
        <v>404</v>
      </c>
      <c r="H94" s="54"/>
      <c r="I94" s="42" t="s">
        <v>405</v>
      </c>
      <c r="J94" s="53" t="s">
        <v>406</v>
      </c>
      <c r="K94" s="54"/>
      <c r="L94" s="56" t="s">
        <v>405</v>
      </c>
      <c r="M94" s="57" t="s">
        <v>407</v>
      </c>
      <c r="N94" s="58"/>
      <c r="O94" s="59"/>
      <c r="P94" s="28"/>
      <c r="Q94" s="28"/>
      <c r="R94" s="28"/>
      <c r="S94" s="28"/>
      <c r="T94" s="28"/>
      <c r="U94" s="1" t="s">
        <v>408</v>
      </c>
      <c r="V94" s="60" t="s">
        <v>409</v>
      </c>
      <c r="W94" s="1" t="s">
        <v>410</v>
      </c>
      <c r="X94" s="60" t="s">
        <v>411</v>
      </c>
      <c r="Z94" s="60" t="s">
        <v>412</v>
      </c>
      <c r="AA94" s="60" t="s">
        <v>413</v>
      </c>
    </row>
    <row r="95" spans="1:33" ht="15" customHeight="1">
      <c r="A95" s="49">
        <v>6</v>
      </c>
      <c r="B95" s="49" t="s">
        <v>23</v>
      </c>
      <c r="C95" s="50" t="s">
        <v>24</v>
      </c>
      <c r="D95" s="51" t="s">
        <v>401</v>
      </c>
      <c r="E95" s="51" t="s">
        <v>414</v>
      </c>
      <c r="F95" s="52" t="s">
        <v>379</v>
      </c>
      <c r="G95" s="53" t="s">
        <v>415</v>
      </c>
      <c r="H95" s="54"/>
      <c r="I95" s="42" t="s">
        <v>416</v>
      </c>
      <c r="J95" s="53" t="s">
        <v>417</v>
      </c>
      <c r="K95" s="54"/>
      <c r="L95" s="56" t="s">
        <v>405</v>
      </c>
      <c r="M95" s="53" t="s">
        <v>418</v>
      </c>
      <c r="N95" s="58"/>
      <c r="O95" s="59"/>
      <c r="P95" s="28"/>
      <c r="Q95" s="28"/>
      <c r="R95" s="28"/>
      <c r="S95" s="28"/>
      <c r="T95" s="28"/>
      <c r="U95" s="1" t="s">
        <v>419</v>
      </c>
      <c r="V95" s="60" t="s">
        <v>420</v>
      </c>
      <c r="W95" s="1" t="s">
        <v>408</v>
      </c>
      <c r="X95" s="60" t="s">
        <v>409</v>
      </c>
      <c r="Z95" s="60" t="s">
        <v>412</v>
      </c>
      <c r="AA95" s="60" t="s">
        <v>413</v>
      </c>
    </row>
    <row r="96" spans="1:33" ht="15" customHeight="1">
      <c r="A96" s="49">
        <v>6</v>
      </c>
      <c r="B96" s="49" t="s">
        <v>23</v>
      </c>
      <c r="C96" s="50" t="s">
        <v>24</v>
      </c>
      <c r="D96" s="51" t="s">
        <v>401</v>
      </c>
      <c r="E96" s="63" t="s">
        <v>557</v>
      </c>
      <c r="F96" s="52" t="s">
        <v>416</v>
      </c>
      <c r="G96" s="53" t="s">
        <v>422</v>
      </c>
      <c r="H96" s="54"/>
      <c r="I96" s="42" t="s">
        <v>416</v>
      </c>
      <c r="J96" s="53" t="s">
        <v>423</v>
      </c>
      <c r="K96" s="54"/>
      <c r="L96" s="56" t="s">
        <v>405</v>
      </c>
      <c r="M96" s="53" t="s">
        <v>424</v>
      </c>
      <c r="N96" s="58"/>
      <c r="O96" s="64"/>
      <c r="P96" s="28"/>
      <c r="Q96" s="28"/>
      <c r="R96" s="28"/>
      <c r="S96" s="28"/>
      <c r="T96" s="28"/>
      <c r="U96" s="1" t="s">
        <v>425</v>
      </c>
      <c r="V96" s="60" t="s">
        <v>426</v>
      </c>
      <c r="W96" s="1" t="s">
        <v>427</v>
      </c>
      <c r="X96" s="60" t="s">
        <v>428</v>
      </c>
      <c r="Z96" s="60" t="s">
        <v>412</v>
      </c>
      <c r="AA96" s="60" t="s">
        <v>413</v>
      </c>
    </row>
    <row r="97" spans="1:33" ht="15" customHeight="1">
      <c r="A97" s="49">
        <v>6</v>
      </c>
      <c r="B97" s="49" t="s">
        <v>23</v>
      </c>
      <c r="C97" s="50" t="s">
        <v>24</v>
      </c>
      <c r="D97" s="51" t="s">
        <v>429</v>
      </c>
      <c r="E97" s="51" t="s">
        <v>430</v>
      </c>
      <c r="F97" s="52" t="s">
        <v>379</v>
      </c>
      <c r="G97" s="53" t="s">
        <v>431</v>
      </c>
      <c r="H97" s="54"/>
      <c r="I97" s="42" t="s">
        <v>379</v>
      </c>
      <c r="J97" s="53" t="s">
        <v>565</v>
      </c>
      <c r="K97" s="54"/>
      <c r="L97" s="56" t="s">
        <v>405</v>
      </c>
      <c r="M97" s="53" t="s">
        <v>433</v>
      </c>
      <c r="N97" s="58"/>
      <c r="O97" s="59"/>
      <c r="P97" s="28"/>
      <c r="Q97" s="28"/>
      <c r="R97" s="28"/>
      <c r="S97" s="28"/>
      <c r="T97" s="28"/>
      <c r="U97" s="60" t="s">
        <v>434</v>
      </c>
      <c r="V97" s="60" t="s">
        <v>435</v>
      </c>
      <c r="W97" s="1" t="s">
        <v>436</v>
      </c>
      <c r="X97" s="60" t="s">
        <v>437</v>
      </c>
      <c r="Y97" s="1" t="s">
        <v>438</v>
      </c>
      <c r="Z97" s="60" t="s">
        <v>439</v>
      </c>
      <c r="AA97" s="1" t="s">
        <v>440</v>
      </c>
      <c r="AB97" s="60" t="s">
        <v>441</v>
      </c>
      <c r="AC97" s="1" t="s">
        <v>442</v>
      </c>
      <c r="AD97" s="60" t="s">
        <v>437</v>
      </c>
    </row>
    <row r="98" spans="1:33" ht="15" customHeight="1">
      <c r="A98" s="49">
        <v>6</v>
      </c>
      <c r="B98" s="49" t="s">
        <v>23</v>
      </c>
      <c r="C98" s="50" t="s">
        <v>24</v>
      </c>
      <c r="D98" s="51" t="s">
        <v>429</v>
      </c>
      <c r="E98" s="51" t="s">
        <v>443</v>
      </c>
      <c r="F98" s="52" t="s">
        <v>416</v>
      </c>
      <c r="G98" s="53" t="s">
        <v>444</v>
      </c>
      <c r="H98" s="54"/>
      <c r="I98" s="42" t="s">
        <v>416</v>
      </c>
      <c r="J98" s="53" t="s">
        <v>559</v>
      </c>
      <c r="L98" s="56" t="s">
        <v>405</v>
      </c>
      <c r="M98" s="53" t="s">
        <v>446</v>
      </c>
      <c r="N98" s="58"/>
      <c r="O98" s="59"/>
      <c r="P98" s="28"/>
      <c r="Q98" s="28"/>
      <c r="R98" s="28"/>
      <c r="S98" s="28"/>
      <c r="T98" s="28"/>
      <c r="U98" s="1" t="s">
        <v>447</v>
      </c>
      <c r="V98" s="60" t="s">
        <v>448</v>
      </c>
      <c r="W98" s="1" t="s">
        <v>449</v>
      </c>
      <c r="X98" s="60" t="s">
        <v>450</v>
      </c>
      <c r="Y98" s="1" t="s">
        <v>451</v>
      </c>
      <c r="Z98" s="60" t="s">
        <v>452</v>
      </c>
    </row>
    <row r="99" spans="1:33" ht="15" customHeight="1">
      <c r="A99" s="49">
        <v>6</v>
      </c>
      <c r="B99" s="49" t="s">
        <v>23</v>
      </c>
      <c r="C99" s="50" t="s">
        <v>24</v>
      </c>
      <c r="D99" s="51" t="s">
        <v>429</v>
      </c>
      <c r="E99" s="51" t="s">
        <v>453</v>
      </c>
      <c r="F99" s="42" t="s">
        <v>405</v>
      </c>
      <c r="G99" s="53" t="s">
        <v>454</v>
      </c>
      <c r="H99" s="54"/>
      <c r="I99" s="42" t="s">
        <v>416</v>
      </c>
      <c r="J99" s="53" t="s">
        <v>561</v>
      </c>
      <c r="K99" s="54"/>
      <c r="L99" s="56" t="s">
        <v>416</v>
      </c>
      <c r="M99" s="53" t="s">
        <v>456</v>
      </c>
      <c r="N99" s="58"/>
      <c r="O99" s="59"/>
      <c r="P99" s="28"/>
      <c r="Q99" s="28"/>
      <c r="R99" s="28"/>
      <c r="S99" s="28"/>
      <c r="T99" s="28"/>
      <c r="U99" s="1" t="s">
        <v>457</v>
      </c>
      <c r="V99" s="60" t="s">
        <v>458</v>
      </c>
      <c r="W99" s="1" t="s">
        <v>459</v>
      </c>
      <c r="X99" s="60" t="s">
        <v>460</v>
      </c>
      <c r="Y99" s="1" t="s">
        <v>447</v>
      </c>
      <c r="Z99" s="60" t="s">
        <v>448</v>
      </c>
    </row>
    <row r="100" spans="1:33" ht="15" customHeight="1">
      <c r="A100" s="49">
        <v>6</v>
      </c>
      <c r="B100" s="49" t="s">
        <v>23</v>
      </c>
      <c r="C100" s="50" t="s">
        <v>24</v>
      </c>
      <c r="D100" s="51" t="s">
        <v>429</v>
      </c>
      <c r="E100" s="51" t="s">
        <v>461</v>
      </c>
      <c r="F100" s="42" t="s">
        <v>377</v>
      </c>
      <c r="G100" s="53" t="s">
        <v>462</v>
      </c>
      <c r="H100" s="66"/>
      <c r="I100" s="42" t="s">
        <v>416</v>
      </c>
      <c r="J100" s="53" t="s">
        <v>463</v>
      </c>
      <c r="K100" s="54"/>
      <c r="L100" s="56" t="s">
        <v>377</v>
      </c>
      <c r="M100" s="53" t="s">
        <v>464</v>
      </c>
      <c r="N100" s="58"/>
      <c r="O100" s="59"/>
      <c r="P100" s="28"/>
      <c r="Q100" s="28"/>
      <c r="R100" s="28"/>
      <c r="S100" s="28"/>
      <c r="T100" s="28"/>
      <c r="U100" s="1" t="s">
        <v>465</v>
      </c>
      <c r="V100" s="60" t="s">
        <v>466</v>
      </c>
      <c r="W100" s="1" t="s">
        <v>467</v>
      </c>
      <c r="X100" s="60" t="s">
        <v>468</v>
      </c>
      <c r="Y100" s="1" t="s">
        <v>469</v>
      </c>
    </row>
    <row r="101" spans="1:33" ht="15" customHeight="1">
      <c r="A101" s="49">
        <v>6</v>
      </c>
      <c r="B101" s="49" t="s">
        <v>23</v>
      </c>
      <c r="C101" s="50" t="s">
        <v>24</v>
      </c>
      <c r="D101" s="51" t="s">
        <v>470</v>
      </c>
      <c r="E101" s="51" t="s">
        <v>471</v>
      </c>
      <c r="F101" s="42" t="s">
        <v>405</v>
      </c>
      <c r="G101" s="53" t="s">
        <v>472</v>
      </c>
      <c r="H101" s="54"/>
      <c r="I101" s="42" t="s">
        <v>416</v>
      </c>
      <c r="J101" s="53" t="s">
        <v>473</v>
      </c>
      <c r="K101" s="54"/>
      <c r="L101" s="56" t="s">
        <v>379</v>
      </c>
      <c r="M101" s="53" t="s">
        <v>474</v>
      </c>
      <c r="N101" s="58"/>
      <c r="O101" s="59"/>
      <c r="P101" s="28"/>
      <c r="Q101" s="28"/>
      <c r="R101" s="28"/>
      <c r="S101" s="28"/>
      <c r="T101" s="28"/>
      <c r="U101" s="1" t="s">
        <v>475</v>
      </c>
      <c r="V101" s="60" t="s">
        <v>476</v>
      </c>
    </row>
    <row r="102" spans="1:33" ht="15" customHeight="1">
      <c r="A102" s="49">
        <v>6</v>
      </c>
      <c r="B102" s="49" t="s">
        <v>23</v>
      </c>
      <c r="C102" s="50" t="s">
        <v>24</v>
      </c>
      <c r="D102" s="51" t="s">
        <v>470</v>
      </c>
      <c r="E102" s="51" t="s">
        <v>477</v>
      </c>
      <c r="F102" s="52" t="s">
        <v>379</v>
      </c>
      <c r="G102" s="53" t="s">
        <v>478</v>
      </c>
      <c r="H102" s="54"/>
      <c r="I102" s="42" t="s">
        <v>377</v>
      </c>
      <c r="J102" s="53" t="s">
        <v>563</v>
      </c>
      <c r="K102" s="54"/>
      <c r="L102" s="56" t="s">
        <v>379</v>
      </c>
      <c r="M102" s="53" t="s">
        <v>480</v>
      </c>
      <c r="N102" s="58"/>
      <c r="O102" s="59"/>
      <c r="P102" s="28"/>
      <c r="Q102" s="28"/>
      <c r="R102" s="28"/>
      <c r="S102" s="28"/>
      <c r="T102" s="28"/>
      <c r="U102" s="1" t="s">
        <v>481</v>
      </c>
      <c r="V102" s="60" t="s">
        <v>482</v>
      </c>
    </row>
    <row r="103" spans="1:33" ht="15" customHeight="1">
      <c r="A103" s="49">
        <v>6</v>
      </c>
      <c r="B103" s="49" t="s">
        <v>23</v>
      </c>
      <c r="C103" s="50" t="s">
        <v>24</v>
      </c>
      <c r="D103" s="51" t="s">
        <v>483</v>
      </c>
      <c r="E103" s="51" t="s">
        <v>484</v>
      </c>
      <c r="F103" s="42" t="s">
        <v>405</v>
      </c>
      <c r="G103" s="53" t="s">
        <v>485</v>
      </c>
      <c r="H103" s="54"/>
      <c r="I103" s="42" t="s">
        <v>416</v>
      </c>
      <c r="J103" s="53" t="s">
        <v>486</v>
      </c>
      <c r="K103" s="54"/>
      <c r="L103" s="56" t="s">
        <v>487</v>
      </c>
      <c r="M103" s="53" t="s">
        <v>488</v>
      </c>
      <c r="N103" s="58"/>
      <c r="O103" s="59"/>
      <c r="P103" s="28"/>
      <c r="Q103" s="28"/>
      <c r="R103" s="28"/>
      <c r="S103" s="28"/>
      <c r="T103" s="28"/>
      <c r="U103" s="1" t="s">
        <v>489</v>
      </c>
      <c r="V103" s="60" t="s">
        <v>490</v>
      </c>
      <c r="W103" s="1" t="s">
        <v>491</v>
      </c>
      <c r="X103" s="60" t="s">
        <v>492</v>
      </c>
      <c r="Y103" s="1" t="s">
        <v>493</v>
      </c>
      <c r="Z103" s="60" t="s">
        <v>494</v>
      </c>
    </row>
    <row r="104" spans="1:33" ht="15" customHeight="1">
      <c r="A104" s="49">
        <v>6</v>
      </c>
      <c r="B104" s="49" t="s">
        <v>23</v>
      </c>
      <c r="C104" s="50" t="s">
        <v>24</v>
      </c>
      <c r="D104" s="51" t="s">
        <v>483</v>
      </c>
      <c r="E104" s="51" t="s">
        <v>495</v>
      </c>
      <c r="F104" s="52" t="s">
        <v>379</v>
      </c>
      <c r="G104" s="53" t="s">
        <v>378</v>
      </c>
      <c r="H104" s="54"/>
      <c r="I104" s="42" t="s">
        <v>416</v>
      </c>
      <c r="J104" s="53" t="s">
        <v>496</v>
      </c>
      <c r="K104" s="54"/>
      <c r="L104" s="56" t="s">
        <v>416</v>
      </c>
      <c r="M104" s="53" t="s">
        <v>497</v>
      </c>
      <c r="N104" s="58"/>
      <c r="O104" s="59"/>
      <c r="P104" s="28"/>
      <c r="Q104" s="28"/>
      <c r="R104" s="28"/>
      <c r="S104" s="28"/>
      <c r="T104" s="28"/>
    </row>
    <row r="105" spans="1:33" ht="15" customHeight="1">
      <c r="A105" s="49">
        <v>6</v>
      </c>
      <c r="B105" s="49" t="s">
        <v>23</v>
      </c>
      <c r="C105" s="50" t="s">
        <v>24</v>
      </c>
      <c r="D105" s="51" t="s">
        <v>483</v>
      </c>
      <c r="E105" s="51" t="s">
        <v>498</v>
      </c>
      <c r="F105" s="52" t="s">
        <v>379</v>
      </c>
      <c r="G105" s="53" t="s">
        <v>499</v>
      </c>
      <c r="H105" s="54"/>
      <c r="I105" s="42" t="s">
        <v>379</v>
      </c>
      <c r="J105" s="53" t="s">
        <v>500</v>
      </c>
      <c r="K105" s="54"/>
      <c r="L105" s="56" t="s">
        <v>377</v>
      </c>
      <c r="M105" s="53" t="s">
        <v>501</v>
      </c>
      <c r="N105" s="58"/>
      <c r="O105" s="59"/>
      <c r="P105" s="28"/>
      <c r="Q105" s="28"/>
      <c r="R105" s="28"/>
      <c r="S105" s="28"/>
      <c r="T105" s="28"/>
      <c r="U105" s="60" t="s">
        <v>502</v>
      </c>
      <c r="V105" s="60" t="s">
        <v>503</v>
      </c>
      <c r="W105" s="1" t="s">
        <v>504</v>
      </c>
      <c r="X105" s="60" t="s">
        <v>505</v>
      </c>
    </row>
    <row r="106" spans="1:33" ht="15" customHeight="1">
      <c r="A106" s="49">
        <v>6</v>
      </c>
      <c r="B106" s="49" t="s">
        <v>23</v>
      </c>
      <c r="C106" s="50" t="s">
        <v>24</v>
      </c>
      <c r="D106" s="51" t="s">
        <v>483</v>
      </c>
      <c r="E106" s="51" t="s">
        <v>506</v>
      </c>
      <c r="F106" s="42" t="s">
        <v>405</v>
      </c>
      <c r="G106" s="53" t="s">
        <v>507</v>
      </c>
      <c r="H106" s="54"/>
      <c r="I106" s="42" t="s">
        <v>379</v>
      </c>
      <c r="J106" s="53" t="s">
        <v>508</v>
      </c>
      <c r="K106" s="54"/>
      <c r="L106" s="56" t="s">
        <v>377</v>
      </c>
      <c r="M106" s="53" t="s">
        <v>509</v>
      </c>
      <c r="N106" s="58"/>
      <c r="O106" s="59"/>
      <c r="P106" s="28"/>
      <c r="Q106" s="28"/>
      <c r="R106" s="28"/>
      <c r="S106" s="28"/>
      <c r="T106" s="28"/>
      <c r="U106" s="60" t="s">
        <v>510</v>
      </c>
      <c r="V106" s="60" t="s">
        <v>511</v>
      </c>
      <c r="W106" s="1" t="s">
        <v>512</v>
      </c>
      <c r="X106" s="60" t="s">
        <v>513</v>
      </c>
    </row>
    <row r="107" spans="1:33" ht="15" customHeight="1">
      <c r="A107" s="49">
        <v>6</v>
      </c>
      <c r="B107" s="49" t="s">
        <v>23</v>
      </c>
      <c r="C107" s="50" t="s">
        <v>24</v>
      </c>
      <c r="D107" s="51" t="s">
        <v>514</v>
      </c>
      <c r="E107" s="51" t="s">
        <v>515</v>
      </c>
      <c r="F107" s="52" t="s">
        <v>379</v>
      </c>
      <c r="G107" s="53" t="s">
        <v>516</v>
      </c>
      <c r="H107" s="54"/>
      <c r="I107" s="42" t="s">
        <v>416</v>
      </c>
      <c r="J107" s="67" t="s">
        <v>517</v>
      </c>
      <c r="K107" s="54"/>
      <c r="L107" s="56" t="s">
        <v>377</v>
      </c>
      <c r="M107" s="53" t="s">
        <v>518</v>
      </c>
      <c r="N107" s="58"/>
      <c r="O107" s="59"/>
      <c r="P107" s="28"/>
      <c r="Q107" s="28"/>
      <c r="R107" s="28"/>
      <c r="S107" s="28"/>
      <c r="T107" s="28"/>
      <c r="U107" s="1" t="s">
        <v>519</v>
      </c>
      <c r="V107" s="60" t="s">
        <v>520</v>
      </c>
      <c r="W107" s="1" t="s">
        <v>521</v>
      </c>
      <c r="X107" s="60" t="s">
        <v>522</v>
      </c>
    </row>
    <row r="108" spans="1:33" ht="15" customHeight="1">
      <c r="A108" s="49">
        <v>6</v>
      </c>
      <c r="B108" s="49" t="s">
        <v>23</v>
      </c>
      <c r="C108" s="50" t="s">
        <v>24</v>
      </c>
      <c r="D108" s="51" t="s">
        <v>514</v>
      </c>
      <c r="E108" s="51" t="s">
        <v>523</v>
      </c>
      <c r="F108" s="42" t="s">
        <v>379</v>
      </c>
      <c r="G108" s="53" t="s">
        <v>524</v>
      </c>
      <c r="H108" s="54"/>
      <c r="I108" s="42" t="s">
        <v>416</v>
      </c>
      <c r="J108" s="67" t="s">
        <v>525</v>
      </c>
      <c r="K108" s="54"/>
      <c r="L108" s="56" t="s">
        <v>405</v>
      </c>
      <c r="M108" s="53" t="s">
        <v>526</v>
      </c>
      <c r="N108" s="58"/>
      <c r="O108" s="59"/>
      <c r="P108" s="28"/>
      <c r="Q108" s="28"/>
      <c r="R108" s="28"/>
      <c r="S108" s="28"/>
      <c r="T108" s="28"/>
      <c r="U108" s="1" t="s">
        <v>519</v>
      </c>
      <c r="V108" s="60" t="s">
        <v>520</v>
      </c>
      <c r="W108" s="1" t="s">
        <v>521</v>
      </c>
      <c r="X108" s="60" t="s">
        <v>522</v>
      </c>
    </row>
    <row r="109" spans="1:33" ht="15" customHeight="1">
      <c r="A109" s="49">
        <v>6</v>
      </c>
      <c r="B109" s="49" t="s">
        <v>23</v>
      </c>
      <c r="C109" s="50" t="s">
        <v>24</v>
      </c>
      <c r="D109" s="51" t="s">
        <v>514</v>
      </c>
      <c r="E109" s="51" t="s">
        <v>527</v>
      </c>
      <c r="F109" s="42" t="s">
        <v>379</v>
      </c>
      <c r="G109" s="53" t="s">
        <v>378</v>
      </c>
      <c r="H109" s="54"/>
      <c r="I109" s="42" t="s">
        <v>377</v>
      </c>
      <c r="J109" s="53" t="s">
        <v>528</v>
      </c>
      <c r="K109" s="54"/>
      <c r="L109" s="56" t="s">
        <v>379</v>
      </c>
      <c r="M109" s="53" t="s">
        <v>529</v>
      </c>
      <c r="N109" s="58"/>
      <c r="O109" s="59"/>
      <c r="P109" s="28"/>
      <c r="Q109" s="28"/>
      <c r="R109" s="28"/>
      <c r="S109" s="28"/>
      <c r="T109" s="28"/>
      <c r="U109" s="1" t="s">
        <v>521</v>
      </c>
      <c r="V109" s="60" t="s">
        <v>522</v>
      </c>
    </row>
    <row r="110" spans="1:33" ht="15" customHeight="1">
      <c r="A110" s="49">
        <v>6</v>
      </c>
      <c r="B110" s="49" t="s">
        <v>23</v>
      </c>
      <c r="C110" s="50" t="s">
        <v>24</v>
      </c>
      <c r="D110" s="51" t="s">
        <v>530</v>
      </c>
      <c r="E110" s="51" t="s">
        <v>531</v>
      </c>
      <c r="F110" s="42" t="s">
        <v>405</v>
      </c>
      <c r="G110" s="53" t="s">
        <v>532</v>
      </c>
      <c r="H110" s="54"/>
      <c r="I110" s="42" t="s">
        <v>379</v>
      </c>
      <c r="J110" s="53" t="s">
        <v>533</v>
      </c>
      <c r="L110" s="56" t="s">
        <v>377</v>
      </c>
      <c r="M110" s="53" t="s">
        <v>534</v>
      </c>
      <c r="O110" s="53" t="s">
        <v>535</v>
      </c>
      <c r="P110" s="28"/>
      <c r="Q110" s="28"/>
      <c r="R110" s="28"/>
      <c r="S110" s="28"/>
      <c r="T110" s="28"/>
      <c r="U110" s="1" t="s">
        <v>536</v>
      </c>
      <c r="V110" s="60" t="s">
        <v>537</v>
      </c>
      <c r="W110" s="1" t="s">
        <v>538</v>
      </c>
      <c r="X110" s="60" t="s">
        <v>539</v>
      </c>
      <c r="Y110" s="1" t="s">
        <v>540</v>
      </c>
      <c r="Z110" s="60" t="s">
        <v>541</v>
      </c>
      <c r="AA110" s="1" t="s">
        <v>542</v>
      </c>
      <c r="AB110" s="60" t="s">
        <v>543</v>
      </c>
    </row>
    <row r="111" spans="1:33" ht="15" customHeight="1">
      <c r="A111" s="49">
        <v>6</v>
      </c>
      <c r="B111" s="49" t="s">
        <v>23</v>
      </c>
      <c r="C111" s="50" t="s">
        <v>24</v>
      </c>
      <c r="D111" s="51" t="s">
        <v>530</v>
      </c>
      <c r="E111" s="51" t="s">
        <v>544</v>
      </c>
      <c r="F111" s="42" t="s">
        <v>405</v>
      </c>
      <c r="G111" s="53" t="s">
        <v>545</v>
      </c>
      <c r="H111" s="54"/>
      <c r="I111" s="42" t="s">
        <v>379</v>
      </c>
      <c r="J111" s="53" t="s">
        <v>546</v>
      </c>
      <c r="L111" s="56" t="s">
        <v>377</v>
      </c>
      <c r="M111" s="53" t="s">
        <v>534</v>
      </c>
      <c r="N111" s="58"/>
      <c r="O111" s="53" t="s">
        <v>535</v>
      </c>
      <c r="P111" s="28"/>
      <c r="Q111" s="28"/>
      <c r="R111" s="28"/>
      <c r="S111" s="28"/>
      <c r="T111" s="28"/>
      <c r="U111" s="1" t="s">
        <v>536</v>
      </c>
      <c r="V111" s="60" t="s">
        <v>537</v>
      </c>
      <c r="W111" s="1" t="s">
        <v>538</v>
      </c>
      <c r="X111" s="60" t="s">
        <v>539</v>
      </c>
      <c r="Y111" s="1" t="s">
        <v>540</v>
      </c>
      <c r="Z111" s="60" t="s">
        <v>541</v>
      </c>
      <c r="AA111" s="1" t="s">
        <v>542</v>
      </c>
      <c r="AB111" s="60" t="s">
        <v>543</v>
      </c>
    </row>
    <row r="112" spans="1:33" ht="15" customHeight="1">
      <c r="A112" s="49">
        <v>6</v>
      </c>
      <c r="B112" s="49" t="s">
        <v>23</v>
      </c>
      <c r="C112" s="50" t="s">
        <v>24</v>
      </c>
      <c r="D112" s="63" t="s">
        <v>547</v>
      </c>
      <c r="E112" s="57" t="s">
        <v>378</v>
      </c>
      <c r="F112" s="52" t="s">
        <v>379</v>
      </c>
      <c r="G112" s="57" t="s">
        <v>548</v>
      </c>
      <c r="H112" s="57"/>
      <c r="I112" s="43" t="s">
        <v>377</v>
      </c>
      <c r="J112" s="57" t="s">
        <v>549</v>
      </c>
      <c r="K112" s="69"/>
      <c r="L112" s="70" t="s">
        <v>416</v>
      </c>
      <c r="M112" s="57" t="s">
        <v>550</v>
      </c>
      <c r="N112" s="71"/>
      <c r="O112" s="71"/>
      <c r="P112" s="72"/>
      <c r="Q112" s="72"/>
      <c r="R112" s="72"/>
      <c r="S112" s="72"/>
      <c r="T112" s="72"/>
      <c r="U112" s="1" t="s">
        <v>551</v>
      </c>
      <c r="V112" s="60" t="s">
        <v>552</v>
      </c>
      <c r="W112" s="1" t="s">
        <v>553</v>
      </c>
      <c r="X112" s="73" t="s">
        <v>554</v>
      </c>
      <c r="Y112" s="1" t="s">
        <v>555</v>
      </c>
      <c r="Z112" s="60" t="s">
        <v>556</v>
      </c>
      <c r="AB112" s="74"/>
      <c r="AC112" s="74"/>
      <c r="AD112" s="74"/>
      <c r="AE112" s="74"/>
      <c r="AF112" s="74"/>
      <c r="AG112" s="75"/>
    </row>
    <row r="113" spans="1:33" ht="15" customHeight="1">
      <c r="A113" s="49">
        <v>7</v>
      </c>
      <c r="B113" s="49" t="s">
        <v>25</v>
      </c>
      <c r="C113" s="50" t="s">
        <v>24</v>
      </c>
      <c r="D113" s="51" t="s">
        <v>375</v>
      </c>
      <c r="E113" s="51" t="s">
        <v>376</v>
      </c>
      <c r="F113" s="52" t="s">
        <v>377</v>
      </c>
      <c r="G113" s="53" t="s">
        <v>378</v>
      </c>
      <c r="H113" s="54"/>
      <c r="I113" s="42" t="s">
        <v>379</v>
      </c>
      <c r="J113" s="55" t="s">
        <v>380</v>
      </c>
      <c r="K113" s="54"/>
      <c r="L113" s="56" t="s">
        <v>377</v>
      </c>
      <c r="M113" s="57" t="s">
        <v>381</v>
      </c>
      <c r="N113" s="58"/>
      <c r="O113" s="59"/>
      <c r="P113" s="28" t="s">
        <v>13</v>
      </c>
      <c r="Q113" s="28" t="s">
        <v>14</v>
      </c>
      <c r="R113" s="28" t="s">
        <v>13</v>
      </c>
      <c r="S113" s="28"/>
      <c r="T113" s="28"/>
    </row>
    <row r="114" spans="1:33" ht="15" customHeight="1">
      <c r="A114" s="49">
        <v>7</v>
      </c>
      <c r="B114" s="49" t="s">
        <v>25</v>
      </c>
      <c r="C114" s="50" t="s">
        <v>24</v>
      </c>
      <c r="D114" s="51" t="s">
        <v>375</v>
      </c>
      <c r="E114" s="51" t="s">
        <v>382</v>
      </c>
      <c r="F114" s="42" t="s">
        <v>379</v>
      </c>
      <c r="G114" s="53" t="s">
        <v>383</v>
      </c>
      <c r="H114" s="54"/>
      <c r="I114" s="42" t="s">
        <v>379</v>
      </c>
      <c r="J114" s="55" t="s">
        <v>380</v>
      </c>
      <c r="K114" s="54"/>
      <c r="L114" s="56" t="s">
        <v>377</v>
      </c>
      <c r="M114" s="57" t="s">
        <v>384</v>
      </c>
      <c r="N114" s="58"/>
      <c r="O114" s="59"/>
      <c r="P114" s="28"/>
      <c r="Q114" s="28"/>
      <c r="R114" s="28"/>
      <c r="S114" s="28"/>
      <c r="T114" s="28"/>
    </row>
    <row r="115" spans="1:33" ht="15" customHeight="1">
      <c r="A115" s="49">
        <v>7</v>
      </c>
      <c r="B115" s="49" t="s">
        <v>25</v>
      </c>
      <c r="C115" s="50" t="s">
        <v>24</v>
      </c>
      <c r="D115" s="51" t="s">
        <v>375</v>
      </c>
      <c r="E115" s="51" t="s">
        <v>385</v>
      </c>
      <c r="F115" s="42" t="s">
        <v>379</v>
      </c>
      <c r="G115" s="57" t="s">
        <v>386</v>
      </c>
      <c r="H115" s="54"/>
      <c r="I115" s="42" t="s">
        <v>379</v>
      </c>
      <c r="J115" s="55" t="s">
        <v>387</v>
      </c>
      <c r="K115" s="54"/>
      <c r="L115" s="56" t="s">
        <v>377</v>
      </c>
      <c r="M115" s="57" t="s">
        <v>388</v>
      </c>
      <c r="N115" s="58"/>
      <c r="O115" s="61"/>
      <c r="P115" s="28"/>
      <c r="Q115" s="28"/>
      <c r="R115" s="28"/>
      <c r="S115" s="28"/>
      <c r="T115" s="28"/>
      <c r="U115" s="62" t="s">
        <v>389</v>
      </c>
      <c r="V115" s="60" t="s">
        <v>390</v>
      </c>
      <c r="W115" s="60" t="s">
        <v>391</v>
      </c>
      <c r="X115" s="60" t="s">
        <v>392</v>
      </c>
      <c r="Y115" s="1" t="s">
        <v>393</v>
      </c>
      <c r="Z115" s="60" t="s">
        <v>394</v>
      </c>
      <c r="AA115" s="1" t="s">
        <v>395</v>
      </c>
      <c r="AB115" s="60" t="s">
        <v>396</v>
      </c>
      <c r="AE115" s="40" t="s">
        <v>397</v>
      </c>
      <c r="AF115" s="27" t="s">
        <v>398</v>
      </c>
      <c r="AG115" s="40" t="s">
        <v>399</v>
      </c>
    </row>
    <row r="116" spans="1:33" ht="15" customHeight="1">
      <c r="A116" s="49">
        <v>7</v>
      </c>
      <c r="B116" s="49" t="s">
        <v>25</v>
      </c>
      <c r="C116" s="50" t="s">
        <v>24</v>
      </c>
      <c r="D116" s="51" t="s">
        <v>401</v>
      </c>
      <c r="E116" s="51" t="s">
        <v>402</v>
      </c>
      <c r="F116" s="56" t="s">
        <v>403</v>
      </c>
      <c r="G116" s="53" t="s">
        <v>404</v>
      </c>
      <c r="H116" s="54"/>
      <c r="I116" s="42" t="s">
        <v>405</v>
      </c>
      <c r="J116" s="53" t="s">
        <v>406</v>
      </c>
      <c r="K116" s="54"/>
      <c r="L116" s="56" t="s">
        <v>405</v>
      </c>
      <c r="M116" s="57" t="s">
        <v>407</v>
      </c>
      <c r="N116" s="58"/>
      <c r="O116" s="59"/>
      <c r="P116" s="28"/>
      <c r="Q116" s="28"/>
      <c r="R116" s="28"/>
      <c r="S116" s="28"/>
      <c r="T116" s="28"/>
      <c r="U116" s="1" t="s">
        <v>408</v>
      </c>
      <c r="V116" s="60" t="s">
        <v>409</v>
      </c>
      <c r="W116" s="1" t="s">
        <v>410</v>
      </c>
      <c r="X116" s="60" t="s">
        <v>411</v>
      </c>
      <c r="Z116" s="60" t="s">
        <v>412</v>
      </c>
      <c r="AA116" s="60" t="s">
        <v>413</v>
      </c>
    </row>
    <row r="117" spans="1:33" ht="15" customHeight="1">
      <c r="A117" s="49">
        <v>7</v>
      </c>
      <c r="B117" s="49" t="s">
        <v>25</v>
      </c>
      <c r="C117" s="50" t="s">
        <v>24</v>
      </c>
      <c r="D117" s="51" t="s">
        <v>401</v>
      </c>
      <c r="E117" s="51" t="s">
        <v>414</v>
      </c>
      <c r="F117" s="52" t="s">
        <v>379</v>
      </c>
      <c r="G117" s="53" t="s">
        <v>415</v>
      </c>
      <c r="H117" s="54"/>
      <c r="I117" s="42" t="s">
        <v>416</v>
      </c>
      <c r="J117" s="53" t="s">
        <v>417</v>
      </c>
      <c r="K117" s="54"/>
      <c r="L117" s="56" t="s">
        <v>405</v>
      </c>
      <c r="M117" s="53" t="s">
        <v>418</v>
      </c>
      <c r="N117" s="58"/>
      <c r="O117" s="59"/>
      <c r="P117" s="28"/>
      <c r="Q117" s="28"/>
      <c r="R117" s="28"/>
      <c r="S117" s="28"/>
      <c r="T117" s="28"/>
      <c r="U117" s="1" t="s">
        <v>419</v>
      </c>
      <c r="V117" s="60" t="s">
        <v>420</v>
      </c>
      <c r="W117" s="1" t="s">
        <v>408</v>
      </c>
      <c r="X117" s="60" t="s">
        <v>409</v>
      </c>
      <c r="Z117" s="60" t="s">
        <v>412</v>
      </c>
      <c r="AA117" s="60" t="s">
        <v>413</v>
      </c>
    </row>
    <row r="118" spans="1:33" ht="15" customHeight="1">
      <c r="A118" s="49">
        <v>7</v>
      </c>
      <c r="B118" s="49" t="s">
        <v>25</v>
      </c>
      <c r="C118" s="50" t="s">
        <v>24</v>
      </c>
      <c r="D118" s="51" t="s">
        <v>401</v>
      </c>
      <c r="E118" s="63" t="s">
        <v>557</v>
      </c>
      <c r="F118" s="52" t="s">
        <v>416</v>
      </c>
      <c r="G118" s="53" t="s">
        <v>422</v>
      </c>
      <c r="H118" s="54"/>
      <c r="I118" s="42" t="s">
        <v>416</v>
      </c>
      <c r="J118" s="53" t="s">
        <v>423</v>
      </c>
      <c r="K118" s="54"/>
      <c r="L118" s="56" t="s">
        <v>405</v>
      </c>
      <c r="M118" s="53" t="s">
        <v>424</v>
      </c>
      <c r="N118" s="58"/>
      <c r="O118" s="64"/>
      <c r="P118" s="28"/>
      <c r="Q118" s="28"/>
      <c r="R118" s="28"/>
      <c r="S118" s="28"/>
      <c r="T118" s="28"/>
      <c r="U118" s="1" t="s">
        <v>425</v>
      </c>
      <c r="V118" s="60" t="s">
        <v>426</v>
      </c>
      <c r="W118" s="1" t="s">
        <v>427</v>
      </c>
      <c r="X118" s="60" t="s">
        <v>428</v>
      </c>
      <c r="Z118" s="60" t="s">
        <v>412</v>
      </c>
      <c r="AA118" s="60" t="s">
        <v>413</v>
      </c>
    </row>
    <row r="119" spans="1:33" ht="15" customHeight="1">
      <c r="A119" s="49">
        <v>8</v>
      </c>
      <c r="B119" s="49" t="s">
        <v>26</v>
      </c>
      <c r="C119" s="50" t="s">
        <v>24</v>
      </c>
      <c r="D119" s="51" t="s">
        <v>429</v>
      </c>
      <c r="E119" s="51" t="s">
        <v>430</v>
      </c>
      <c r="F119" s="52" t="s">
        <v>379</v>
      </c>
      <c r="G119" s="53" t="s">
        <v>431</v>
      </c>
      <c r="H119" s="54"/>
      <c r="I119" s="42" t="s">
        <v>379</v>
      </c>
      <c r="J119" s="53" t="s">
        <v>565</v>
      </c>
      <c r="K119" s="54"/>
      <c r="L119" s="56" t="s">
        <v>405</v>
      </c>
      <c r="M119" s="53" t="s">
        <v>433</v>
      </c>
      <c r="N119" s="58"/>
      <c r="O119" s="59"/>
      <c r="P119" s="28"/>
      <c r="Q119" s="28"/>
      <c r="R119" s="28"/>
      <c r="S119" s="28"/>
      <c r="T119" s="28"/>
      <c r="U119" s="60" t="s">
        <v>434</v>
      </c>
      <c r="V119" s="60" t="s">
        <v>435</v>
      </c>
      <c r="W119" s="1" t="s">
        <v>436</v>
      </c>
      <c r="X119" s="60" t="s">
        <v>437</v>
      </c>
      <c r="Y119" s="1" t="s">
        <v>438</v>
      </c>
      <c r="Z119" s="60" t="s">
        <v>439</v>
      </c>
      <c r="AA119" s="1" t="s">
        <v>440</v>
      </c>
      <c r="AB119" s="60" t="s">
        <v>441</v>
      </c>
      <c r="AC119" s="1" t="s">
        <v>442</v>
      </c>
      <c r="AD119" s="60" t="s">
        <v>437</v>
      </c>
    </row>
    <row r="120" spans="1:33" ht="15" customHeight="1">
      <c r="A120" s="49">
        <v>7</v>
      </c>
      <c r="B120" s="49" t="s">
        <v>25</v>
      </c>
      <c r="C120" s="50" t="s">
        <v>24</v>
      </c>
      <c r="D120" s="51" t="s">
        <v>429</v>
      </c>
      <c r="E120" s="51" t="s">
        <v>443</v>
      </c>
      <c r="F120" s="52" t="s">
        <v>416</v>
      </c>
      <c r="G120" s="53" t="s">
        <v>444</v>
      </c>
      <c r="H120" s="54"/>
      <c r="I120" s="42" t="s">
        <v>416</v>
      </c>
      <c r="J120" s="53" t="s">
        <v>559</v>
      </c>
      <c r="L120" s="56" t="s">
        <v>405</v>
      </c>
      <c r="M120" s="53" t="s">
        <v>446</v>
      </c>
      <c r="N120" s="58"/>
      <c r="O120" s="59"/>
      <c r="P120" s="28"/>
      <c r="Q120" s="28"/>
      <c r="R120" s="28"/>
      <c r="S120" s="28"/>
      <c r="T120" s="28"/>
      <c r="U120" s="1" t="s">
        <v>447</v>
      </c>
      <c r="V120" s="60" t="s">
        <v>448</v>
      </c>
      <c r="W120" s="1" t="s">
        <v>449</v>
      </c>
      <c r="X120" s="60" t="s">
        <v>450</v>
      </c>
      <c r="Y120" s="1" t="s">
        <v>451</v>
      </c>
      <c r="Z120" s="60" t="s">
        <v>452</v>
      </c>
    </row>
    <row r="121" spans="1:33" ht="15" customHeight="1">
      <c r="A121" s="49">
        <v>7</v>
      </c>
      <c r="B121" s="49" t="s">
        <v>25</v>
      </c>
      <c r="C121" s="50" t="s">
        <v>24</v>
      </c>
      <c r="D121" s="51" t="s">
        <v>429</v>
      </c>
      <c r="E121" s="51" t="s">
        <v>453</v>
      </c>
      <c r="F121" s="42" t="s">
        <v>405</v>
      </c>
      <c r="G121" s="53" t="s">
        <v>454</v>
      </c>
      <c r="H121" s="54"/>
      <c r="I121" s="42" t="s">
        <v>416</v>
      </c>
      <c r="J121" s="53" t="s">
        <v>561</v>
      </c>
      <c r="K121" s="54"/>
      <c r="L121" s="56" t="s">
        <v>416</v>
      </c>
      <c r="M121" s="53" t="s">
        <v>456</v>
      </c>
      <c r="N121" s="58"/>
      <c r="O121" s="59"/>
      <c r="P121" s="28"/>
      <c r="Q121" s="28"/>
      <c r="R121" s="28"/>
      <c r="S121" s="28"/>
      <c r="T121" s="28"/>
      <c r="U121" s="1" t="s">
        <v>457</v>
      </c>
      <c r="V121" s="60" t="s">
        <v>458</v>
      </c>
      <c r="W121" s="1" t="s">
        <v>459</v>
      </c>
      <c r="X121" s="60" t="s">
        <v>460</v>
      </c>
      <c r="Y121" s="1" t="s">
        <v>447</v>
      </c>
      <c r="Z121" s="60" t="s">
        <v>448</v>
      </c>
    </row>
    <row r="122" spans="1:33" ht="15" customHeight="1">
      <c r="A122" s="49">
        <v>7</v>
      </c>
      <c r="B122" s="49" t="s">
        <v>25</v>
      </c>
      <c r="C122" s="50" t="s">
        <v>24</v>
      </c>
      <c r="D122" s="51" t="s">
        <v>429</v>
      </c>
      <c r="E122" s="51" t="s">
        <v>461</v>
      </c>
      <c r="F122" s="42" t="s">
        <v>377</v>
      </c>
      <c r="G122" s="53" t="s">
        <v>462</v>
      </c>
      <c r="H122" s="66"/>
      <c r="I122" s="42" t="s">
        <v>416</v>
      </c>
      <c r="J122" s="53" t="s">
        <v>463</v>
      </c>
      <c r="K122" s="54"/>
      <c r="L122" s="56" t="s">
        <v>377</v>
      </c>
      <c r="M122" s="53" t="s">
        <v>464</v>
      </c>
      <c r="N122" s="58"/>
      <c r="O122" s="59"/>
      <c r="P122" s="28"/>
      <c r="Q122" s="28"/>
      <c r="R122" s="28"/>
      <c r="S122" s="28"/>
      <c r="T122" s="28"/>
      <c r="U122" s="1" t="s">
        <v>465</v>
      </c>
      <c r="V122" s="60" t="s">
        <v>466</v>
      </c>
      <c r="W122" s="1" t="s">
        <v>467</v>
      </c>
      <c r="X122" s="60" t="s">
        <v>468</v>
      </c>
      <c r="Y122" s="1" t="s">
        <v>469</v>
      </c>
    </row>
    <row r="123" spans="1:33" ht="15" customHeight="1">
      <c r="A123" s="49">
        <v>7</v>
      </c>
      <c r="B123" s="49" t="s">
        <v>25</v>
      </c>
      <c r="C123" s="50" t="s">
        <v>24</v>
      </c>
      <c r="D123" s="51" t="s">
        <v>470</v>
      </c>
      <c r="E123" s="51" t="s">
        <v>471</v>
      </c>
      <c r="F123" s="42" t="s">
        <v>405</v>
      </c>
      <c r="G123" s="53" t="s">
        <v>472</v>
      </c>
      <c r="H123" s="54"/>
      <c r="I123" s="42" t="s">
        <v>416</v>
      </c>
      <c r="J123" s="53" t="s">
        <v>473</v>
      </c>
      <c r="K123" s="54"/>
      <c r="L123" s="56" t="s">
        <v>379</v>
      </c>
      <c r="M123" s="53" t="s">
        <v>474</v>
      </c>
      <c r="N123" s="58"/>
      <c r="O123" s="59"/>
      <c r="P123" s="28"/>
      <c r="Q123" s="28"/>
      <c r="R123" s="28"/>
      <c r="S123" s="28"/>
      <c r="T123" s="28"/>
      <c r="U123" s="1" t="s">
        <v>475</v>
      </c>
      <c r="V123" s="60" t="s">
        <v>476</v>
      </c>
    </row>
    <row r="124" spans="1:33" ht="15" customHeight="1">
      <c r="A124" s="49">
        <v>7</v>
      </c>
      <c r="B124" s="49" t="s">
        <v>25</v>
      </c>
      <c r="C124" s="50" t="s">
        <v>24</v>
      </c>
      <c r="D124" s="51" t="s">
        <v>470</v>
      </c>
      <c r="E124" s="51" t="s">
        <v>477</v>
      </c>
      <c r="F124" s="52" t="s">
        <v>379</v>
      </c>
      <c r="G124" s="53" t="s">
        <v>478</v>
      </c>
      <c r="H124" s="54"/>
      <c r="I124" s="42" t="s">
        <v>377</v>
      </c>
      <c r="J124" s="53" t="s">
        <v>563</v>
      </c>
      <c r="K124" s="54"/>
      <c r="L124" s="56" t="s">
        <v>379</v>
      </c>
      <c r="M124" s="53" t="s">
        <v>480</v>
      </c>
      <c r="N124" s="58"/>
      <c r="O124" s="59"/>
      <c r="P124" s="28"/>
      <c r="Q124" s="28"/>
      <c r="R124" s="28"/>
      <c r="S124" s="28"/>
      <c r="T124" s="28"/>
      <c r="U124" s="1" t="s">
        <v>481</v>
      </c>
      <c r="V124" s="60" t="s">
        <v>482</v>
      </c>
    </row>
    <row r="125" spans="1:33" ht="15" customHeight="1">
      <c r="A125" s="49">
        <v>7</v>
      </c>
      <c r="B125" s="49" t="s">
        <v>25</v>
      </c>
      <c r="C125" s="50" t="s">
        <v>24</v>
      </c>
      <c r="D125" s="51" t="s">
        <v>483</v>
      </c>
      <c r="E125" s="51" t="s">
        <v>484</v>
      </c>
      <c r="F125" s="42" t="s">
        <v>405</v>
      </c>
      <c r="G125" s="53" t="s">
        <v>485</v>
      </c>
      <c r="H125" s="54"/>
      <c r="I125" s="42" t="s">
        <v>416</v>
      </c>
      <c r="J125" s="53" t="s">
        <v>486</v>
      </c>
      <c r="K125" s="54"/>
      <c r="L125" s="56" t="s">
        <v>487</v>
      </c>
      <c r="M125" s="53" t="s">
        <v>488</v>
      </c>
      <c r="N125" s="58"/>
      <c r="O125" s="59"/>
      <c r="P125" s="28"/>
      <c r="Q125" s="28"/>
      <c r="R125" s="28"/>
      <c r="S125" s="28"/>
      <c r="T125" s="28"/>
      <c r="U125" s="1" t="s">
        <v>489</v>
      </c>
      <c r="V125" s="60" t="s">
        <v>490</v>
      </c>
      <c r="W125" s="1" t="s">
        <v>491</v>
      </c>
      <c r="X125" s="60" t="s">
        <v>492</v>
      </c>
      <c r="Y125" s="1" t="s">
        <v>493</v>
      </c>
      <c r="Z125" s="60" t="s">
        <v>494</v>
      </c>
    </row>
    <row r="126" spans="1:33" ht="15" customHeight="1">
      <c r="A126" s="49">
        <v>7</v>
      </c>
      <c r="B126" s="49" t="s">
        <v>25</v>
      </c>
      <c r="C126" s="50" t="s">
        <v>24</v>
      </c>
      <c r="D126" s="51" t="s">
        <v>483</v>
      </c>
      <c r="E126" s="51" t="s">
        <v>495</v>
      </c>
      <c r="F126" s="52" t="s">
        <v>379</v>
      </c>
      <c r="G126" s="53" t="s">
        <v>378</v>
      </c>
      <c r="H126" s="54"/>
      <c r="I126" s="42" t="s">
        <v>416</v>
      </c>
      <c r="J126" s="53" t="s">
        <v>496</v>
      </c>
      <c r="K126" s="54"/>
      <c r="L126" s="56" t="s">
        <v>416</v>
      </c>
      <c r="M126" s="53" t="s">
        <v>497</v>
      </c>
      <c r="N126" s="58"/>
      <c r="O126" s="59"/>
      <c r="P126" s="28"/>
      <c r="Q126" s="28"/>
      <c r="R126" s="28"/>
      <c r="S126" s="28"/>
      <c r="T126" s="28"/>
    </row>
    <row r="127" spans="1:33" ht="15" customHeight="1">
      <c r="A127" s="49">
        <v>7</v>
      </c>
      <c r="B127" s="49" t="s">
        <v>25</v>
      </c>
      <c r="C127" s="50" t="s">
        <v>24</v>
      </c>
      <c r="D127" s="51" t="s">
        <v>483</v>
      </c>
      <c r="E127" s="51" t="s">
        <v>498</v>
      </c>
      <c r="F127" s="52" t="s">
        <v>379</v>
      </c>
      <c r="G127" s="53" t="s">
        <v>499</v>
      </c>
      <c r="H127" s="54"/>
      <c r="I127" s="42" t="s">
        <v>379</v>
      </c>
      <c r="J127" s="53" t="s">
        <v>500</v>
      </c>
      <c r="K127" s="54"/>
      <c r="L127" s="56" t="s">
        <v>377</v>
      </c>
      <c r="M127" s="53" t="s">
        <v>501</v>
      </c>
      <c r="N127" s="58"/>
      <c r="O127" s="59"/>
      <c r="P127" s="28"/>
      <c r="Q127" s="28"/>
      <c r="R127" s="28"/>
      <c r="S127" s="28"/>
      <c r="T127" s="28"/>
      <c r="U127" s="60" t="s">
        <v>502</v>
      </c>
      <c r="V127" s="60" t="s">
        <v>503</v>
      </c>
      <c r="W127" s="1" t="s">
        <v>504</v>
      </c>
      <c r="X127" s="60" t="s">
        <v>505</v>
      </c>
    </row>
    <row r="128" spans="1:33" ht="15" customHeight="1">
      <c r="A128" s="49">
        <v>7</v>
      </c>
      <c r="B128" s="49" t="s">
        <v>25</v>
      </c>
      <c r="C128" s="50" t="s">
        <v>24</v>
      </c>
      <c r="D128" s="51" t="s">
        <v>483</v>
      </c>
      <c r="E128" s="51" t="s">
        <v>506</v>
      </c>
      <c r="F128" s="42" t="s">
        <v>405</v>
      </c>
      <c r="G128" s="53" t="s">
        <v>507</v>
      </c>
      <c r="H128" s="54"/>
      <c r="I128" s="42" t="s">
        <v>379</v>
      </c>
      <c r="J128" s="53" t="s">
        <v>508</v>
      </c>
      <c r="K128" s="54"/>
      <c r="L128" s="56" t="s">
        <v>377</v>
      </c>
      <c r="M128" s="53" t="s">
        <v>509</v>
      </c>
      <c r="N128" s="58"/>
      <c r="O128" s="59"/>
      <c r="P128" s="28"/>
      <c r="Q128" s="28"/>
      <c r="R128" s="28"/>
      <c r="S128" s="28"/>
      <c r="T128" s="28"/>
      <c r="U128" s="60" t="s">
        <v>510</v>
      </c>
      <c r="V128" s="60" t="s">
        <v>511</v>
      </c>
      <c r="W128" s="1" t="s">
        <v>512</v>
      </c>
      <c r="X128" s="60" t="s">
        <v>513</v>
      </c>
    </row>
    <row r="129" spans="1:33" ht="15" customHeight="1">
      <c r="A129" s="49">
        <v>7</v>
      </c>
      <c r="B129" s="49" t="s">
        <v>25</v>
      </c>
      <c r="C129" s="50" t="s">
        <v>24</v>
      </c>
      <c r="D129" s="51" t="s">
        <v>514</v>
      </c>
      <c r="E129" s="51" t="s">
        <v>515</v>
      </c>
      <c r="F129" s="52" t="s">
        <v>379</v>
      </c>
      <c r="G129" s="53" t="s">
        <v>516</v>
      </c>
      <c r="H129" s="54"/>
      <c r="I129" s="42" t="s">
        <v>416</v>
      </c>
      <c r="J129" s="67" t="s">
        <v>517</v>
      </c>
      <c r="K129" s="54"/>
      <c r="L129" s="56" t="s">
        <v>377</v>
      </c>
      <c r="M129" s="53" t="s">
        <v>518</v>
      </c>
      <c r="N129" s="58"/>
      <c r="O129" s="59"/>
      <c r="P129" s="28"/>
      <c r="Q129" s="28"/>
      <c r="R129" s="28"/>
      <c r="S129" s="28"/>
      <c r="T129" s="28"/>
      <c r="U129" s="1" t="s">
        <v>519</v>
      </c>
      <c r="V129" s="60" t="s">
        <v>520</v>
      </c>
      <c r="W129" s="1" t="s">
        <v>521</v>
      </c>
      <c r="X129" s="60" t="s">
        <v>522</v>
      </c>
    </row>
    <row r="130" spans="1:33" ht="15" customHeight="1">
      <c r="A130" s="49">
        <v>7</v>
      </c>
      <c r="B130" s="49" t="s">
        <v>25</v>
      </c>
      <c r="C130" s="50" t="s">
        <v>24</v>
      </c>
      <c r="D130" s="51" t="s">
        <v>514</v>
      </c>
      <c r="E130" s="51" t="s">
        <v>523</v>
      </c>
      <c r="F130" s="42" t="s">
        <v>379</v>
      </c>
      <c r="G130" s="53" t="s">
        <v>524</v>
      </c>
      <c r="H130" s="54"/>
      <c r="I130" s="42" t="s">
        <v>416</v>
      </c>
      <c r="J130" s="67" t="s">
        <v>525</v>
      </c>
      <c r="K130" s="54"/>
      <c r="L130" s="56" t="s">
        <v>405</v>
      </c>
      <c r="M130" s="53" t="s">
        <v>526</v>
      </c>
      <c r="N130" s="58"/>
      <c r="O130" s="59"/>
      <c r="P130" s="28"/>
      <c r="Q130" s="28"/>
      <c r="R130" s="28"/>
      <c r="S130" s="28"/>
      <c r="T130" s="28"/>
      <c r="U130" s="1" t="s">
        <v>519</v>
      </c>
      <c r="V130" s="60" t="s">
        <v>520</v>
      </c>
      <c r="W130" s="1" t="s">
        <v>521</v>
      </c>
      <c r="X130" s="60" t="s">
        <v>522</v>
      </c>
    </row>
    <row r="131" spans="1:33" ht="15" customHeight="1">
      <c r="A131" s="49">
        <v>7</v>
      </c>
      <c r="B131" s="49" t="s">
        <v>25</v>
      </c>
      <c r="C131" s="50" t="s">
        <v>24</v>
      </c>
      <c r="D131" s="51" t="s">
        <v>514</v>
      </c>
      <c r="E131" s="51" t="s">
        <v>527</v>
      </c>
      <c r="F131" s="42" t="s">
        <v>379</v>
      </c>
      <c r="G131" s="53" t="s">
        <v>378</v>
      </c>
      <c r="H131" s="54"/>
      <c r="I131" s="42" t="s">
        <v>377</v>
      </c>
      <c r="J131" s="53" t="s">
        <v>528</v>
      </c>
      <c r="K131" s="54"/>
      <c r="L131" s="56" t="s">
        <v>379</v>
      </c>
      <c r="M131" s="53" t="s">
        <v>529</v>
      </c>
      <c r="N131" s="58"/>
      <c r="O131" s="59"/>
      <c r="P131" s="28"/>
      <c r="Q131" s="28"/>
      <c r="R131" s="28"/>
      <c r="S131" s="28"/>
      <c r="T131" s="28"/>
      <c r="U131" s="1" t="s">
        <v>521</v>
      </c>
      <c r="V131" s="60" t="s">
        <v>522</v>
      </c>
    </row>
    <row r="132" spans="1:33" ht="15" customHeight="1">
      <c r="A132" s="49">
        <v>7</v>
      </c>
      <c r="B132" s="49" t="s">
        <v>25</v>
      </c>
      <c r="C132" s="50" t="s">
        <v>24</v>
      </c>
      <c r="D132" s="51" t="s">
        <v>530</v>
      </c>
      <c r="E132" s="51" t="s">
        <v>531</v>
      </c>
      <c r="F132" s="42" t="s">
        <v>405</v>
      </c>
      <c r="G132" s="53" t="s">
        <v>532</v>
      </c>
      <c r="H132" s="54"/>
      <c r="I132" s="42" t="s">
        <v>379</v>
      </c>
      <c r="J132" s="53" t="s">
        <v>533</v>
      </c>
      <c r="L132" s="56" t="s">
        <v>377</v>
      </c>
      <c r="M132" s="53" t="s">
        <v>534</v>
      </c>
      <c r="O132" s="53" t="s">
        <v>535</v>
      </c>
      <c r="P132" s="28"/>
      <c r="Q132" s="28"/>
      <c r="R132" s="28"/>
      <c r="S132" s="28"/>
      <c r="T132" s="28"/>
      <c r="U132" s="1" t="s">
        <v>536</v>
      </c>
      <c r="V132" s="60" t="s">
        <v>537</v>
      </c>
      <c r="W132" s="1" t="s">
        <v>538</v>
      </c>
      <c r="X132" s="60" t="s">
        <v>539</v>
      </c>
      <c r="Y132" s="1" t="s">
        <v>540</v>
      </c>
      <c r="Z132" s="60" t="s">
        <v>541</v>
      </c>
      <c r="AA132" s="1" t="s">
        <v>542</v>
      </c>
      <c r="AB132" s="60" t="s">
        <v>543</v>
      </c>
    </row>
    <row r="133" spans="1:33" ht="15" customHeight="1">
      <c r="A133" s="49">
        <v>7</v>
      </c>
      <c r="B133" s="49" t="s">
        <v>25</v>
      </c>
      <c r="C133" s="76" t="s">
        <v>24</v>
      </c>
      <c r="D133" s="51" t="s">
        <v>530</v>
      </c>
      <c r="E133" s="51" t="s">
        <v>544</v>
      </c>
      <c r="F133" s="42" t="s">
        <v>405</v>
      </c>
      <c r="G133" s="53" t="s">
        <v>545</v>
      </c>
      <c r="H133" s="54"/>
      <c r="I133" s="42" t="s">
        <v>379</v>
      </c>
      <c r="J133" s="53" t="s">
        <v>546</v>
      </c>
      <c r="L133" s="56" t="s">
        <v>377</v>
      </c>
      <c r="M133" s="53" t="s">
        <v>534</v>
      </c>
      <c r="N133" s="58"/>
      <c r="O133" s="53" t="s">
        <v>535</v>
      </c>
      <c r="P133" s="28"/>
      <c r="Q133" s="28"/>
      <c r="R133" s="28"/>
      <c r="S133" s="28"/>
      <c r="T133" s="28"/>
      <c r="U133" s="1" t="s">
        <v>536</v>
      </c>
      <c r="V133" s="60" t="s">
        <v>537</v>
      </c>
      <c r="W133" s="1" t="s">
        <v>538</v>
      </c>
      <c r="X133" s="60" t="s">
        <v>539</v>
      </c>
      <c r="Y133" s="1" t="s">
        <v>540</v>
      </c>
      <c r="Z133" s="60" t="s">
        <v>541</v>
      </c>
      <c r="AA133" s="1" t="s">
        <v>542</v>
      </c>
      <c r="AB133" s="60" t="s">
        <v>543</v>
      </c>
    </row>
    <row r="134" spans="1:33" ht="15" customHeight="1">
      <c r="A134" s="49">
        <v>7</v>
      </c>
      <c r="B134" s="49" t="s">
        <v>25</v>
      </c>
      <c r="C134" s="76" t="s">
        <v>24</v>
      </c>
      <c r="D134" s="63" t="s">
        <v>547</v>
      </c>
      <c r="E134" s="57" t="s">
        <v>378</v>
      </c>
      <c r="F134" s="52" t="s">
        <v>379</v>
      </c>
      <c r="G134" s="57" t="s">
        <v>548</v>
      </c>
      <c r="H134" s="57"/>
      <c r="I134" s="43" t="s">
        <v>377</v>
      </c>
      <c r="J134" s="57" t="s">
        <v>549</v>
      </c>
      <c r="K134" s="69"/>
      <c r="L134" s="70" t="s">
        <v>416</v>
      </c>
      <c r="M134" s="57" t="s">
        <v>550</v>
      </c>
      <c r="N134" s="71"/>
      <c r="O134" s="71"/>
      <c r="P134" s="72"/>
      <c r="Q134" s="72"/>
      <c r="R134" s="72"/>
      <c r="S134" s="72"/>
      <c r="T134" s="72"/>
      <c r="U134" s="1" t="s">
        <v>551</v>
      </c>
      <c r="V134" s="60" t="s">
        <v>552</v>
      </c>
      <c r="W134" s="1" t="s">
        <v>553</v>
      </c>
      <c r="X134" s="73" t="s">
        <v>554</v>
      </c>
      <c r="Y134" s="1" t="s">
        <v>555</v>
      </c>
      <c r="Z134" s="60" t="s">
        <v>556</v>
      </c>
      <c r="AB134" s="74"/>
      <c r="AC134" s="74"/>
      <c r="AD134" s="74"/>
      <c r="AE134" s="74"/>
      <c r="AF134" s="74"/>
      <c r="AG134" s="75"/>
    </row>
    <row r="135" spans="1:33" ht="15" customHeight="1">
      <c r="A135" s="49">
        <v>8</v>
      </c>
      <c r="B135" s="49" t="s">
        <v>26</v>
      </c>
      <c r="C135" s="50" t="s">
        <v>24</v>
      </c>
      <c r="D135" s="51" t="s">
        <v>375</v>
      </c>
      <c r="E135" s="51" t="s">
        <v>376</v>
      </c>
      <c r="F135" s="52" t="s">
        <v>377</v>
      </c>
      <c r="G135" s="53" t="s">
        <v>378</v>
      </c>
      <c r="H135" s="54"/>
      <c r="I135" s="42" t="s">
        <v>379</v>
      </c>
      <c r="J135" s="55" t="s">
        <v>380</v>
      </c>
      <c r="K135" s="54"/>
      <c r="L135" s="56" t="s">
        <v>377</v>
      </c>
      <c r="M135" s="57" t="s">
        <v>381</v>
      </c>
      <c r="N135" s="58"/>
      <c r="O135" s="59"/>
      <c r="P135" s="28" t="s">
        <v>13</v>
      </c>
      <c r="Q135" s="28" t="s">
        <v>14</v>
      </c>
      <c r="R135" s="28" t="s">
        <v>13</v>
      </c>
      <c r="S135" s="28"/>
      <c r="T135" s="28"/>
    </row>
    <row r="136" spans="1:33" ht="15" customHeight="1">
      <c r="A136" s="49">
        <v>8</v>
      </c>
      <c r="B136" s="49" t="s">
        <v>26</v>
      </c>
      <c r="C136" s="50" t="s">
        <v>24</v>
      </c>
      <c r="D136" s="51" t="s">
        <v>375</v>
      </c>
      <c r="E136" s="51" t="s">
        <v>382</v>
      </c>
      <c r="F136" s="42" t="s">
        <v>379</v>
      </c>
      <c r="G136" s="53" t="s">
        <v>383</v>
      </c>
      <c r="H136" s="54"/>
      <c r="I136" s="42" t="s">
        <v>379</v>
      </c>
      <c r="J136" s="55" t="s">
        <v>380</v>
      </c>
      <c r="K136" s="54"/>
      <c r="L136" s="56" t="s">
        <v>377</v>
      </c>
      <c r="M136" s="57" t="s">
        <v>384</v>
      </c>
      <c r="N136" s="58"/>
      <c r="O136" s="59"/>
      <c r="P136" s="28"/>
      <c r="Q136" s="28"/>
      <c r="R136" s="28"/>
      <c r="S136" s="28"/>
      <c r="T136" s="28"/>
    </row>
    <row r="137" spans="1:33" ht="15" customHeight="1">
      <c r="A137" s="49">
        <v>8</v>
      </c>
      <c r="B137" s="49" t="s">
        <v>26</v>
      </c>
      <c r="C137" s="50" t="s">
        <v>24</v>
      </c>
      <c r="D137" s="51" t="s">
        <v>375</v>
      </c>
      <c r="E137" s="51" t="s">
        <v>385</v>
      </c>
      <c r="F137" s="42" t="s">
        <v>379</v>
      </c>
      <c r="G137" s="57" t="s">
        <v>386</v>
      </c>
      <c r="H137" s="54"/>
      <c r="I137" s="42" t="s">
        <v>379</v>
      </c>
      <c r="J137" s="55" t="s">
        <v>387</v>
      </c>
      <c r="K137" s="54"/>
      <c r="L137" s="56" t="s">
        <v>377</v>
      </c>
      <c r="M137" s="57" t="s">
        <v>388</v>
      </c>
      <c r="N137" s="58"/>
      <c r="O137" s="61"/>
      <c r="P137" s="28"/>
      <c r="Q137" s="28"/>
      <c r="R137" s="28"/>
      <c r="S137" s="28"/>
      <c r="T137" s="28"/>
      <c r="U137" s="62" t="s">
        <v>389</v>
      </c>
      <c r="V137" s="60" t="s">
        <v>390</v>
      </c>
      <c r="W137" s="60" t="s">
        <v>391</v>
      </c>
      <c r="X137" s="60" t="s">
        <v>392</v>
      </c>
      <c r="Y137" s="1" t="s">
        <v>393</v>
      </c>
      <c r="Z137" s="60" t="s">
        <v>394</v>
      </c>
      <c r="AA137" s="1" t="s">
        <v>395</v>
      </c>
      <c r="AB137" s="60" t="s">
        <v>396</v>
      </c>
      <c r="AE137" s="40" t="s">
        <v>397</v>
      </c>
      <c r="AF137" s="27" t="s">
        <v>398</v>
      </c>
      <c r="AG137" s="40" t="s">
        <v>399</v>
      </c>
    </row>
    <row r="138" spans="1:33" ht="15" customHeight="1">
      <c r="A138" s="49">
        <v>8</v>
      </c>
      <c r="B138" s="49" t="s">
        <v>26</v>
      </c>
      <c r="C138" s="50" t="s">
        <v>24</v>
      </c>
      <c r="D138" s="51" t="s">
        <v>401</v>
      </c>
      <c r="E138" s="51" t="s">
        <v>402</v>
      </c>
      <c r="F138" s="56" t="s">
        <v>403</v>
      </c>
      <c r="G138" s="53" t="s">
        <v>404</v>
      </c>
      <c r="H138" s="54"/>
      <c r="I138" s="42" t="s">
        <v>405</v>
      </c>
      <c r="J138" s="53" t="s">
        <v>406</v>
      </c>
      <c r="K138" s="54"/>
      <c r="L138" s="56" t="s">
        <v>405</v>
      </c>
      <c r="M138" s="57" t="s">
        <v>407</v>
      </c>
      <c r="N138" s="58"/>
      <c r="O138" s="59"/>
      <c r="P138" s="28"/>
      <c r="Q138" s="28"/>
      <c r="R138" s="28"/>
      <c r="S138" s="28"/>
      <c r="T138" s="28"/>
      <c r="U138" s="1" t="s">
        <v>408</v>
      </c>
      <c r="V138" s="60" t="s">
        <v>409</v>
      </c>
      <c r="W138" s="1" t="s">
        <v>410</v>
      </c>
      <c r="X138" s="60" t="s">
        <v>411</v>
      </c>
      <c r="Z138" s="60" t="s">
        <v>412</v>
      </c>
      <c r="AA138" s="60" t="s">
        <v>413</v>
      </c>
    </row>
    <row r="139" spans="1:33" ht="15" customHeight="1">
      <c r="A139" s="49">
        <v>8</v>
      </c>
      <c r="B139" s="49" t="s">
        <v>26</v>
      </c>
      <c r="C139" s="50" t="s">
        <v>24</v>
      </c>
      <c r="D139" s="51" t="s">
        <v>401</v>
      </c>
      <c r="E139" s="51" t="s">
        <v>414</v>
      </c>
      <c r="F139" s="52" t="s">
        <v>379</v>
      </c>
      <c r="G139" s="53" t="s">
        <v>415</v>
      </c>
      <c r="H139" s="54"/>
      <c r="I139" s="42" t="s">
        <v>416</v>
      </c>
      <c r="J139" s="53" t="s">
        <v>417</v>
      </c>
      <c r="K139" s="54"/>
      <c r="L139" s="56" t="s">
        <v>405</v>
      </c>
      <c r="M139" s="53" t="s">
        <v>418</v>
      </c>
      <c r="N139" s="58"/>
      <c r="O139" s="59"/>
      <c r="P139" s="28"/>
      <c r="Q139" s="28"/>
      <c r="R139" s="28"/>
      <c r="S139" s="28"/>
      <c r="T139" s="28"/>
      <c r="U139" s="1" t="s">
        <v>419</v>
      </c>
      <c r="V139" s="60" t="s">
        <v>420</v>
      </c>
      <c r="W139" s="1" t="s">
        <v>408</v>
      </c>
      <c r="X139" s="60" t="s">
        <v>409</v>
      </c>
      <c r="Z139" s="60" t="s">
        <v>412</v>
      </c>
      <c r="AA139" s="60" t="s">
        <v>413</v>
      </c>
    </row>
    <row r="140" spans="1:33" ht="15" customHeight="1">
      <c r="A140" s="49">
        <v>8</v>
      </c>
      <c r="B140" s="49" t="s">
        <v>26</v>
      </c>
      <c r="C140" s="50" t="s">
        <v>24</v>
      </c>
      <c r="D140" s="51" t="s">
        <v>401</v>
      </c>
      <c r="E140" s="63" t="s">
        <v>557</v>
      </c>
      <c r="F140" s="52" t="s">
        <v>416</v>
      </c>
      <c r="G140" s="53" t="s">
        <v>422</v>
      </c>
      <c r="H140" s="54"/>
      <c r="I140" s="42" t="s">
        <v>416</v>
      </c>
      <c r="J140" s="53" t="s">
        <v>423</v>
      </c>
      <c r="K140" s="54"/>
      <c r="L140" s="56" t="s">
        <v>405</v>
      </c>
      <c r="M140" s="53" t="s">
        <v>424</v>
      </c>
      <c r="N140" s="58"/>
      <c r="O140" s="64"/>
      <c r="P140" s="28"/>
      <c r="Q140" s="28"/>
      <c r="R140" s="28"/>
      <c r="S140" s="28"/>
      <c r="T140" s="28"/>
      <c r="U140" s="1" t="s">
        <v>425</v>
      </c>
      <c r="V140" s="60" t="s">
        <v>426</v>
      </c>
      <c r="W140" s="1" t="s">
        <v>427</v>
      </c>
      <c r="X140" s="60" t="s">
        <v>428</v>
      </c>
      <c r="Z140" s="60" t="s">
        <v>412</v>
      </c>
      <c r="AA140" s="60" t="s">
        <v>413</v>
      </c>
    </row>
    <row r="141" spans="1:33" ht="15" customHeight="1">
      <c r="A141" s="49">
        <v>8</v>
      </c>
      <c r="B141" s="49" t="s">
        <v>26</v>
      </c>
      <c r="C141" s="50" t="s">
        <v>24</v>
      </c>
      <c r="D141" s="51" t="s">
        <v>429</v>
      </c>
      <c r="E141" s="51" t="s">
        <v>430</v>
      </c>
      <c r="F141" s="52" t="s">
        <v>379</v>
      </c>
      <c r="G141" s="53" t="s">
        <v>431</v>
      </c>
      <c r="H141" s="54"/>
      <c r="I141" s="42" t="s">
        <v>379</v>
      </c>
      <c r="J141" s="53" t="s">
        <v>565</v>
      </c>
      <c r="K141" s="54"/>
      <c r="L141" s="56" t="s">
        <v>405</v>
      </c>
      <c r="M141" s="53" t="s">
        <v>433</v>
      </c>
      <c r="N141" s="58"/>
      <c r="O141" s="59"/>
      <c r="P141" s="28"/>
      <c r="Q141" s="28"/>
      <c r="R141" s="28"/>
      <c r="S141" s="28"/>
      <c r="T141" s="28"/>
      <c r="U141" s="60" t="s">
        <v>434</v>
      </c>
      <c r="V141" s="60" t="s">
        <v>435</v>
      </c>
      <c r="W141" s="1" t="s">
        <v>436</v>
      </c>
      <c r="X141" s="60" t="s">
        <v>437</v>
      </c>
      <c r="Y141" s="1" t="s">
        <v>438</v>
      </c>
      <c r="Z141" s="60" t="s">
        <v>439</v>
      </c>
      <c r="AA141" s="1" t="s">
        <v>440</v>
      </c>
      <c r="AB141" s="60" t="s">
        <v>441</v>
      </c>
      <c r="AC141" s="1" t="s">
        <v>442</v>
      </c>
      <c r="AD141" s="60" t="s">
        <v>437</v>
      </c>
    </row>
    <row r="142" spans="1:33" ht="15" customHeight="1">
      <c r="A142" s="49">
        <v>8</v>
      </c>
      <c r="B142" s="49" t="s">
        <v>26</v>
      </c>
      <c r="C142" s="50" t="s">
        <v>24</v>
      </c>
      <c r="D142" s="51" t="s">
        <v>429</v>
      </c>
      <c r="E142" s="51" t="s">
        <v>443</v>
      </c>
      <c r="F142" s="52" t="s">
        <v>416</v>
      </c>
      <c r="G142" s="53" t="s">
        <v>444</v>
      </c>
      <c r="H142" s="54"/>
      <c r="I142" s="42" t="s">
        <v>416</v>
      </c>
      <c r="J142" s="53" t="s">
        <v>559</v>
      </c>
      <c r="L142" s="56" t="s">
        <v>405</v>
      </c>
      <c r="M142" s="53" t="s">
        <v>446</v>
      </c>
      <c r="N142" s="58"/>
      <c r="O142" s="59"/>
      <c r="P142" s="28"/>
      <c r="Q142" s="28"/>
      <c r="R142" s="28"/>
      <c r="S142" s="28"/>
      <c r="T142" s="28"/>
      <c r="U142" s="1" t="s">
        <v>447</v>
      </c>
      <c r="V142" s="60" t="s">
        <v>448</v>
      </c>
      <c r="W142" s="1" t="s">
        <v>449</v>
      </c>
      <c r="X142" s="60" t="s">
        <v>450</v>
      </c>
      <c r="Y142" s="1" t="s">
        <v>451</v>
      </c>
      <c r="Z142" s="60" t="s">
        <v>452</v>
      </c>
    </row>
    <row r="143" spans="1:33" ht="15" customHeight="1">
      <c r="A143" s="49">
        <v>8</v>
      </c>
      <c r="B143" s="49" t="s">
        <v>26</v>
      </c>
      <c r="C143" s="50" t="s">
        <v>24</v>
      </c>
      <c r="D143" s="51" t="s">
        <v>429</v>
      </c>
      <c r="E143" s="51" t="s">
        <v>453</v>
      </c>
      <c r="F143" s="42" t="s">
        <v>405</v>
      </c>
      <c r="G143" s="53" t="s">
        <v>454</v>
      </c>
      <c r="H143" s="54"/>
      <c r="I143" s="42" t="s">
        <v>416</v>
      </c>
      <c r="J143" s="53" t="s">
        <v>561</v>
      </c>
      <c r="K143" s="54"/>
      <c r="L143" s="56" t="s">
        <v>416</v>
      </c>
      <c r="M143" s="53" t="s">
        <v>456</v>
      </c>
      <c r="N143" s="58"/>
      <c r="O143" s="59"/>
      <c r="P143" s="28"/>
      <c r="Q143" s="28"/>
      <c r="R143" s="28"/>
      <c r="S143" s="28"/>
      <c r="T143" s="28"/>
      <c r="U143" s="1" t="s">
        <v>457</v>
      </c>
      <c r="V143" s="60" t="s">
        <v>458</v>
      </c>
      <c r="W143" s="1" t="s">
        <v>459</v>
      </c>
      <c r="X143" s="60" t="s">
        <v>460</v>
      </c>
      <c r="Y143" s="1" t="s">
        <v>447</v>
      </c>
      <c r="Z143" s="60" t="s">
        <v>448</v>
      </c>
    </row>
    <row r="144" spans="1:33" ht="15" customHeight="1">
      <c r="A144" s="49">
        <v>8</v>
      </c>
      <c r="B144" s="49" t="s">
        <v>26</v>
      </c>
      <c r="C144" s="50" t="s">
        <v>24</v>
      </c>
      <c r="D144" s="51" t="s">
        <v>429</v>
      </c>
      <c r="E144" s="51" t="s">
        <v>461</v>
      </c>
      <c r="F144" s="42" t="s">
        <v>377</v>
      </c>
      <c r="G144" s="53" t="s">
        <v>462</v>
      </c>
      <c r="H144" s="66"/>
      <c r="I144" s="42" t="s">
        <v>416</v>
      </c>
      <c r="J144" s="53" t="s">
        <v>463</v>
      </c>
      <c r="K144" s="54"/>
      <c r="L144" s="56" t="s">
        <v>377</v>
      </c>
      <c r="M144" s="53" t="s">
        <v>464</v>
      </c>
      <c r="N144" s="58"/>
      <c r="O144" s="59"/>
      <c r="P144" s="28"/>
      <c r="Q144" s="28"/>
      <c r="R144" s="28"/>
      <c r="S144" s="28"/>
      <c r="T144" s="28"/>
      <c r="U144" s="1" t="s">
        <v>465</v>
      </c>
      <c r="V144" s="60" t="s">
        <v>466</v>
      </c>
      <c r="W144" s="1" t="s">
        <v>467</v>
      </c>
      <c r="X144" s="60" t="s">
        <v>468</v>
      </c>
      <c r="Y144" s="1" t="s">
        <v>469</v>
      </c>
    </row>
    <row r="145" spans="1:33" ht="15" customHeight="1">
      <c r="A145" s="49">
        <v>8</v>
      </c>
      <c r="B145" s="49" t="s">
        <v>26</v>
      </c>
      <c r="C145" s="50" t="s">
        <v>24</v>
      </c>
      <c r="D145" s="51" t="s">
        <v>470</v>
      </c>
      <c r="E145" s="51" t="s">
        <v>471</v>
      </c>
      <c r="F145" s="42" t="s">
        <v>405</v>
      </c>
      <c r="G145" s="53" t="s">
        <v>472</v>
      </c>
      <c r="H145" s="54"/>
      <c r="I145" s="42" t="s">
        <v>416</v>
      </c>
      <c r="J145" s="53" t="s">
        <v>473</v>
      </c>
      <c r="K145" s="54"/>
      <c r="L145" s="56" t="s">
        <v>379</v>
      </c>
      <c r="M145" s="53" t="s">
        <v>474</v>
      </c>
      <c r="N145" s="58"/>
      <c r="O145" s="59"/>
      <c r="P145" s="28"/>
      <c r="Q145" s="28"/>
      <c r="R145" s="28"/>
      <c r="S145" s="28"/>
      <c r="T145" s="28"/>
      <c r="U145" s="1" t="s">
        <v>475</v>
      </c>
      <c r="V145" s="60" t="s">
        <v>476</v>
      </c>
    </row>
    <row r="146" spans="1:33" ht="15" customHeight="1">
      <c r="A146" s="49">
        <v>8</v>
      </c>
      <c r="B146" s="49" t="s">
        <v>26</v>
      </c>
      <c r="C146" s="50" t="s">
        <v>24</v>
      </c>
      <c r="D146" s="51" t="s">
        <v>470</v>
      </c>
      <c r="E146" s="51" t="s">
        <v>477</v>
      </c>
      <c r="F146" s="52" t="s">
        <v>379</v>
      </c>
      <c r="G146" s="53" t="s">
        <v>478</v>
      </c>
      <c r="H146" s="54"/>
      <c r="I146" s="42" t="s">
        <v>377</v>
      </c>
      <c r="J146" s="53" t="s">
        <v>563</v>
      </c>
      <c r="K146" s="54"/>
      <c r="L146" s="56" t="s">
        <v>379</v>
      </c>
      <c r="M146" s="53" t="s">
        <v>480</v>
      </c>
      <c r="N146" s="58"/>
      <c r="O146" s="59"/>
      <c r="P146" s="28"/>
      <c r="Q146" s="28"/>
      <c r="R146" s="28"/>
      <c r="S146" s="28"/>
      <c r="T146" s="28"/>
      <c r="U146" s="1" t="s">
        <v>481</v>
      </c>
      <c r="V146" s="60" t="s">
        <v>482</v>
      </c>
    </row>
    <row r="147" spans="1:33" ht="15" customHeight="1">
      <c r="A147" s="49">
        <v>8</v>
      </c>
      <c r="B147" s="49" t="s">
        <v>26</v>
      </c>
      <c r="C147" s="50" t="s">
        <v>24</v>
      </c>
      <c r="D147" s="51" t="s">
        <v>483</v>
      </c>
      <c r="E147" s="51" t="s">
        <v>484</v>
      </c>
      <c r="F147" s="42" t="s">
        <v>405</v>
      </c>
      <c r="G147" s="53" t="s">
        <v>485</v>
      </c>
      <c r="H147" s="54"/>
      <c r="I147" s="42" t="s">
        <v>416</v>
      </c>
      <c r="J147" s="53" t="s">
        <v>486</v>
      </c>
      <c r="K147" s="54"/>
      <c r="L147" s="56" t="s">
        <v>487</v>
      </c>
      <c r="M147" s="53" t="s">
        <v>488</v>
      </c>
      <c r="N147" s="58"/>
      <c r="O147" s="59"/>
      <c r="P147" s="28"/>
      <c r="Q147" s="28"/>
      <c r="R147" s="28"/>
      <c r="S147" s="28"/>
      <c r="T147" s="28"/>
      <c r="U147" s="1" t="s">
        <v>489</v>
      </c>
      <c r="V147" s="60" t="s">
        <v>490</v>
      </c>
      <c r="W147" s="1" t="s">
        <v>491</v>
      </c>
      <c r="X147" s="60" t="s">
        <v>492</v>
      </c>
      <c r="Y147" s="1" t="s">
        <v>493</v>
      </c>
      <c r="Z147" s="60" t="s">
        <v>494</v>
      </c>
    </row>
    <row r="148" spans="1:33" ht="15" customHeight="1">
      <c r="A148" s="49">
        <v>8</v>
      </c>
      <c r="B148" s="49" t="s">
        <v>26</v>
      </c>
      <c r="C148" s="50" t="s">
        <v>24</v>
      </c>
      <c r="D148" s="51" t="s">
        <v>483</v>
      </c>
      <c r="E148" s="51" t="s">
        <v>495</v>
      </c>
      <c r="F148" s="52" t="s">
        <v>379</v>
      </c>
      <c r="G148" s="53" t="s">
        <v>378</v>
      </c>
      <c r="H148" s="54"/>
      <c r="I148" s="42" t="s">
        <v>416</v>
      </c>
      <c r="J148" s="53" t="s">
        <v>496</v>
      </c>
      <c r="K148" s="54"/>
      <c r="L148" s="56" t="s">
        <v>416</v>
      </c>
      <c r="M148" s="53" t="s">
        <v>497</v>
      </c>
      <c r="N148" s="58"/>
      <c r="O148" s="59"/>
      <c r="P148" s="28"/>
      <c r="Q148" s="28"/>
      <c r="R148" s="28"/>
      <c r="S148" s="28"/>
      <c r="T148" s="28"/>
    </row>
    <row r="149" spans="1:33" ht="15" customHeight="1">
      <c r="A149" s="49">
        <v>8</v>
      </c>
      <c r="B149" s="49" t="s">
        <v>26</v>
      </c>
      <c r="C149" s="50" t="s">
        <v>24</v>
      </c>
      <c r="D149" s="51" t="s">
        <v>483</v>
      </c>
      <c r="E149" s="51" t="s">
        <v>498</v>
      </c>
      <c r="F149" s="52" t="s">
        <v>379</v>
      </c>
      <c r="G149" s="53" t="s">
        <v>499</v>
      </c>
      <c r="H149" s="54"/>
      <c r="I149" s="42" t="s">
        <v>379</v>
      </c>
      <c r="J149" s="53" t="s">
        <v>500</v>
      </c>
      <c r="K149" s="54"/>
      <c r="L149" s="56" t="s">
        <v>377</v>
      </c>
      <c r="M149" s="53" t="s">
        <v>501</v>
      </c>
      <c r="N149" s="58"/>
      <c r="O149" s="59"/>
      <c r="P149" s="28"/>
      <c r="Q149" s="28"/>
      <c r="R149" s="28"/>
      <c r="S149" s="28"/>
      <c r="T149" s="28"/>
      <c r="U149" s="60" t="s">
        <v>502</v>
      </c>
      <c r="V149" s="60" t="s">
        <v>503</v>
      </c>
      <c r="W149" s="1" t="s">
        <v>504</v>
      </c>
      <c r="X149" s="60" t="s">
        <v>505</v>
      </c>
    </row>
    <row r="150" spans="1:33" ht="15" customHeight="1">
      <c r="A150" s="49">
        <v>8</v>
      </c>
      <c r="B150" s="49" t="s">
        <v>26</v>
      </c>
      <c r="C150" s="50" t="s">
        <v>24</v>
      </c>
      <c r="D150" s="51" t="s">
        <v>483</v>
      </c>
      <c r="E150" s="51" t="s">
        <v>506</v>
      </c>
      <c r="F150" s="42" t="s">
        <v>405</v>
      </c>
      <c r="G150" s="53" t="s">
        <v>507</v>
      </c>
      <c r="H150" s="54"/>
      <c r="I150" s="42" t="s">
        <v>379</v>
      </c>
      <c r="J150" s="53" t="s">
        <v>508</v>
      </c>
      <c r="K150" s="54"/>
      <c r="L150" s="56" t="s">
        <v>377</v>
      </c>
      <c r="M150" s="53" t="s">
        <v>509</v>
      </c>
      <c r="N150" s="58"/>
      <c r="O150" s="59"/>
      <c r="P150" s="28"/>
      <c r="Q150" s="28"/>
      <c r="R150" s="28"/>
      <c r="S150" s="28"/>
      <c r="T150" s="28"/>
      <c r="U150" s="60" t="s">
        <v>510</v>
      </c>
      <c r="V150" s="60" t="s">
        <v>511</v>
      </c>
      <c r="W150" s="1" t="s">
        <v>512</v>
      </c>
      <c r="X150" s="60" t="s">
        <v>513</v>
      </c>
    </row>
    <row r="151" spans="1:33" ht="15" customHeight="1">
      <c r="A151" s="49">
        <v>8</v>
      </c>
      <c r="B151" s="49" t="s">
        <v>26</v>
      </c>
      <c r="C151" s="50" t="s">
        <v>24</v>
      </c>
      <c r="D151" s="51" t="s">
        <v>514</v>
      </c>
      <c r="E151" s="51" t="s">
        <v>515</v>
      </c>
      <c r="F151" s="52" t="s">
        <v>379</v>
      </c>
      <c r="G151" s="53" t="s">
        <v>516</v>
      </c>
      <c r="H151" s="54"/>
      <c r="I151" s="42" t="s">
        <v>416</v>
      </c>
      <c r="J151" s="67" t="s">
        <v>517</v>
      </c>
      <c r="K151" s="54"/>
      <c r="L151" s="56" t="s">
        <v>377</v>
      </c>
      <c r="M151" s="53" t="s">
        <v>518</v>
      </c>
      <c r="N151" s="58"/>
      <c r="O151" s="59"/>
      <c r="P151" s="28"/>
      <c r="Q151" s="28"/>
      <c r="R151" s="28"/>
      <c r="S151" s="28"/>
      <c r="T151" s="28"/>
      <c r="U151" s="1" t="s">
        <v>519</v>
      </c>
      <c r="V151" s="60" t="s">
        <v>520</v>
      </c>
      <c r="W151" s="1" t="s">
        <v>521</v>
      </c>
      <c r="X151" s="60" t="s">
        <v>522</v>
      </c>
    </row>
    <row r="152" spans="1:33" ht="15" customHeight="1">
      <c r="A152" s="49">
        <v>8</v>
      </c>
      <c r="B152" s="49" t="s">
        <v>26</v>
      </c>
      <c r="C152" s="50" t="s">
        <v>24</v>
      </c>
      <c r="D152" s="51" t="s">
        <v>514</v>
      </c>
      <c r="E152" s="51" t="s">
        <v>523</v>
      </c>
      <c r="F152" s="42" t="s">
        <v>379</v>
      </c>
      <c r="G152" s="53" t="s">
        <v>524</v>
      </c>
      <c r="H152" s="54"/>
      <c r="I152" s="42" t="s">
        <v>416</v>
      </c>
      <c r="J152" s="67" t="s">
        <v>525</v>
      </c>
      <c r="K152" s="54"/>
      <c r="L152" s="56" t="s">
        <v>405</v>
      </c>
      <c r="M152" s="53" t="s">
        <v>526</v>
      </c>
      <c r="N152" s="58"/>
      <c r="O152" s="59"/>
      <c r="P152" s="28"/>
      <c r="Q152" s="28"/>
      <c r="R152" s="28"/>
      <c r="S152" s="28"/>
      <c r="T152" s="28"/>
      <c r="U152" s="1" t="s">
        <v>519</v>
      </c>
      <c r="V152" s="60" t="s">
        <v>520</v>
      </c>
      <c r="W152" s="1" t="s">
        <v>521</v>
      </c>
      <c r="X152" s="60" t="s">
        <v>522</v>
      </c>
    </row>
    <row r="153" spans="1:33" ht="15" customHeight="1">
      <c r="A153" s="49">
        <v>8</v>
      </c>
      <c r="B153" s="49" t="s">
        <v>26</v>
      </c>
      <c r="C153" s="50" t="s">
        <v>24</v>
      </c>
      <c r="D153" s="51" t="s">
        <v>514</v>
      </c>
      <c r="E153" s="51" t="s">
        <v>527</v>
      </c>
      <c r="F153" s="42" t="s">
        <v>379</v>
      </c>
      <c r="G153" s="53" t="s">
        <v>378</v>
      </c>
      <c r="H153" s="54"/>
      <c r="I153" s="42" t="s">
        <v>377</v>
      </c>
      <c r="J153" s="53" t="s">
        <v>528</v>
      </c>
      <c r="K153" s="54"/>
      <c r="L153" s="56" t="s">
        <v>379</v>
      </c>
      <c r="M153" s="53" t="s">
        <v>529</v>
      </c>
      <c r="N153" s="58"/>
      <c r="O153" s="59"/>
      <c r="P153" s="28"/>
      <c r="Q153" s="28"/>
      <c r="R153" s="28"/>
      <c r="S153" s="28"/>
      <c r="T153" s="28"/>
      <c r="U153" s="1" t="s">
        <v>521</v>
      </c>
      <c r="V153" s="60" t="s">
        <v>522</v>
      </c>
    </row>
    <row r="154" spans="1:33" ht="15" customHeight="1">
      <c r="A154" s="49">
        <v>8</v>
      </c>
      <c r="B154" s="49" t="s">
        <v>26</v>
      </c>
      <c r="C154" s="50" t="s">
        <v>24</v>
      </c>
      <c r="D154" s="51" t="s">
        <v>530</v>
      </c>
      <c r="E154" s="51" t="s">
        <v>531</v>
      </c>
      <c r="F154" s="42" t="s">
        <v>405</v>
      </c>
      <c r="G154" s="53" t="s">
        <v>532</v>
      </c>
      <c r="H154" s="54"/>
      <c r="I154" s="42" t="s">
        <v>379</v>
      </c>
      <c r="J154" s="53" t="s">
        <v>533</v>
      </c>
      <c r="L154" s="56" t="s">
        <v>377</v>
      </c>
      <c r="M154" s="53" t="s">
        <v>534</v>
      </c>
      <c r="O154" s="53" t="s">
        <v>535</v>
      </c>
      <c r="P154" s="28"/>
      <c r="Q154" s="28"/>
      <c r="R154" s="28"/>
      <c r="S154" s="28"/>
      <c r="T154" s="28"/>
      <c r="U154" s="1" t="s">
        <v>536</v>
      </c>
      <c r="V154" s="60" t="s">
        <v>537</v>
      </c>
      <c r="W154" s="1" t="s">
        <v>538</v>
      </c>
      <c r="X154" s="60" t="s">
        <v>539</v>
      </c>
      <c r="Y154" s="1" t="s">
        <v>540</v>
      </c>
      <c r="Z154" s="60" t="s">
        <v>541</v>
      </c>
      <c r="AA154" s="1" t="s">
        <v>542</v>
      </c>
      <c r="AB154" s="60" t="s">
        <v>543</v>
      </c>
    </row>
    <row r="155" spans="1:33" ht="15" customHeight="1">
      <c r="A155" s="49">
        <v>8</v>
      </c>
      <c r="B155" s="49" t="s">
        <v>26</v>
      </c>
      <c r="C155" s="50" t="s">
        <v>24</v>
      </c>
      <c r="D155" s="51" t="s">
        <v>530</v>
      </c>
      <c r="E155" s="51" t="s">
        <v>544</v>
      </c>
      <c r="F155" s="42" t="s">
        <v>405</v>
      </c>
      <c r="G155" s="53" t="s">
        <v>545</v>
      </c>
      <c r="H155" s="54"/>
      <c r="I155" s="42" t="s">
        <v>379</v>
      </c>
      <c r="J155" s="53" t="s">
        <v>546</v>
      </c>
      <c r="L155" s="56" t="s">
        <v>377</v>
      </c>
      <c r="M155" s="53" t="s">
        <v>534</v>
      </c>
      <c r="N155" s="58"/>
      <c r="O155" s="53" t="s">
        <v>535</v>
      </c>
      <c r="P155" s="28"/>
      <c r="Q155" s="28"/>
      <c r="R155" s="28"/>
      <c r="S155" s="28"/>
      <c r="T155" s="28"/>
      <c r="U155" s="1" t="s">
        <v>536</v>
      </c>
      <c r="V155" s="60" t="s">
        <v>537</v>
      </c>
      <c r="W155" s="1" t="s">
        <v>538</v>
      </c>
      <c r="X155" s="60" t="s">
        <v>539</v>
      </c>
      <c r="Y155" s="1" t="s">
        <v>540</v>
      </c>
      <c r="Z155" s="60" t="s">
        <v>541</v>
      </c>
      <c r="AA155" s="1" t="s">
        <v>542</v>
      </c>
      <c r="AB155" s="60" t="s">
        <v>543</v>
      </c>
    </row>
    <row r="156" spans="1:33" ht="15" customHeight="1">
      <c r="A156" s="49">
        <v>8</v>
      </c>
      <c r="B156" s="49" t="s">
        <v>26</v>
      </c>
      <c r="C156" s="50" t="s">
        <v>24</v>
      </c>
      <c r="D156" s="63" t="s">
        <v>547</v>
      </c>
      <c r="E156" s="57" t="s">
        <v>378</v>
      </c>
      <c r="F156" s="52" t="s">
        <v>379</v>
      </c>
      <c r="G156" s="57" t="s">
        <v>548</v>
      </c>
      <c r="H156" s="57"/>
      <c r="I156" s="43" t="s">
        <v>377</v>
      </c>
      <c r="J156" s="57" t="s">
        <v>549</v>
      </c>
      <c r="K156" s="69"/>
      <c r="L156" s="70" t="s">
        <v>416</v>
      </c>
      <c r="M156" s="57" t="s">
        <v>550</v>
      </c>
      <c r="N156" s="71"/>
      <c r="O156" s="71"/>
      <c r="P156" s="72"/>
      <c r="Q156" s="72"/>
      <c r="R156" s="72"/>
      <c r="S156" s="72"/>
      <c r="T156" s="72"/>
      <c r="U156" s="1" t="s">
        <v>551</v>
      </c>
      <c r="V156" s="60" t="s">
        <v>552</v>
      </c>
      <c r="W156" s="1" t="s">
        <v>553</v>
      </c>
      <c r="X156" s="73" t="s">
        <v>554</v>
      </c>
      <c r="Y156" s="1" t="s">
        <v>555</v>
      </c>
      <c r="Z156" s="60" t="s">
        <v>556</v>
      </c>
      <c r="AB156" s="74"/>
      <c r="AC156" s="74"/>
      <c r="AD156" s="74"/>
      <c r="AE156" s="74"/>
      <c r="AF156" s="74"/>
      <c r="AG156" s="75"/>
    </row>
    <row r="157" spans="1:33" ht="15" customHeight="1">
      <c r="A157" s="49">
        <v>9</v>
      </c>
      <c r="B157" s="49" t="s">
        <v>27</v>
      </c>
      <c r="C157" s="50" t="s">
        <v>24</v>
      </c>
      <c r="D157" s="51" t="s">
        <v>375</v>
      </c>
      <c r="E157" s="51" t="s">
        <v>376</v>
      </c>
      <c r="F157" s="52" t="s">
        <v>377</v>
      </c>
      <c r="G157" s="53" t="s">
        <v>378</v>
      </c>
      <c r="H157" s="54"/>
      <c r="I157" s="42" t="s">
        <v>379</v>
      </c>
      <c r="J157" s="55" t="s">
        <v>380</v>
      </c>
      <c r="K157" s="54"/>
      <c r="L157" s="56" t="s">
        <v>377</v>
      </c>
      <c r="M157" s="57" t="s">
        <v>381</v>
      </c>
      <c r="N157" s="58"/>
      <c r="O157" s="59"/>
      <c r="P157" s="28" t="s">
        <v>13</v>
      </c>
      <c r="Q157" s="28" t="s">
        <v>14</v>
      </c>
      <c r="R157" s="28" t="s">
        <v>13</v>
      </c>
      <c r="S157" s="28"/>
      <c r="T157" s="28"/>
    </row>
    <row r="158" spans="1:33" ht="15" customHeight="1">
      <c r="A158" s="49">
        <v>9</v>
      </c>
      <c r="B158" s="49" t="s">
        <v>27</v>
      </c>
      <c r="C158" s="50" t="s">
        <v>24</v>
      </c>
      <c r="D158" s="51" t="s">
        <v>375</v>
      </c>
      <c r="E158" s="51" t="s">
        <v>382</v>
      </c>
      <c r="F158" s="42" t="s">
        <v>379</v>
      </c>
      <c r="G158" s="53" t="s">
        <v>383</v>
      </c>
      <c r="H158" s="54"/>
      <c r="I158" s="42" t="s">
        <v>379</v>
      </c>
      <c r="J158" s="55" t="s">
        <v>380</v>
      </c>
      <c r="K158" s="54"/>
      <c r="L158" s="56" t="s">
        <v>377</v>
      </c>
      <c r="M158" s="57" t="s">
        <v>384</v>
      </c>
      <c r="N158" s="58"/>
      <c r="O158" s="59"/>
      <c r="P158" s="28"/>
      <c r="Q158" s="28"/>
      <c r="R158" s="28"/>
      <c r="S158" s="28"/>
      <c r="T158" s="28"/>
    </row>
    <row r="159" spans="1:33" ht="15" customHeight="1">
      <c r="A159" s="49">
        <v>9</v>
      </c>
      <c r="B159" s="49" t="s">
        <v>27</v>
      </c>
      <c r="C159" s="50" t="s">
        <v>24</v>
      </c>
      <c r="D159" s="51" t="s">
        <v>375</v>
      </c>
      <c r="E159" s="51" t="s">
        <v>385</v>
      </c>
      <c r="F159" s="42" t="s">
        <v>379</v>
      </c>
      <c r="G159" s="57" t="s">
        <v>386</v>
      </c>
      <c r="H159" s="54"/>
      <c r="I159" s="42" t="s">
        <v>379</v>
      </c>
      <c r="J159" s="55" t="s">
        <v>387</v>
      </c>
      <c r="K159" s="54"/>
      <c r="L159" s="56" t="s">
        <v>377</v>
      </c>
      <c r="M159" s="57" t="s">
        <v>388</v>
      </c>
      <c r="N159" s="58"/>
      <c r="O159" s="61"/>
      <c r="P159" s="28"/>
      <c r="Q159" s="28"/>
      <c r="R159" s="28"/>
      <c r="S159" s="28"/>
      <c r="T159" s="28"/>
      <c r="U159" s="62" t="s">
        <v>389</v>
      </c>
      <c r="V159" s="60" t="s">
        <v>390</v>
      </c>
      <c r="W159" s="60" t="s">
        <v>391</v>
      </c>
      <c r="X159" s="60" t="s">
        <v>392</v>
      </c>
      <c r="Y159" s="1" t="s">
        <v>393</v>
      </c>
      <c r="Z159" s="60" t="s">
        <v>394</v>
      </c>
      <c r="AA159" s="1" t="s">
        <v>395</v>
      </c>
      <c r="AB159" s="60" t="s">
        <v>396</v>
      </c>
      <c r="AE159" s="40" t="s">
        <v>397</v>
      </c>
      <c r="AF159" s="27" t="s">
        <v>398</v>
      </c>
      <c r="AG159" s="40" t="s">
        <v>399</v>
      </c>
    </row>
    <row r="160" spans="1:33" ht="15" customHeight="1">
      <c r="A160" s="49">
        <v>9</v>
      </c>
      <c r="B160" s="49" t="s">
        <v>27</v>
      </c>
      <c r="C160" s="50" t="s">
        <v>24</v>
      </c>
      <c r="D160" s="51" t="s">
        <v>401</v>
      </c>
      <c r="E160" s="51" t="s">
        <v>402</v>
      </c>
      <c r="F160" s="56" t="s">
        <v>403</v>
      </c>
      <c r="G160" s="53" t="s">
        <v>404</v>
      </c>
      <c r="H160" s="54"/>
      <c r="I160" s="42" t="s">
        <v>405</v>
      </c>
      <c r="J160" s="53" t="s">
        <v>406</v>
      </c>
      <c r="K160" s="54"/>
      <c r="L160" s="56" t="s">
        <v>405</v>
      </c>
      <c r="M160" s="57" t="s">
        <v>407</v>
      </c>
      <c r="N160" s="58"/>
      <c r="O160" s="59"/>
      <c r="P160" s="28"/>
      <c r="Q160" s="28"/>
      <c r="R160" s="28"/>
      <c r="S160" s="28"/>
      <c r="T160" s="28"/>
      <c r="U160" s="1" t="s">
        <v>408</v>
      </c>
      <c r="V160" s="60" t="s">
        <v>409</v>
      </c>
      <c r="W160" s="1" t="s">
        <v>410</v>
      </c>
      <c r="X160" s="60" t="s">
        <v>411</v>
      </c>
      <c r="Z160" s="60" t="s">
        <v>412</v>
      </c>
      <c r="AA160" s="60" t="s">
        <v>413</v>
      </c>
    </row>
    <row r="161" spans="1:30" ht="15" customHeight="1">
      <c r="A161" s="49">
        <v>9</v>
      </c>
      <c r="B161" s="49" t="s">
        <v>27</v>
      </c>
      <c r="C161" s="50" t="s">
        <v>24</v>
      </c>
      <c r="D161" s="51" t="s">
        <v>401</v>
      </c>
      <c r="E161" s="51" t="s">
        <v>414</v>
      </c>
      <c r="F161" s="52" t="s">
        <v>379</v>
      </c>
      <c r="G161" s="53" t="s">
        <v>415</v>
      </c>
      <c r="H161" s="54"/>
      <c r="I161" s="42" t="s">
        <v>416</v>
      </c>
      <c r="J161" s="53" t="s">
        <v>417</v>
      </c>
      <c r="K161" s="54"/>
      <c r="L161" s="56" t="s">
        <v>405</v>
      </c>
      <c r="M161" s="53" t="s">
        <v>418</v>
      </c>
      <c r="N161" s="58"/>
      <c r="O161" s="59"/>
      <c r="P161" s="28"/>
      <c r="Q161" s="28"/>
      <c r="R161" s="28"/>
      <c r="S161" s="28"/>
      <c r="T161" s="28"/>
      <c r="U161" s="1" t="s">
        <v>419</v>
      </c>
      <c r="V161" s="60" t="s">
        <v>420</v>
      </c>
      <c r="W161" s="1" t="s">
        <v>408</v>
      </c>
      <c r="X161" s="60" t="s">
        <v>409</v>
      </c>
      <c r="Z161" s="60" t="s">
        <v>412</v>
      </c>
      <c r="AA161" s="60" t="s">
        <v>413</v>
      </c>
    </row>
    <row r="162" spans="1:30" ht="15" customHeight="1">
      <c r="A162" s="49">
        <v>9</v>
      </c>
      <c r="B162" s="49" t="s">
        <v>27</v>
      </c>
      <c r="C162" s="50" t="s">
        <v>24</v>
      </c>
      <c r="D162" s="51" t="s">
        <v>401</v>
      </c>
      <c r="E162" s="63" t="s">
        <v>557</v>
      </c>
      <c r="F162" s="52" t="s">
        <v>416</v>
      </c>
      <c r="G162" s="53" t="s">
        <v>422</v>
      </c>
      <c r="H162" s="54"/>
      <c r="I162" s="42" t="s">
        <v>416</v>
      </c>
      <c r="J162" s="53" t="s">
        <v>423</v>
      </c>
      <c r="K162" s="54"/>
      <c r="L162" s="56" t="s">
        <v>405</v>
      </c>
      <c r="M162" s="53" t="s">
        <v>424</v>
      </c>
      <c r="N162" s="58"/>
      <c r="O162" s="64"/>
      <c r="P162" s="28"/>
      <c r="Q162" s="28"/>
      <c r="R162" s="28"/>
      <c r="S162" s="28"/>
      <c r="T162" s="28"/>
      <c r="U162" s="1" t="s">
        <v>425</v>
      </c>
      <c r="V162" s="60" t="s">
        <v>426</v>
      </c>
      <c r="W162" s="1" t="s">
        <v>427</v>
      </c>
      <c r="X162" s="60" t="s">
        <v>428</v>
      </c>
      <c r="Z162" s="60" t="s">
        <v>412</v>
      </c>
      <c r="AA162" s="60" t="s">
        <v>413</v>
      </c>
    </row>
    <row r="163" spans="1:30" ht="15" customHeight="1">
      <c r="A163" s="49">
        <v>9</v>
      </c>
      <c r="B163" s="49" t="s">
        <v>27</v>
      </c>
      <c r="C163" s="50" t="s">
        <v>24</v>
      </c>
      <c r="D163" s="51" t="s">
        <v>429</v>
      </c>
      <c r="E163" s="51" t="s">
        <v>430</v>
      </c>
      <c r="F163" s="52" t="s">
        <v>379</v>
      </c>
      <c r="G163" s="53" t="s">
        <v>431</v>
      </c>
      <c r="H163" s="54"/>
      <c r="I163" s="42" t="s">
        <v>379</v>
      </c>
      <c r="J163" s="53" t="s">
        <v>565</v>
      </c>
      <c r="K163" s="54"/>
      <c r="L163" s="56" t="s">
        <v>405</v>
      </c>
      <c r="M163" s="53" t="s">
        <v>433</v>
      </c>
      <c r="N163" s="58"/>
      <c r="O163" s="59"/>
      <c r="P163" s="28"/>
      <c r="Q163" s="28"/>
      <c r="R163" s="28"/>
      <c r="S163" s="28"/>
      <c r="T163" s="28"/>
      <c r="U163" s="60" t="s">
        <v>434</v>
      </c>
      <c r="V163" s="60" t="s">
        <v>435</v>
      </c>
      <c r="W163" s="1" t="s">
        <v>436</v>
      </c>
      <c r="X163" s="60" t="s">
        <v>437</v>
      </c>
      <c r="Y163" s="1" t="s">
        <v>438</v>
      </c>
      <c r="Z163" s="60" t="s">
        <v>439</v>
      </c>
      <c r="AA163" s="1" t="s">
        <v>440</v>
      </c>
      <c r="AB163" s="60" t="s">
        <v>441</v>
      </c>
      <c r="AC163" s="1" t="s">
        <v>442</v>
      </c>
      <c r="AD163" s="60" t="s">
        <v>437</v>
      </c>
    </row>
    <row r="164" spans="1:30" ht="15" customHeight="1">
      <c r="A164" s="49">
        <v>9</v>
      </c>
      <c r="B164" s="49" t="s">
        <v>27</v>
      </c>
      <c r="C164" s="50" t="s">
        <v>24</v>
      </c>
      <c r="D164" s="51" t="s">
        <v>429</v>
      </c>
      <c r="E164" s="51" t="s">
        <v>443</v>
      </c>
      <c r="F164" s="52" t="s">
        <v>416</v>
      </c>
      <c r="G164" s="53" t="s">
        <v>444</v>
      </c>
      <c r="H164" s="54"/>
      <c r="I164" s="42" t="s">
        <v>416</v>
      </c>
      <c r="J164" s="53" t="s">
        <v>559</v>
      </c>
      <c r="L164" s="56" t="s">
        <v>405</v>
      </c>
      <c r="M164" s="53" t="s">
        <v>446</v>
      </c>
      <c r="N164" s="58"/>
      <c r="O164" s="59"/>
      <c r="P164" s="28"/>
      <c r="Q164" s="28"/>
      <c r="R164" s="28"/>
      <c r="S164" s="28"/>
      <c r="T164" s="28"/>
      <c r="U164" s="1" t="s">
        <v>447</v>
      </c>
      <c r="V164" s="60" t="s">
        <v>448</v>
      </c>
      <c r="W164" s="1" t="s">
        <v>449</v>
      </c>
      <c r="X164" s="60" t="s">
        <v>450</v>
      </c>
      <c r="Y164" s="1" t="s">
        <v>451</v>
      </c>
      <c r="Z164" s="60" t="s">
        <v>452</v>
      </c>
    </row>
    <row r="165" spans="1:30" ht="15" customHeight="1">
      <c r="A165" s="49">
        <v>9</v>
      </c>
      <c r="B165" s="49" t="s">
        <v>27</v>
      </c>
      <c r="C165" s="50" t="s">
        <v>24</v>
      </c>
      <c r="D165" s="51" t="s">
        <v>429</v>
      </c>
      <c r="E165" s="51" t="s">
        <v>453</v>
      </c>
      <c r="F165" s="42" t="s">
        <v>405</v>
      </c>
      <c r="G165" s="53" t="s">
        <v>454</v>
      </c>
      <c r="H165" s="54"/>
      <c r="I165" s="42" t="s">
        <v>416</v>
      </c>
      <c r="J165" s="53" t="s">
        <v>561</v>
      </c>
      <c r="K165" s="54"/>
      <c r="L165" s="56" t="s">
        <v>416</v>
      </c>
      <c r="M165" s="53" t="s">
        <v>456</v>
      </c>
      <c r="N165" s="58"/>
      <c r="O165" s="59"/>
      <c r="P165" s="28"/>
      <c r="Q165" s="28"/>
      <c r="R165" s="28"/>
      <c r="S165" s="28"/>
      <c r="T165" s="28"/>
      <c r="U165" s="1" t="s">
        <v>457</v>
      </c>
      <c r="V165" s="60" t="s">
        <v>458</v>
      </c>
      <c r="W165" s="1" t="s">
        <v>459</v>
      </c>
      <c r="X165" s="60" t="s">
        <v>460</v>
      </c>
      <c r="Y165" s="1" t="s">
        <v>447</v>
      </c>
      <c r="Z165" s="60" t="s">
        <v>448</v>
      </c>
    </row>
    <row r="166" spans="1:30" ht="15" customHeight="1">
      <c r="A166" s="49">
        <v>9</v>
      </c>
      <c r="B166" s="49" t="s">
        <v>27</v>
      </c>
      <c r="C166" s="50" t="s">
        <v>24</v>
      </c>
      <c r="D166" s="51" t="s">
        <v>429</v>
      </c>
      <c r="E166" s="51" t="s">
        <v>461</v>
      </c>
      <c r="F166" s="42" t="s">
        <v>377</v>
      </c>
      <c r="G166" s="53" t="s">
        <v>462</v>
      </c>
      <c r="H166" s="66"/>
      <c r="I166" s="42" t="s">
        <v>416</v>
      </c>
      <c r="J166" s="53" t="s">
        <v>463</v>
      </c>
      <c r="K166" s="54"/>
      <c r="L166" s="56" t="s">
        <v>377</v>
      </c>
      <c r="M166" s="53" t="s">
        <v>464</v>
      </c>
      <c r="N166" s="58"/>
      <c r="O166" s="59"/>
      <c r="P166" s="28"/>
      <c r="Q166" s="28"/>
      <c r="R166" s="28"/>
      <c r="S166" s="28"/>
      <c r="T166" s="28"/>
      <c r="U166" s="1" t="s">
        <v>465</v>
      </c>
      <c r="V166" s="60" t="s">
        <v>466</v>
      </c>
      <c r="W166" s="1" t="s">
        <v>467</v>
      </c>
      <c r="X166" s="60" t="s">
        <v>468</v>
      </c>
      <c r="Y166" s="1" t="s">
        <v>469</v>
      </c>
    </row>
    <row r="167" spans="1:30" ht="15" customHeight="1">
      <c r="A167" s="49">
        <v>9</v>
      </c>
      <c r="B167" s="49" t="s">
        <v>27</v>
      </c>
      <c r="C167" s="50" t="s">
        <v>24</v>
      </c>
      <c r="D167" s="51" t="s">
        <v>470</v>
      </c>
      <c r="E167" s="51" t="s">
        <v>471</v>
      </c>
      <c r="F167" s="42" t="s">
        <v>405</v>
      </c>
      <c r="G167" s="53" t="s">
        <v>472</v>
      </c>
      <c r="H167" s="54"/>
      <c r="I167" s="42" t="s">
        <v>416</v>
      </c>
      <c r="J167" s="53" t="s">
        <v>473</v>
      </c>
      <c r="K167" s="54"/>
      <c r="L167" s="56" t="s">
        <v>379</v>
      </c>
      <c r="M167" s="53" t="s">
        <v>474</v>
      </c>
      <c r="N167" s="58"/>
      <c r="O167" s="59"/>
      <c r="P167" s="28"/>
      <c r="Q167" s="28"/>
      <c r="R167" s="28"/>
      <c r="S167" s="28"/>
      <c r="T167" s="28"/>
      <c r="U167" s="1" t="s">
        <v>475</v>
      </c>
      <c r="V167" s="60" t="s">
        <v>476</v>
      </c>
    </row>
    <row r="168" spans="1:30" ht="15" customHeight="1">
      <c r="A168" s="49">
        <v>9</v>
      </c>
      <c r="B168" s="49" t="s">
        <v>27</v>
      </c>
      <c r="C168" s="50" t="s">
        <v>24</v>
      </c>
      <c r="D168" s="51" t="s">
        <v>470</v>
      </c>
      <c r="E168" s="51" t="s">
        <v>477</v>
      </c>
      <c r="F168" s="52" t="s">
        <v>379</v>
      </c>
      <c r="G168" s="53" t="s">
        <v>478</v>
      </c>
      <c r="H168" s="54"/>
      <c r="I168" s="42" t="s">
        <v>377</v>
      </c>
      <c r="J168" s="53" t="s">
        <v>563</v>
      </c>
      <c r="K168" s="54"/>
      <c r="L168" s="56" t="s">
        <v>379</v>
      </c>
      <c r="M168" s="53" t="s">
        <v>480</v>
      </c>
      <c r="N168" s="58"/>
      <c r="O168" s="59"/>
      <c r="P168" s="28"/>
      <c r="Q168" s="28"/>
      <c r="R168" s="28"/>
      <c r="S168" s="28"/>
      <c r="T168" s="28"/>
      <c r="U168" s="1" t="s">
        <v>481</v>
      </c>
      <c r="V168" s="60" t="s">
        <v>482</v>
      </c>
    </row>
    <row r="169" spans="1:30" ht="15" customHeight="1">
      <c r="A169" s="49">
        <v>9</v>
      </c>
      <c r="B169" s="49" t="s">
        <v>27</v>
      </c>
      <c r="C169" s="50" t="s">
        <v>24</v>
      </c>
      <c r="D169" s="51" t="s">
        <v>483</v>
      </c>
      <c r="E169" s="51" t="s">
        <v>484</v>
      </c>
      <c r="F169" s="42" t="s">
        <v>405</v>
      </c>
      <c r="G169" s="53" t="s">
        <v>485</v>
      </c>
      <c r="H169" s="54"/>
      <c r="I169" s="42" t="s">
        <v>416</v>
      </c>
      <c r="J169" s="53" t="s">
        <v>486</v>
      </c>
      <c r="K169" s="54"/>
      <c r="L169" s="56" t="s">
        <v>487</v>
      </c>
      <c r="M169" s="53" t="s">
        <v>488</v>
      </c>
      <c r="N169" s="58"/>
      <c r="O169" s="59"/>
      <c r="P169" s="28"/>
      <c r="Q169" s="28"/>
      <c r="R169" s="28"/>
      <c r="S169" s="28"/>
      <c r="T169" s="28"/>
      <c r="U169" s="1" t="s">
        <v>489</v>
      </c>
      <c r="V169" s="60" t="s">
        <v>490</v>
      </c>
      <c r="W169" s="1" t="s">
        <v>491</v>
      </c>
      <c r="X169" s="60" t="s">
        <v>492</v>
      </c>
      <c r="Y169" s="1" t="s">
        <v>493</v>
      </c>
      <c r="Z169" s="60" t="s">
        <v>494</v>
      </c>
    </row>
    <row r="170" spans="1:30" ht="15" customHeight="1">
      <c r="A170" s="49">
        <v>9</v>
      </c>
      <c r="B170" s="49" t="s">
        <v>27</v>
      </c>
      <c r="C170" s="50" t="s">
        <v>24</v>
      </c>
      <c r="D170" s="51" t="s">
        <v>483</v>
      </c>
      <c r="E170" s="51" t="s">
        <v>495</v>
      </c>
      <c r="F170" s="52" t="s">
        <v>379</v>
      </c>
      <c r="G170" s="53" t="s">
        <v>378</v>
      </c>
      <c r="H170" s="54"/>
      <c r="I170" s="42" t="s">
        <v>416</v>
      </c>
      <c r="J170" s="53" t="s">
        <v>496</v>
      </c>
      <c r="K170" s="54"/>
      <c r="L170" s="56" t="s">
        <v>416</v>
      </c>
      <c r="M170" s="53" t="s">
        <v>497</v>
      </c>
      <c r="N170" s="58"/>
      <c r="O170" s="59"/>
      <c r="P170" s="28"/>
      <c r="Q170" s="28"/>
      <c r="R170" s="28"/>
      <c r="S170" s="28"/>
      <c r="T170" s="28"/>
    </row>
    <row r="171" spans="1:30" ht="15" customHeight="1">
      <c r="A171" s="49">
        <v>9</v>
      </c>
      <c r="B171" s="49" t="s">
        <v>27</v>
      </c>
      <c r="C171" s="50" t="s">
        <v>24</v>
      </c>
      <c r="D171" s="51" t="s">
        <v>483</v>
      </c>
      <c r="E171" s="51" t="s">
        <v>498</v>
      </c>
      <c r="F171" s="52" t="s">
        <v>379</v>
      </c>
      <c r="G171" s="53" t="s">
        <v>499</v>
      </c>
      <c r="H171" s="54"/>
      <c r="I171" s="42" t="s">
        <v>379</v>
      </c>
      <c r="J171" s="53" t="s">
        <v>500</v>
      </c>
      <c r="K171" s="54"/>
      <c r="L171" s="56" t="s">
        <v>377</v>
      </c>
      <c r="M171" s="53" t="s">
        <v>501</v>
      </c>
      <c r="N171" s="58"/>
      <c r="O171" s="59"/>
      <c r="P171" s="28"/>
      <c r="Q171" s="28"/>
      <c r="R171" s="28"/>
      <c r="S171" s="28"/>
      <c r="T171" s="28"/>
      <c r="U171" s="60" t="s">
        <v>502</v>
      </c>
      <c r="V171" s="60" t="s">
        <v>503</v>
      </c>
      <c r="W171" s="1" t="s">
        <v>504</v>
      </c>
      <c r="X171" s="60" t="s">
        <v>505</v>
      </c>
    </row>
    <row r="172" spans="1:30" ht="15" customHeight="1">
      <c r="A172" s="49">
        <v>9</v>
      </c>
      <c r="B172" s="49" t="s">
        <v>27</v>
      </c>
      <c r="C172" s="50" t="s">
        <v>24</v>
      </c>
      <c r="D172" s="51" t="s">
        <v>483</v>
      </c>
      <c r="E172" s="51" t="s">
        <v>506</v>
      </c>
      <c r="F172" s="42" t="s">
        <v>405</v>
      </c>
      <c r="G172" s="53" t="s">
        <v>507</v>
      </c>
      <c r="H172" s="54"/>
      <c r="I172" s="42" t="s">
        <v>379</v>
      </c>
      <c r="J172" s="53" t="s">
        <v>508</v>
      </c>
      <c r="K172" s="54"/>
      <c r="L172" s="56" t="s">
        <v>377</v>
      </c>
      <c r="M172" s="53" t="s">
        <v>509</v>
      </c>
      <c r="N172" s="58"/>
      <c r="O172" s="59"/>
      <c r="P172" s="28"/>
      <c r="Q172" s="28"/>
      <c r="R172" s="28"/>
      <c r="S172" s="28"/>
      <c r="T172" s="28"/>
      <c r="U172" s="60" t="s">
        <v>510</v>
      </c>
      <c r="V172" s="60" t="s">
        <v>511</v>
      </c>
      <c r="W172" s="1" t="s">
        <v>512</v>
      </c>
      <c r="X172" s="60" t="s">
        <v>513</v>
      </c>
    </row>
    <row r="173" spans="1:30" ht="15" customHeight="1">
      <c r="A173" s="49">
        <v>9</v>
      </c>
      <c r="B173" s="49" t="s">
        <v>27</v>
      </c>
      <c r="C173" s="50" t="s">
        <v>24</v>
      </c>
      <c r="D173" s="51" t="s">
        <v>514</v>
      </c>
      <c r="E173" s="51" t="s">
        <v>515</v>
      </c>
      <c r="F173" s="52" t="s">
        <v>379</v>
      </c>
      <c r="G173" s="53" t="s">
        <v>516</v>
      </c>
      <c r="H173" s="54"/>
      <c r="I173" s="42" t="s">
        <v>416</v>
      </c>
      <c r="J173" s="67" t="s">
        <v>517</v>
      </c>
      <c r="K173" s="54"/>
      <c r="L173" s="56" t="s">
        <v>377</v>
      </c>
      <c r="M173" s="53" t="s">
        <v>518</v>
      </c>
      <c r="N173" s="58"/>
      <c r="O173" s="59"/>
      <c r="P173" s="28"/>
      <c r="Q173" s="28"/>
      <c r="R173" s="28"/>
      <c r="S173" s="28"/>
      <c r="T173" s="28"/>
      <c r="U173" s="1" t="s">
        <v>519</v>
      </c>
      <c r="V173" s="60" t="s">
        <v>520</v>
      </c>
      <c r="W173" s="1" t="s">
        <v>521</v>
      </c>
      <c r="X173" s="60" t="s">
        <v>522</v>
      </c>
    </row>
    <row r="174" spans="1:30" ht="15" customHeight="1">
      <c r="A174" s="49">
        <v>9</v>
      </c>
      <c r="B174" s="49" t="s">
        <v>27</v>
      </c>
      <c r="C174" s="50" t="s">
        <v>24</v>
      </c>
      <c r="D174" s="51" t="s">
        <v>514</v>
      </c>
      <c r="E174" s="51" t="s">
        <v>523</v>
      </c>
      <c r="F174" s="42" t="s">
        <v>379</v>
      </c>
      <c r="G174" s="53" t="s">
        <v>524</v>
      </c>
      <c r="H174" s="54"/>
      <c r="I174" s="42" t="s">
        <v>416</v>
      </c>
      <c r="J174" s="67" t="s">
        <v>525</v>
      </c>
      <c r="K174" s="54"/>
      <c r="L174" s="56" t="s">
        <v>405</v>
      </c>
      <c r="M174" s="53" t="s">
        <v>526</v>
      </c>
      <c r="N174" s="58"/>
      <c r="O174" s="59"/>
      <c r="P174" s="28"/>
      <c r="Q174" s="28"/>
      <c r="R174" s="28"/>
      <c r="S174" s="28"/>
      <c r="T174" s="28"/>
      <c r="U174" s="1" t="s">
        <v>519</v>
      </c>
      <c r="V174" s="60" t="s">
        <v>520</v>
      </c>
      <c r="W174" s="1" t="s">
        <v>521</v>
      </c>
      <c r="X174" s="60" t="s">
        <v>522</v>
      </c>
    </row>
    <row r="175" spans="1:30" ht="15" customHeight="1">
      <c r="A175" s="49">
        <v>9</v>
      </c>
      <c r="B175" s="49" t="s">
        <v>27</v>
      </c>
      <c r="C175" s="50" t="s">
        <v>24</v>
      </c>
      <c r="D175" s="51" t="s">
        <v>514</v>
      </c>
      <c r="E175" s="51" t="s">
        <v>527</v>
      </c>
      <c r="F175" s="42" t="s">
        <v>379</v>
      </c>
      <c r="G175" s="53" t="s">
        <v>378</v>
      </c>
      <c r="H175" s="54"/>
      <c r="I175" s="42" t="s">
        <v>377</v>
      </c>
      <c r="J175" s="53" t="s">
        <v>528</v>
      </c>
      <c r="K175" s="54"/>
      <c r="L175" s="56" t="s">
        <v>379</v>
      </c>
      <c r="M175" s="53" t="s">
        <v>529</v>
      </c>
      <c r="N175" s="58"/>
      <c r="O175" s="59"/>
      <c r="P175" s="28"/>
      <c r="Q175" s="28"/>
      <c r="R175" s="28"/>
      <c r="S175" s="28"/>
      <c r="T175" s="28"/>
      <c r="U175" s="1" t="s">
        <v>521</v>
      </c>
      <c r="V175" s="60" t="s">
        <v>522</v>
      </c>
    </row>
    <row r="176" spans="1:30" ht="15" customHeight="1">
      <c r="A176" s="49">
        <v>9</v>
      </c>
      <c r="B176" s="49" t="s">
        <v>27</v>
      </c>
      <c r="C176" s="50" t="s">
        <v>24</v>
      </c>
      <c r="D176" s="51" t="s">
        <v>530</v>
      </c>
      <c r="E176" s="51" t="s">
        <v>531</v>
      </c>
      <c r="F176" s="42" t="s">
        <v>405</v>
      </c>
      <c r="G176" s="53" t="s">
        <v>532</v>
      </c>
      <c r="H176" s="54"/>
      <c r="I176" s="42" t="s">
        <v>379</v>
      </c>
      <c r="J176" s="53" t="s">
        <v>533</v>
      </c>
      <c r="L176" s="56" t="s">
        <v>377</v>
      </c>
      <c r="M176" s="53" t="s">
        <v>534</v>
      </c>
      <c r="O176" s="53" t="s">
        <v>535</v>
      </c>
      <c r="P176" s="28"/>
      <c r="Q176" s="28"/>
      <c r="R176" s="28"/>
      <c r="S176" s="28"/>
      <c r="T176" s="28"/>
      <c r="U176" s="1" t="s">
        <v>536</v>
      </c>
      <c r="V176" s="60" t="s">
        <v>537</v>
      </c>
      <c r="W176" s="1" t="s">
        <v>538</v>
      </c>
      <c r="X176" s="60" t="s">
        <v>539</v>
      </c>
      <c r="Y176" s="1" t="s">
        <v>540</v>
      </c>
      <c r="Z176" s="60" t="s">
        <v>541</v>
      </c>
      <c r="AA176" s="1" t="s">
        <v>542</v>
      </c>
      <c r="AB176" s="60" t="s">
        <v>543</v>
      </c>
    </row>
    <row r="177" spans="1:33" ht="15" customHeight="1">
      <c r="A177" s="49">
        <v>9</v>
      </c>
      <c r="B177" s="49" t="s">
        <v>27</v>
      </c>
      <c r="C177" s="50" t="s">
        <v>24</v>
      </c>
      <c r="D177" s="51" t="s">
        <v>530</v>
      </c>
      <c r="E177" s="51" t="s">
        <v>544</v>
      </c>
      <c r="F177" s="42" t="s">
        <v>405</v>
      </c>
      <c r="G177" s="53" t="s">
        <v>545</v>
      </c>
      <c r="H177" s="54"/>
      <c r="I177" s="42" t="s">
        <v>379</v>
      </c>
      <c r="J177" s="53" t="s">
        <v>546</v>
      </c>
      <c r="L177" s="56" t="s">
        <v>377</v>
      </c>
      <c r="M177" s="53" t="s">
        <v>534</v>
      </c>
      <c r="N177" s="58"/>
      <c r="O177" s="53" t="s">
        <v>535</v>
      </c>
      <c r="P177" s="28"/>
      <c r="Q177" s="28"/>
      <c r="R177" s="28"/>
      <c r="S177" s="28"/>
      <c r="T177" s="28"/>
      <c r="U177" s="1" t="s">
        <v>536</v>
      </c>
      <c r="V177" s="60" t="s">
        <v>537</v>
      </c>
      <c r="W177" s="1" t="s">
        <v>538</v>
      </c>
      <c r="X177" s="60" t="s">
        <v>539</v>
      </c>
      <c r="Y177" s="1" t="s">
        <v>540</v>
      </c>
      <c r="Z177" s="60" t="s">
        <v>541</v>
      </c>
      <c r="AA177" s="1" t="s">
        <v>542</v>
      </c>
      <c r="AB177" s="60" t="s">
        <v>543</v>
      </c>
    </row>
    <row r="178" spans="1:33" ht="15" customHeight="1">
      <c r="A178" s="49">
        <v>9</v>
      </c>
      <c r="B178" s="49" t="s">
        <v>27</v>
      </c>
      <c r="C178" s="50"/>
      <c r="D178" s="63" t="s">
        <v>547</v>
      </c>
      <c r="E178" s="57" t="s">
        <v>378</v>
      </c>
      <c r="F178" s="52" t="s">
        <v>379</v>
      </c>
      <c r="G178" s="57" t="s">
        <v>548</v>
      </c>
      <c r="H178" s="57"/>
      <c r="I178" s="43" t="s">
        <v>377</v>
      </c>
      <c r="J178" s="57" t="s">
        <v>549</v>
      </c>
      <c r="K178" s="69"/>
      <c r="L178" s="70" t="s">
        <v>416</v>
      </c>
      <c r="M178" s="57" t="s">
        <v>550</v>
      </c>
      <c r="N178" s="71"/>
      <c r="O178" s="71"/>
      <c r="P178" s="72"/>
      <c r="Q178" s="72"/>
      <c r="R178" s="72"/>
      <c r="S178" s="72"/>
      <c r="T178" s="72"/>
      <c r="U178" s="1" t="s">
        <v>551</v>
      </c>
      <c r="V178" s="60" t="s">
        <v>552</v>
      </c>
      <c r="W178" s="1" t="s">
        <v>553</v>
      </c>
      <c r="X178" s="73" t="s">
        <v>554</v>
      </c>
      <c r="Y178" s="1" t="s">
        <v>555</v>
      </c>
      <c r="Z178" s="60" t="s">
        <v>556</v>
      </c>
      <c r="AB178" s="74"/>
      <c r="AC178" s="74"/>
      <c r="AD178" s="74"/>
      <c r="AE178" s="74"/>
      <c r="AF178" s="74"/>
      <c r="AG178" s="75"/>
    </row>
    <row r="179" spans="1:33" ht="15" customHeight="1">
      <c r="A179" s="49">
        <v>10</v>
      </c>
      <c r="B179" s="49" t="s">
        <v>29</v>
      </c>
      <c r="C179" s="50" t="s">
        <v>30</v>
      </c>
      <c r="D179" s="51" t="s">
        <v>375</v>
      </c>
      <c r="E179" s="51" t="s">
        <v>376</v>
      </c>
      <c r="F179" s="52" t="s">
        <v>377</v>
      </c>
      <c r="G179" s="53" t="s">
        <v>378</v>
      </c>
      <c r="H179" s="54"/>
      <c r="I179" s="42" t="s">
        <v>379</v>
      </c>
      <c r="J179" s="55" t="s">
        <v>380</v>
      </c>
      <c r="K179" s="54"/>
      <c r="L179" s="56" t="s">
        <v>377</v>
      </c>
      <c r="M179" s="57" t="s">
        <v>381</v>
      </c>
      <c r="N179" s="58"/>
      <c r="O179" s="59"/>
      <c r="P179" s="28" t="s">
        <v>13</v>
      </c>
      <c r="Q179" s="28" t="s">
        <v>14</v>
      </c>
      <c r="R179" s="28" t="s">
        <v>13</v>
      </c>
      <c r="S179" s="28"/>
      <c r="T179" s="28"/>
    </row>
    <row r="180" spans="1:33" ht="15" customHeight="1">
      <c r="A180" s="49">
        <v>10</v>
      </c>
      <c r="B180" s="49" t="s">
        <v>29</v>
      </c>
      <c r="C180" s="50" t="s">
        <v>30</v>
      </c>
      <c r="D180" s="51" t="s">
        <v>375</v>
      </c>
      <c r="E180" s="51" t="s">
        <v>382</v>
      </c>
      <c r="F180" s="42" t="s">
        <v>379</v>
      </c>
      <c r="G180" s="53" t="s">
        <v>383</v>
      </c>
      <c r="H180" s="54"/>
      <c r="I180" s="42" t="s">
        <v>379</v>
      </c>
      <c r="J180" s="55" t="s">
        <v>380</v>
      </c>
      <c r="K180" s="54"/>
      <c r="L180" s="56" t="s">
        <v>377</v>
      </c>
      <c r="M180" s="57" t="s">
        <v>384</v>
      </c>
      <c r="N180" s="58"/>
      <c r="O180" s="59"/>
      <c r="P180" s="28"/>
      <c r="Q180" s="28"/>
      <c r="R180" s="28"/>
      <c r="S180" s="28"/>
      <c r="T180" s="28"/>
    </row>
    <row r="181" spans="1:33" ht="15" customHeight="1">
      <c r="A181" s="49">
        <v>10</v>
      </c>
      <c r="B181" s="49" t="s">
        <v>29</v>
      </c>
      <c r="C181" s="50" t="s">
        <v>30</v>
      </c>
      <c r="D181" s="51" t="s">
        <v>375</v>
      </c>
      <c r="E181" s="51" t="s">
        <v>385</v>
      </c>
      <c r="F181" s="42" t="s">
        <v>379</v>
      </c>
      <c r="G181" s="57" t="s">
        <v>386</v>
      </c>
      <c r="H181" s="54"/>
      <c r="I181" s="42" t="s">
        <v>379</v>
      </c>
      <c r="J181" s="55" t="s">
        <v>387</v>
      </c>
      <c r="K181" s="54"/>
      <c r="L181" s="56" t="s">
        <v>377</v>
      </c>
      <c r="M181" s="57" t="s">
        <v>388</v>
      </c>
      <c r="N181" s="58"/>
      <c r="O181" s="61"/>
      <c r="P181" s="28"/>
      <c r="Q181" s="28"/>
      <c r="R181" s="28"/>
      <c r="S181" s="28"/>
      <c r="T181" s="28"/>
      <c r="U181" s="62" t="s">
        <v>389</v>
      </c>
      <c r="V181" s="60" t="s">
        <v>390</v>
      </c>
      <c r="W181" s="60" t="s">
        <v>391</v>
      </c>
      <c r="X181" s="60" t="s">
        <v>392</v>
      </c>
      <c r="Y181" s="1" t="s">
        <v>393</v>
      </c>
      <c r="Z181" s="60" t="s">
        <v>394</v>
      </c>
      <c r="AA181" s="1" t="s">
        <v>395</v>
      </c>
      <c r="AB181" s="60" t="s">
        <v>396</v>
      </c>
      <c r="AE181" s="40" t="s">
        <v>397</v>
      </c>
      <c r="AF181" s="27" t="s">
        <v>398</v>
      </c>
      <c r="AG181" s="40" t="s">
        <v>399</v>
      </c>
    </row>
    <row r="182" spans="1:33" ht="15" customHeight="1">
      <c r="A182" s="49">
        <v>10</v>
      </c>
      <c r="B182" s="49" t="s">
        <v>29</v>
      </c>
      <c r="C182" s="50" t="s">
        <v>30</v>
      </c>
      <c r="D182" s="51" t="s">
        <v>401</v>
      </c>
      <c r="E182" s="51" t="s">
        <v>402</v>
      </c>
      <c r="F182" s="56" t="s">
        <v>403</v>
      </c>
      <c r="G182" s="53" t="s">
        <v>404</v>
      </c>
      <c r="H182" s="54"/>
      <c r="I182" s="42" t="s">
        <v>405</v>
      </c>
      <c r="J182" s="53" t="s">
        <v>406</v>
      </c>
      <c r="K182" s="54"/>
      <c r="L182" s="56" t="s">
        <v>405</v>
      </c>
      <c r="M182" s="57" t="s">
        <v>407</v>
      </c>
      <c r="N182" s="58"/>
      <c r="O182" s="59"/>
      <c r="P182" s="28"/>
      <c r="Q182" s="28"/>
      <c r="R182" s="28"/>
      <c r="S182" s="28"/>
      <c r="T182" s="28"/>
      <c r="U182" s="1" t="s">
        <v>408</v>
      </c>
      <c r="V182" s="60" t="s">
        <v>409</v>
      </c>
      <c r="W182" s="1" t="s">
        <v>410</v>
      </c>
      <c r="X182" s="60" t="s">
        <v>411</v>
      </c>
      <c r="Z182" s="60" t="s">
        <v>412</v>
      </c>
      <c r="AA182" s="60" t="s">
        <v>413</v>
      </c>
    </row>
    <row r="183" spans="1:33" ht="15" customHeight="1">
      <c r="A183" s="49">
        <v>10</v>
      </c>
      <c r="B183" s="49" t="s">
        <v>29</v>
      </c>
      <c r="C183" s="50" t="s">
        <v>30</v>
      </c>
      <c r="D183" s="51" t="s">
        <v>401</v>
      </c>
      <c r="E183" s="51" t="s">
        <v>414</v>
      </c>
      <c r="F183" s="52" t="s">
        <v>379</v>
      </c>
      <c r="G183" s="53" t="s">
        <v>415</v>
      </c>
      <c r="H183" s="54"/>
      <c r="I183" s="42" t="s">
        <v>416</v>
      </c>
      <c r="J183" s="53" t="s">
        <v>417</v>
      </c>
      <c r="K183" s="54"/>
      <c r="L183" s="56" t="s">
        <v>405</v>
      </c>
      <c r="M183" s="53" t="s">
        <v>418</v>
      </c>
      <c r="N183" s="58"/>
      <c r="O183" s="59"/>
      <c r="P183" s="28"/>
      <c r="Q183" s="28"/>
      <c r="R183" s="28"/>
      <c r="S183" s="28"/>
      <c r="T183" s="28"/>
      <c r="U183" s="1" t="s">
        <v>419</v>
      </c>
      <c r="V183" s="60" t="s">
        <v>420</v>
      </c>
      <c r="W183" s="1" t="s">
        <v>408</v>
      </c>
      <c r="X183" s="60" t="s">
        <v>409</v>
      </c>
      <c r="Z183" s="60" t="s">
        <v>412</v>
      </c>
      <c r="AA183" s="60" t="s">
        <v>413</v>
      </c>
    </row>
    <row r="184" spans="1:33" ht="15" customHeight="1">
      <c r="A184" s="49">
        <v>10</v>
      </c>
      <c r="B184" s="49" t="s">
        <v>29</v>
      </c>
      <c r="C184" s="50" t="s">
        <v>30</v>
      </c>
      <c r="D184" s="51" t="s">
        <v>401</v>
      </c>
      <c r="E184" s="63" t="s">
        <v>566</v>
      </c>
      <c r="F184" s="52" t="s">
        <v>416</v>
      </c>
      <c r="G184" s="53" t="s">
        <v>422</v>
      </c>
      <c r="H184" s="54"/>
      <c r="I184" s="42" t="s">
        <v>416</v>
      </c>
      <c r="J184" s="53" t="s">
        <v>423</v>
      </c>
      <c r="K184" s="54"/>
      <c r="L184" s="56" t="s">
        <v>405</v>
      </c>
      <c r="M184" s="53" t="s">
        <v>424</v>
      </c>
      <c r="N184" s="58"/>
      <c r="O184" s="64"/>
      <c r="P184" s="28"/>
      <c r="Q184" s="28"/>
      <c r="R184" s="28"/>
      <c r="S184" s="28"/>
      <c r="T184" s="28"/>
      <c r="U184" s="1" t="s">
        <v>425</v>
      </c>
      <c r="V184" s="60" t="s">
        <v>426</v>
      </c>
      <c r="W184" s="1" t="s">
        <v>427</v>
      </c>
      <c r="X184" s="60" t="s">
        <v>428</v>
      </c>
      <c r="Z184" s="60" t="s">
        <v>412</v>
      </c>
      <c r="AA184" s="60" t="s">
        <v>413</v>
      </c>
    </row>
    <row r="185" spans="1:33" ht="15" customHeight="1">
      <c r="A185" s="49">
        <v>10</v>
      </c>
      <c r="B185" s="49" t="s">
        <v>29</v>
      </c>
      <c r="C185" s="50" t="s">
        <v>30</v>
      </c>
      <c r="D185" s="51" t="s">
        <v>429</v>
      </c>
      <c r="E185" s="51" t="s">
        <v>430</v>
      </c>
      <c r="F185" s="52" t="s">
        <v>379</v>
      </c>
      <c r="G185" s="53" t="s">
        <v>431</v>
      </c>
      <c r="H185" s="54"/>
      <c r="I185" s="42" t="s">
        <v>379</v>
      </c>
      <c r="J185" s="53" t="s">
        <v>565</v>
      </c>
      <c r="K185" s="54"/>
      <c r="L185" s="56" t="s">
        <v>405</v>
      </c>
      <c r="M185" s="53" t="s">
        <v>433</v>
      </c>
      <c r="N185" s="58"/>
      <c r="O185" s="59"/>
      <c r="P185" s="28"/>
      <c r="Q185" s="28"/>
      <c r="R185" s="28"/>
      <c r="S185" s="28"/>
      <c r="T185" s="28"/>
      <c r="U185" s="60" t="s">
        <v>434</v>
      </c>
      <c r="V185" s="60" t="s">
        <v>435</v>
      </c>
      <c r="W185" s="1" t="s">
        <v>436</v>
      </c>
      <c r="X185" s="60" t="s">
        <v>437</v>
      </c>
      <c r="Y185" s="1" t="s">
        <v>438</v>
      </c>
      <c r="Z185" s="60" t="s">
        <v>439</v>
      </c>
      <c r="AA185" s="1" t="s">
        <v>440</v>
      </c>
      <c r="AB185" s="60" t="s">
        <v>441</v>
      </c>
      <c r="AC185" s="1" t="s">
        <v>442</v>
      </c>
      <c r="AD185" s="60" t="s">
        <v>437</v>
      </c>
    </row>
    <row r="186" spans="1:33" ht="15" customHeight="1">
      <c r="A186" s="49">
        <v>10</v>
      </c>
      <c r="B186" s="49" t="s">
        <v>29</v>
      </c>
      <c r="C186" s="50" t="s">
        <v>30</v>
      </c>
      <c r="D186" s="51" t="s">
        <v>429</v>
      </c>
      <c r="E186" s="51" t="s">
        <v>443</v>
      </c>
      <c r="F186" s="52" t="s">
        <v>416</v>
      </c>
      <c r="G186" s="53" t="s">
        <v>444</v>
      </c>
      <c r="H186" s="54"/>
      <c r="I186" s="42" t="s">
        <v>416</v>
      </c>
      <c r="J186" s="53" t="s">
        <v>559</v>
      </c>
      <c r="L186" s="56" t="s">
        <v>405</v>
      </c>
      <c r="M186" s="53" t="s">
        <v>446</v>
      </c>
      <c r="N186" s="58"/>
      <c r="O186" s="59"/>
      <c r="P186" s="28"/>
      <c r="Q186" s="28"/>
      <c r="R186" s="28"/>
      <c r="S186" s="28"/>
      <c r="T186" s="28"/>
      <c r="U186" s="1" t="s">
        <v>447</v>
      </c>
      <c r="V186" s="60" t="s">
        <v>448</v>
      </c>
      <c r="W186" s="1" t="s">
        <v>449</v>
      </c>
      <c r="X186" s="60" t="s">
        <v>450</v>
      </c>
      <c r="Y186" s="1" t="s">
        <v>451</v>
      </c>
      <c r="Z186" s="60" t="s">
        <v>452</v>
      </c>
    </row>
    <row r="187" spans="1:33" ht="15" customHeight="1">
      <c r="A187" s="49">
        <v>10</v>
      </c>
      <c r="B187" s="49" t="s">
        <v>29</v>
      </c>
      <c r="C187" s="50" t="s">
        <v>30</v>
      </c>
      <c r="D187" s="51" t="s">
        <v>429</v>
      </c>
      <c r="E187" s="51" t="s">
        <v>453</v>
      </c>
      <c r="F187" s="42" t="s">
        <v>405</v>
      </c>
      <c r="G187" s="53" t="s">
        <v>454</v>
      </c>
      <c r="H187" s="54"/>
      <c r="I187" s="42" t="s">
        <v>416</v>
      </c>
      <c r="J187" s="53" t="s">
        <v>561</v>
      </c>
      <c r="K187" s="54"/>
      <c r="L187" s="56" t="s">
        <v>416</v>
      </c>
      <c r="M187" s="53" t="s">
        <v>456</v>
      </c>
      <c r="N187" s="58"/>
      <c r="O187" s="59"/>
      <c r="P187" s="28"/>
      <c r="Q187" s="28"/>
      <c r="R187" s="28"/>
      <c r="S187" s="28"/>
      <c r="T187" s="28"/>
      <c r="U187" s="1" t="s">
        <v>457</v>
      </c>
      <c r="V187" s="60" t="s">
        <v>458</v>
      </c>
      <c r="W187" s="1" t="s">
        <v>459</v>
      </c>
      <c r="X187" s="60" t="s">
        <v>460</v>
      </c>
      <c r="Y187" s="1" t="s">
        <v>447</v>
      </c>
      <c r="Z187" s="60" t="s">
        <v>448</v>
      </c>
    </row>
    <row r="188" spans="1:33" ht="15" customHeight="1">
      <c r="A188" s="49">
        <v>10</v>
      </c>
      <c r="B188" s="49" t="s">
        <v>29</v>
      </c>
      <c r="C188" s="50" t="s">
        <v>30</v>
      </c>
      <c r="D188" s="51" t="s">
        <v>429</v>
      </c>
      <c r="E188" s="51" t="s">
        <v>461</v>
      </c>
      <c r="F188" s="42" t="s">
        <v>377</v>
      </c>
      <c r="G188" s="53" t="s">
        <v>462</v>
      </c>
      <c r="H188" s="66"/>
      <c r="I188" s="42" t="s">
        <v>416</v>
      </c>
      <c r="J188" s="53" t="s">
        <v>463</v>
      </c>
      <c r="K188" s="54"/>
      <c r="L188" s="56" t="s">
        <v>377</v>
      </c>
      <c r="M188" s="53" t="s">
        <v>464</v>
      </c>
      <c r="N188" s="58"/>
      <c r="O188" s="59"/>
      <c r="P188" s="28"/>
      <c r="Q188" s="28"/>
      <c r="R188" s="28"/>
      <c r="S188" s="28"/>
      <c r="T188" s="28"/>
      <c r="U188" s="1" t="s">
        <v>465</v>
      </c>
      <c r="V188" s="60" t="s">
        <v>466</v>
      </c>
      <c r="W188" s="1" t="s">
        <v>467</v>
      </c>
      <c r="X188" s="60" t="s">
        <v>468</v>
      </c>
      <c r="Y188" s="1" t="s">
        <v>469</v>
      </c>
    </row>
    <row r="189" spans="1:33" ht="15" customHeight="1">
      <c r="A189" s="49">
        <v>10</v>
      </c>
      <c r="B189" s="49" t="s">
        <v>29</v>
      </c>
      <c r="C189" s="50" t="s">
        <v>30</v>
      </c>
      <c r="D189" s="51" t="s">
        <v>470</v>
      </c>
      <c r="E189" s="51" t="s">
        <v>471</v>
      </c>
      <c r="F189" s="42" t="s">
        <v>405</v>
      </c>
      <c r="G189" s="53" t="s">
        <v>472</v>
      </c>
      <c r="H189" s="54"/>
      <c r="I189" s="42" t="s">
        <v>416</v>
      </c>
      <c r="J189" s="53" t="s">
        <v>473</v>
      </c>
      <c r="K189" s="54"/>
      <c r="L189" s="56" t="s">
        <v>379</v>
      </c>
      <c r="M189" s="53" t="s">
        <v>474</v>
      </c>
      <c r="N189" s="58"/>
      <c r="O189" s="59"/>
      <c r="P189" s="28"/>
      <c r="Q189" s="28"/>
      <c r="R189" s="28"/>
      <c r="S189" s="28"/>
      <c r="T189" s="28"/>
      <c r="U189" s="1" t="s">
        <v>475</v>
      </c>
      <c r="V189" s="60" t="s">
        <v>476</v>
      </c>
    </row>
    <row r="190" spans="1:33" ht="15" customHeight="1">
      <c r="A190" s="49">
        <v>10</v>
      </c>
      <c r="B190" s="49" t="s">
        <v>29</v>
      </c>
      <c r="C190" s="50" t="s">
        <v>30</v>
      </c>
      <c r="D190" s="51" t="s">
        <v>470</v>
      </c>
      <c r="E190" s="51" t="s">
        <v>477</v>
      </c>
      <c r="F190" s="52" t="s">
        <v>379</v>
      </c>
      <c r="G190" s="53" t="s">
        <v>478</v>
      </c>
      <c r="H190" s="54"/>
      <c r="I190" s="42" t="s">
        <v>377</v>
      </c>
      <c r="J190" s="53" t="s">
        <v>563</v>
      </c>
      <c r="K190" s="54"/>
      <c r="L190" s="56" t="s">
        <v>379</v>
      </c>
      <c r="M190" s="53" t="s">
        <v>480</v>
      </c>
      <c r="N190" s="58"/>
      <c r="O190" s="59"/>
      <c r="P190" s="28"/>
      <c r="Q190" s="28"/>
      <c r="R190" s="28"/>
      <c r="S190" s="28"/>
      <c r="T190" s="28"/>
      <c r="U190" s="1" t="s">
        <v>481</v>
      </c>
      <c r="V190" s="60" t="s">
        <v>482</v>
      </c>
    </row>
    <row r="191" spans="1:33" ht="15" customHeight="1">
      <c r="A191" s="49">
        <v>10</v>
      </c>
      <c r="B191" s="49" t="s">
        <v>29</v>
      </c>
      <c r="C191" s="50" t="s">
        <v>30</v>
      </c>
      <c r="D191" s="51" t="s">
        <v>483</v>
      </c>
      <c r="E191" s="51" t="s">
        <v>484</v>
      </c>
      <c r="F191" s="42" t="s">
        <v>405</v>
      </c>
      <c r="G191" s="53" t="s">
        <v>485</v>
      </c>
      <c r="H191" s="54"/>
      <c r="I191" s="42" t="s">
        <v>416</v>
      </c>
      <c r="J191" s="53" t="s">
        <v>486</v>
      </c>
      <c r="K191" s="54"/>
      <c r="L191" s="56" t="s">
        <v>487</v>
      </c>
      <c r="M191" s="53" t="s">
        <v>488</v>
      </c>
      <c r="N191" s="58"/>
      <c r="O191" s="59"/>
      <c r="P191" s="28"/>
      <c r="Q191" s="28"/>
      <c r="R191" s="28"/>
      <c r="S191" s="28"/>
      <c r="T191" s="28"/>
      <c r="U191" s="1" t="s">
        <v>489</v>
      </c>
      <c r="V191" s="60" t="s">
        <v>490</v>
      </c>
      <c r="W191" s="1" t="s">
        <v>491</v>
      </c>
      <c r="X191" s="60" t="s">
        <v>492</v>
      </c>
      <c r="Y191" s="1" t="s">
        <v>493</v>
      </c>
      <c r="Z191" s="60" t="s">
        <v>494</v>
      </c>
    </row>
    <row r="192" spans="1:33" ht="15" customHeight="1">
      <c r="A192" s="49">
        <v>10</v>
      </c>
      <c r="B192" s="49" t="s">
        <v>29</v>
      </c>
      <c r="C192" s="50" t="s">
        <v>30</v>
      </c>
      <c r="D192" s="51" t="s">
        <v>483</v>
      </c>
      <c r="E192" s="51" t="s">
        <v>495</v>
      </c>
      <c r="F192" s="52" t="s">
        <v>379</v>
      </c>
      <c r="G192" s="53" t="s">
        <v>378</v>
      </c>
      <c r="H192" s="54"/>
      <c r="I192" s="42" t="s">
        <v>416</v>
      </c>
      <c r="J192" s="53" t="s">
        <v>496</v>
      </c>
      <c r="K192" s="54"/>
      <c r="L192" s="56" t="s">
        <v>416</v>
      </c>
      <c r="M192" s="53" t="s">
        <v>497</v>
      </c>
      <c r="N192" s="58"/>
      <c r="O192" s="59"/>
      <c r="P192" s="28"/>
      <c r="Q192" s="28"/>
      <c r="R192" s="28"/>
      <c r="S192" s="28"/>
      <c r="T192" s="28"/>
    </row>
    <row r="193" spans="1:35" ht="15" customHeight="1">
      <c r="A193" s="49">
        <v>10</v>
      </c>
      <c r="B193" s="49" t="s">
        <v>29</v>
      </c>
      <c r="C193" s="50" t="s">
        <v>30</v>
      </c>
      <c r="D193" s="51" t="s">
        <v>483</v>
      </c>
      <c r="E193" s="51" t="s">
        <v>498</v>
      </c>
      <c r="F193" s="52" t="s">
        <v>379</v>
      </c>
      <c r="G193" s="53" t="s">
        <v>499</v>
      </c>
      <c r="H193" s="54"/>
      <c r="I193" s="42" t="s">
        <v>379</v>
      </c>
      <c r="J193" s="53" t="s">
        <v>500</v>
      </c>
      <c r="K193" s="54"/>
      <c r="L193" s="56" t="s">
        <v>377</v>
      </c>
      <c r="M193" s="53" t="s">
        <v>501</v>
      </c>
      <c r="N193" s="58"/>
      <c r="O193" s="59"/>
      <c r="P193" s="28"/>
      <c r="Q193" s="28"/>
      <c r="R193" s="28"/>
      <c r="S193" s="28"/>
      <c r="T193" s="28"/>
      <c r="U193" s="60" t="s">
        <v>502</v>
      </c>
      <c r="V193" s="60" t="s">
        <v>503</v>
      </c>
      <c r="W193" s="1" t="s">
        <v>504</v>
      </c>
      <c r="X193" s="60" t="s">
        <v>505</v>
      </c>
    </row>
    <row r="194" spans="1:35" ht="15" customHeight="1">
      <c r="A194" s="49">
        <v>10</v>
      </c>
      <c r="B194" s="49" t="s">
        <v>29</v>
      </c>
      <c r="C194" s="50" t="s">
        <v>30</v>
      </c>
      <c r="D194" s="51" t="s">
        <v>483</v>
      </c>
      <c r="E194" s="51" t="s">
        <v>506</v>
      </c>
      <c r="F194" s="42" t="s">
        <v>405</v>
      </c>
      <c r="G194" s="53" t="s">
        <v>507</v>
      </c>
      <c r="H194" s="54"/>
      <c r="I194" s="42" t="s">
        <v>379</v>
      </c>
      <c r="J194" s="53" t="s">
        <v>508</v>
      </c>
      <c r="K194" s="54"/>
      <c r="L194" s="56" t="s">
        <v>377</v>
      </c>
      <c r="M194" s="53" t="s">
        <v>509</v>
      </c>
      <c r="N194" s="58"/>
      <c r="O194" s="59"/>
      <c r="P194" s="28"/>
      <c r="Q194" s="28"/>
      <c r="R194" s="28"/>
      <c r="S194" s="28"/>
      <c r="T194" s="28"/>
      <c r="U194" s="60" t="s">
        <v>510</v>
      </c>
      <c r="V194" s="60" t="s">
        <v>511</v>
      </c>
      <c r="W194" s="1" t="s">
        <v>512</v>
      </c>
      <c r="X194" s="60" t="s">
        <v>513</v>
      </c>
    </row>
    <row r="195" spans="1:35" ht="15" customHeight="1">
      <c r="A195" s="49">
        <v>10</v>
      </c>
      <c r="B195" s="49" t="s">
        <v>29</v>
      </c>
      <c r="C195" s="50" t="s">
        <v>30</v>
      </c>
      <c r="D195" s="51" t="s">
        <v>483</v>
      </c>
      <c r="E195" s="77" t="s">
        <v>567</v>
      </c>
      <c r="F195" s="52"/>
      <c r="G195" s="53"/>
      <c r="H195" s="54"/>
      <c r="I195" s="42"/>
      <c r="J195" s="53"/>
      <c r="K195" s="54"/>
      <c r="L195" s="56"/>
      <c r="M195" s="53"/>
      <c r="N195" s="58"/>
      <c r="O195" s="59"/>
      <c r="P195" s="28"/>
      <c r="Q195" s="28"/>
      <c r="R195" s="28"/>
      <c r="S195" s="28"/>
      <c r="T195" s="28"/>
      <c r="U195" s="1"/>
      <c r="W195" s="1"/>
      <c r="Y195" s="1"/>
      <c r="AA195" s="1"/>
    </row>
    <row r="196" spans="1:35" ht="15" customHeight="1">
      <c r="A196" s="49">
        <v>10</v>
      </c>
      <c r="B196" s="49" t="s">
        <v>29</v>
      </c>
      <c r="C196" s="50" t="s">
        <v>30</v>
      </c>
      <c r="D196" s="51" t="s">
        <v>514</v>
      </c>
      <c r="E196" s="51" t="s">
        <v>515</v>
      </c>
      <c r="F196" s="52" t="s">
        <v>379</v>
      </c>
      <c r="G196" s="53" t="s">
        <v>516</v>
      </c>
      <c r="H196" s="54"/>
      <c r="I196" s="42" t="s">
        <v>416</v>
      </c>
      <c r="J196" s="67" t="s">
        <v>517</v>
      </c>
      <c r="K196" s="54"/>
      <c r="L196" s="56" t="s">
        <v>377</v>
      </c>
      <c r="M196" s="53" t="s">
        <v>518</v>
      </c>
      <c r="N196" s="58"/>
      <c r="O196" s="59"/>
      <c r="P196" s="28"/>
      <c r="Q196" s="28"/>
      <c r="R196" s="28"/>
      <c r="S196" s="28"/>
      <c r="T196" s="28"/>
      <c r="U196" s="1" t="s">
        <v>519</v>
      </c>
      <c r="V196" s="60" t="s">
        <v>520</v>
      </c>
      <c r="W196" s="1" t="s">
        <v>521</v>
      </c>
      <c r="X196" s="60" t="s">
        <v>522</v>
      </c>
    </row>
    <row r="197" spans="1:35" ht="15" customHeight="1">
      <c r="A197" s="49">
        <v>10</v>
      </c>
      <c r="B197" s="49" t="s">
        <v>29</v>
      </c>
      <c r="C197" s="50" t="s">
        <v>30</v>
      </c>
      <c r="D197" s="51" t="s">
        <v>514</v>
      </c>
      <c r="E197" s="51" t="s">
        <v>523</v>
      </c>
      <c r="F197" s="42" t="s">
        <v>379</v>
      </c>
      <c r="G197" s="53" t="s">
        <v>524</v>
      </c>
      <c r="H197" s="54"/>
      <c r="I197" s="42" t="s">
        <v>416</v>
      </c>
      <c r="J197" s="67" t="s">
        <v>525</v>
      </c>
      <c r="K197" s="54"/>
      <c r="L197" s="56" t="s">
        <v>405</v>
      </c>
      <c r="M197" s="53" t="s">
        <v>526</v>
      </c>
      <c r="N197" s="58"/>
      <c r="O197" s="59"/>
      <c r="P197" s="28"/>
      <c r="Q197" s="28"/>
      <c r="R197" s="28"/>
      <c r="S197" s="28"/>
      <c r="T197" s="28"/>
      <c r="U197" s="1" t="s">
        <v>519</v>
      </c>
      <c r="V197" s="60" t="s">
        <v>520</v>
      </c>
      <c r="W197" s="1" t="s">
        <v>521</v>
      </c>
      <c r="X197" s="60" t="s">
        <v>522</v>
      </c>
    </row>
    <row r="198" spans="1:35" ht="15" customHeight="1">
      <c r="A198" s="49">
        <v>10</v>
      </c>
      <c r="B198" s="49" t="s">
        <v>29</v>
      </c>
      <c r="C198" s="50" t="s">
        <v>30</v>
      </c>
      <c r="D198" s="51" t="s">
        <v>514</v>
      </c>
      <c r="E198" s="51" t="s">
        <v>527</v>
      </c>
      <c r="F198" s="42" t="s">
        <v>379</v>
      </c>
      <c r="G198" s="53" t="s">
        <v>378</v>
      </c>
      <c r="H198" s="54"/>
      <c r="I198" s="42" t="s">
        <v>377</v>
      </c>
      <c r="J198" s="53" t="s">
        <v>528</v>
      </c>
      <c r="K198" s="54"/>
      <c r="L198" s="56" t="s">
        <v>379</v>
      </c>
      <c r="M198" s="53" t="s">
        <v>529</v>
      </c>
      <c r="N198" s="58"/>
      <c r="O198" s="59"/>
      <c r="P198" s="28"/>
      <c r="Q198" s="28"/>
      <c r="R198" s="28"/>
      <c r="S198" s="28"/>
      <c r="T198" s="28"/>
      <c r="U198" s="1" t="s">
        <v>521</v>
      </c>
      <c r="V198" s="60" t="s">
        <v>522</v>
      </c>
    </row>
    <row r="199" spans="1:35" ht="15" customHeight="1">
      <c r="A199" s="49">
        <v>10</v>
      </c>
      <c r="B199" s="49" t="s">
        <v>29</v>
      </c>
      <c r="C199" s="50" t="s">
        <v>30</v>
      </c>
      <c r="D199" s="51" t="s">
        <v>530</v>
      </c>
      <c r="E199" s="51" t="s">
        <v>531</v>
      </c>
      <c r="F199" s="42" t="s">
        <v>405</v>
      </c>
      <c r="G199" s="53" t="s">
        <v>532</v>
      </c>
      <c r="H199" s="54"/>
      <c r="I199" s="42" t="s">
        <v>379</v>
      </c>
      <c r="J199" s="53" t="s">
        <v>533</v>
      </c>
      <c r="L199" s="56" t="s">
        <v>377</v>
      </c>
      <c r="M199" s="53" t="s">
        <v>534</v>
      </c>
      <c r="O199" s="53" t="s">
        <v>535</v>
      </c>
      <c r="P199" s="28"/>
      <c r="Q199" s="28"/>
      <c r="R199" s="28"/>
      <c r="S199" s="28"/>
      <c r="T199" s="28"/>
      <c r="U199" s="1" t="s">
        <v>536</v>
      </c>
      <c r="V199" s="60" t="s">
        <v>537</v>
      </c>
      <c r="W199" s="1" t="s">
        <v>538</v>
      </c>
      <c r="X199" s="60" t="s">
        <v>539</v>
      </c>
      <c r="Y199" s="1" t="s">
        <v>540</v>
      </c>
      <c r="Z199" s="60" t="s">
        <v>541</v>
      </c>
      <c r="AA199" s="1" t="s">
        <v>542</v>
      </c>
      <c r="AB199" s="60" t="s">
        <v>543</v>
      </c>
    </row>
    <row r="200" spans="1:35" ht="15" customHeight="1">
      <c r="A200" s="49">
        <v>10</v>
      </c>
      <c r="B200" s="49" t="s">
        <v>29</v>
      </c>
      <c r="C200" s="50" t="s">
        <v>30</v>
      </c>
      <c r="D200" s="51" t="s">
        <v>530</v>
      </c>
      <c r="E200" s="51" t="s">
        <v>544</v>
      </c>
      <c r="F200" s="42" t="s">
        <v>405</v>
      </c>
      <c r="G200" s="53" t="s">
        <v>545</v>
      </c>
      <c r="H200" s="54"/>
      <c r="I200" s="42" t="s">
        <v>379</v>
      </c>
      <c r="J200" s="53" t="s">
        <v>546</v>
      </c>
      <c r="L200" s="56" t="s">
        <v>377</v>
      </c>
      <c r="M200" s="53" t="s">
        <v>534</v>
      </c>
      <c r="N200" s="58"/>
      <c r="O200" s="53" t="s">
        <v>535</v>
      </c>
      <c r="P200" s="28"/>
      <c r="Q200" s="28"/>
      <c r="R200" s="28"/>
      <c r="S200" s="28"/>
      <c r="T200" s="28"/>
      <c r="U200" s="1" t="s">
        <v>536</v>
      </c>
      <c r="V200" s="60" t="s">
        <v>537</v>
      </c>
      <c r="W200" s="1" t="s">
        <v>538</v>
      </c>
      <c r="X200" s="60" t="s">
        <v>539</v>
      </c>
      <c r="Y200" s="1" t="s">
        <v>540</v>
      </c>
      <c r="Z200" s="60" t="s">
        <v>541</v>
      </c>
      <c r="AA200" s="1" t="s">
        <v>542</v>
      </c>
      <c r="AB200" s="60" t="s">
        <v>543</v>
      </c>
    </row>
    <row r="201" spans="1:35" ht="15" customHeight="1">
      <c r="A201" s="49">
        <v>11</v>
      </c>
      <c r="B201" s="78" t="s">
        <v>31</v>
      </c>
      <c r="C201" s="50" t="s">
        <v>12</v>
      </c>
      <c r="D201" s="79" t="s">
        <v>530</v>
      </c>
      <c r="E201" s="80" t="s">
        <v>568</v>
      </c>
      <c r="F201" s="52"/>
      <c r="G201" s="53"/>
      <c r="H201" s="54"/>
      <c r="I201" s="42"/>
      <c r="J201" s="81" t="s">
        <v>569</v>
      </c>
      <c r="K201" s="54"/>
      <c r="M201" s="53"/>
      <c r="N201" s="58"/>
      <c r="O201" s="59"/>
      <c r="P201" s="28" t="s">
        <v>13</v>
      </c>
      <c r="Q201" s="28" t="s">
        <v>13</v>
      </c>
      <c r="R201" s="28" t="s">
        <v>13</v>
      </c>
      <c r="S201" s="28"/>
      <c r="T201" s="28"/>
    </row>
    <row r="202" spans="1:35" ht="15" customHeight="1">
      <c r="A202" s="49">
        <v>11</v>
      </c>
      <c r="B202" s="78" t="s">
        <v>31</v>
      </c>
      <c r="C202" s="50" t="s">
        <v>12</v>
      </c>
      <c r="D202" s="79" t="s">
        <v>570</v>
      </c>
      <c r="E202" s="80" t="s">
        <v>571</v>
      </c>
      <c r="F202" s="52"/>
      <c r="G202" s="53"/>
      <c r="H202" s="54"/>
      <c r="I202" s="42"/>
      <c r="J202" s="81" t="s">
        <v>572</v>
      </c>
      <c r="K202" s="54"/>
      <c r="L202" s="56"/>
      <c r="M202" s="53"/>
      <c r="N202" s="58"/>
      <c r="O202" s="59"/>
      <c r="P202" s="28"/>
      <c r="Q202" s="28"/>
      <c r="R202" s="28"/>
      <c r="S202" s="28"/>
      <c r="T202" s="28"/>
    </row>
    <row r="203" spans="1:35" ht="15" customHeight="1">
      <c r="A203" s="49">
        <v>11</v>
      </c>
      <c r="B203" s="78" t="s">
        <v>31</v>
      </c>
      <c r="C203" s="50" t="s">
        <v>12</v>
      </c>
      <c r="D203" s="79" t="s">
        <v>573</v>
      </c>
      <c r="E203" s="80" t="s">
        <v>574</v>
      </c>
      <c r="F203" s="52"/>
      <c r="G203" s="53"/>
      <c r="H203" s="54"/>
      <c r="I203" s="42"/>
      <c r="J203" s="81" t="s">
        <v>569</v>
      </c>
      <c r="K203" s="54"/>
      <c r="L203" s="56"/>
      <c r="M203" s="53"/>
      <c r="N203" s="58"/>
      <c r="O203" s="59"/>
      <c r="P203" s="28"/>
      <c r="Q203" s="28"/>
      <c r="R203" s="28"/>
      <c r="S203" s="28"/>
      <c r="T203" s="28"/>
    </row>
    <row r="204" spans="1:35" ht="15" customHeight="1">
      <c r="A204" s="49">
        <v>11</v>
      </c>
      <c r="B204" s="78" t="s">
        <v>31</v>
      </c>
      <c r="C204" s="50" t="s">
        <v>12</v>
      </c>
      <c r="D204" s="79" t="s">
        <v>575</v>
      </c>
      <c r="E204" s="80" t="s">
        <v>576</v>
      </c>
      <c r="F204" s="52"/>
      <c r="G204" s="81" t="s">
        <v>577</v>
      </c>
      <c r="H204" s="54"/>
      <c r="I204" s="42" t="s">
        <v>379</v>
      </c>
      <c r="J204" s="81" t="s">
        <v>578</v>
      </c>
      <c r="K204" s="54"/>
      <c r="L204" s="56" t="s">
        <v>379</v>
      </c>
      <c r="M204" s="53"/>
      <c r="N204" s="58"/>
      <c r="O204" s="59"/>
      <c r="P204" s="28"/>
      <c r="Q204" s="28"/>
      <c r="R204" s="28"/>
      <c r="S204" s="28"/>
      <c r="T204" s="28"/>
    </row>
    <row r="205" spans="1:35" ht="15" customHeight="1">
      <c r="A205" s="49">
        <v>12</v>
      </c>
      <c r="B205" s="78" t="s">
        <v>32</v>
      </c>
      <c r="C205" s="82" t="s">
        <v>24</v>
      </c>
      <c r="D205" s="80" t="s">
        <v>579</v>
      </c>
      <c r="E205" s="80" t="s">
        <v>580</v>
      </c>
      <c r="F205" s="42"/>
      <c r="G205" s="53"/>
      <c r="H205" s="54"/>
      <c r="I205" s="42"/>
      <c r="J205" s="53"/>
      <c r="L205" s="56"/>
      <c r="M205" s="53"/>
      <c r="O205" s="53"/>
      <c r="P205" s="28"/>
      <c r="Q205" s="28"/>
      <c r="R205" s="28"/>
      <c r="S205" s="28"/>
      <c r="T205" s="28"/>
      <c r="U205" s="1"/>
      <c r="W205" s="1"/>
      <c r="Y205" s="1"/>
      <c r="AA205" s="1"/>
    </row>
    <row r="206" spans="1:35" ht="15" customHeight="1">
      <c r="A206" s="49">
        <v>13</v>
      </c>
      <c r="B206" s="49" t="s">
        <v>33</v>
      </c>
      <c r="C206" s="50" t="s">
        <v>12</v>
      </c>
      <c r="D206" s="51" t="s">
        <v>429</v>
      </c>
      <c r="E206" s="51" t="s">
        <v>430</v>
      </c>
      <c r="F206" s="52" t="s">
        <v>379</v>
      </c>
      <c r="G206" s="57" t="s">
        <v>581</v>
      </c>
      <c r="H206" s="54"/>
      <c r="I206" s="42" t="s">
        <v>379</v>
      </c>
      <c r="J206" s="57" t="s">
        <v>565</v>
      </c>
      <c r="K206" s="54"/>
      <c r="L206" s="56" t="s">
        <v>405</v>
      </c>
      <c r="M206" s="57" t="s">
        <v>433</v>
      </c>
      <c r="N206" s="58"/>
      <c r="O206" s="59"/>
      <c r="P206" s="28"/>
      <c r="Q206" s="28"/>
      <c r="R206" s="28"/>
      <c r="S206" s="28"/>
      <c r="T206" s="28"/>
      <c r="U206" s="60" t="s">
        <v>434</v>
      </c>
      <c r="V206" s="60" t="s">
        <v>435</v>
      </c>
      <c r="W206" s="1" t="s">
        <v>436</v>
      </c>
      <c r="X206" s="60" t="s">
        <v>437</v>
      </c>
      <c r="Y206" s="1" t="s">
        <v>438</v>
      </c>
      <c r="Z206" s="60" t="s">
        <v>439</v>
      </c>
      <c r="AA206" s="1" t="s">
        <v>440</v>
      </c>
      <c r="AB206" s="60" t="s">
        <v>441</v>
      </c>
      <c r="AC206" s="1" t="s">
        <v>442</v>
      </c>
      <c r="AD206" s="60" t="s">
        <v>437</v>
      </c>
      <c r="AE206" s="60"/>
      <c r="AF206" s="60"/>
      <c r="AG206" s="60"/>
      <c r="AH206" s="60"/>
      <c r="AI206" s="60"/>
    </row>
    <row r="207" spans="1:35" ht="15" customHeight="1">
      <c r="A207" s="49">
        <v>13</v>
      </c>
      <c r="B207" s="49" t="s">
        <v>33</v>
      </c>
      <c r="C207" s="50" t="s">
        <v>12</v>
      </c>
      <c r="D207" s="83" t="s">
        <v>582</v>
      </c>
      <c r="E207" s="51" t="s">
        <v>583</v>
      </c>
      <c r="F207" s="52" t="s">
        <v>379</v>
      </c>
      <c r="G207" s="57" t="s">
        <v>584</v>
      </c>
      <c r="H207" s="54"/>
      <c r="I207" s="56" t="s">
        <v>403</v>
      </c>
      <c r="J207" s="57" t="s">
        <v>585</v>
      </c>
      <c r="K207" s="54"/>
      <c r="L207" s="56" t="s">
        <v>379</v>
      </c>
      <c r="M207" s="57" t="s">
        <v>586</v>
      </c>
      <c r="N207" s="58"/>
      <c r="O207" s="59"/>
      <c r="P207" s="28"/>
      <c r="Q207" s="28"/>
      <c r="R207" s="28"/>
      <c r="S207" s="28"/>
      <c r="T207" s="28"/>
      <c r="V207" s="1" t="s">
        <v>587</v>
      </c>
      <c r="W207" s="74" t="s">
        <v>588</v>
      </c>
      <c r="X207" s="1" t="s">
        <v>589</v>
      </c>
      <c r="Y207" s="74" t="s">
        <v>590</v>
      </c>
      <c r="Z207" s="1" t="s">
        <v>591</v>
      </c>
      <c r="AA207" s="74" t="s">
        <v>592</v>
      </c>
      <c r="AB207" s="1" t="s">
        <v>593</v>
      </c>
      <c r="AC207" s="74" t="s">
        <v>594</v>
      </c>
      <c r="AD207" s="74"/>
      <c r="AE207" s="1" t="s">
        <v>595</v>
      </c>
      <c r="AF207" s="60" t="s">
        <v>596</v>
      </c>
      <c r="AG207" s="1" t="s">
        <v>597</v>
      </c>
      <c r="AH207" s="60" t="s">
        <v>598</v>
      </c>
    </row>
    <row r="208" spans="1:35" s="60" customFormat="1" ht="15" customHeight="1">
      <c r="A208" s="49">
        <v>13</v>
      </c>
      <c r="B208" s="49" t="s">
        <v>33</v>
      </c>
      <c r="C208" s="84" t="s">
        <v>12</v>
      </c>
      <c r="D208" s="83" t="s">
        <v>582</v>
      </c>
      <c r="E208" s="51" t="s">
        <v>599</v>
      </c>
      <c r="F208" s="52" t="s">
        <v>416</v>
      </c>
      <c r="G208" s="57" t="s">
        <v>600</v>
      </c>
      <c r="H208" s="53"/>
      <c r="I208" s="42" t="s">
        <v>377</v>
      </c>
      <c r="J208" s="57" t="s">
        <v>601</v>
      </c>
      <c r="K208" s="53"/>
      <c r="L208" s="56" t="s">
        <v>405</v>
      </c>
      <c r="M208" s="57" t="s">
        <v>602</v>
      </c>
      <c r="N208" s="59"/>
      <c r="O208" s="59"/>
      <c r="P208" s="85"/>
      <c r="Q208" s="85"/>
      <c r="R208" s="85"/>
      <c r="S208" s="85"/>
      <c r="T208" s="85"/>
      <c r="V208" s="1" t="s">
        <v>603</v>
      </c>
      <c r="W208" s="60" t="s">
        <v>604</v>
      </c>
    </row>
    <row r="209" spans="1:37" s="60" customFormat="1" ht="15" customHeight="1">
      <c r="A209" s="49">
        <v>13</v>
      </c>
      <c r="B209" s="49" t="s">
        <v>33</v>
      </c>
      <c r="C209" s="50" t="s">
        <v>12</v>
      </c>
      <c r="D209" s="83" t="s">
        <v>582</v>
      </c>
      <c r="E209" s="51" t="s">
        <v>605</v>
      </c>
      <c r="F209" s="52" t="s">
        <v>416</v>
      </c>
      <c r="G209" s="57" t="s">
        <v>606</v>
      </c>
      <c r="H209" s="54"/>
      <c r="I209" s="42" t="s">
        <v>377</v>
      </c>
      <c r="J209" s="57" t="s">
        <v>607</v>
      </c>
      <c r="K209" s="54"/>
      <c r="L209" s="56" t="s">
        <v>405</v>
      </c>
      <c r="M209" s="57" t="s">
        <v>608</v>
      </c>
      <c r="N209" s="58"/>
      <c r="O209" s="59"/>
      <c r="P209" s="28"/>
      <c r="Q209" s="28"/>
      <c r="R209" s="28"/>
      <c r="S209" s="28"/>
      <c r="T209" s="28"/>
      <c r="V209" s="1" t="s">
        <v>609</v>
      </c>
      <c r="W209" s="60" t="s">
        <v>610</v>
      </c>
      <c r="X209" s="1" t="s">
        <v>611</v>
      </c>
      <c r="Y209" s="74" t="s">
        <v>612</v>
      </c>
      <c r="Z209" s="1"/>
      <c r="AA209" s="1" t="s">
        <v>613</v>
      </c>
      <c r="AB209" s="60" t="s">
        <v>614</v>
      </c>
      <c r="AC209" s="74"/>
      <c r="AD209" s="74"/>
      <c r="AF209" s="27"/>
      <c r="AG209" s="27"/>
    </row>
    <row r="210" spans="1:37" ht="15" customHeight="1">
      <c r="A210" s="49">
        <v>13</v>
      </c>
      <c r="B210" s="49" t="s">
        <v>33</v>
      </c>
      <c r="C210" s="50" t="s">
        <v>12</v>
      </c>
      <c r="D210" s="83" t="s">
        <v>582</v>
      </c>
      <c r="E210" s="51" t="s">
        <v>615</v>
      </c>
      <c r="F210" s="52" t="s">
        <v>416</v>
      </c>
      <c r="G210" s="57" t="s">
        <v>616</v>
      </c>
      <c r="H210" s="54"/>
      <c r="I210" s="56" t="s">
        <v>403</v>
      </c>
      <c r="J210" s="57" t="s">
        <v>617</v>
      </c>
      <c r="K210" s="54"/>
      <c r="L210" s="56" t="s">
        <v>379</v>
      </c>
      <c r="M210" s="57" t="s">
        <v>618</v>
      </c>
      <c r="N210" s="58"/>
      <c r="O210" s="59"/>
      <c r="P210" s="28"/>
      <c r="Q210" s="28"/>
      <c r="R210" s="28"/>
      <c r="S210" s="28"/>
      <c r="T210" s="28"/>
      <c r="V210" s="1" t="s">
        <v>609</v>
      </c>
      <c r="W210" s="60" t="s">
        <v>610</v>
      </c>
      <c r="X210" s="1" t="s">
        <v>619</v>
      </c>
      <c r="Y210" s="60" t="s">
        <v>620</v>
      </c>
      <c r="Z210" s="1" t="s">
        <v>621</v>
      </c>
      <c r="AA210" s="60" t="s">
        <v>622</v>
      </c>
      <c r="AE210" s="60"/>
    </row>
    <row r="211" spans="1:37" ht="15" customHeight="1">
      <c r="A211" s="49">
        <v>13</v>
      </c>
      <c r="B211" s="49" t="s">
        <v>33</v>
      </c>
      <c r="C211" s="50" t="s">
        <v>12</v>
      </c>
      <c r="D211" s="83" t="s">
        <v>623</v>
      </c>
      <c r="E211" s="51" t="s">
        <v>624</v>
      </c>
      <c r="F211" s="52" t="s">
        <v>377</v>
      </c>
      <c r="G211" s="57" t="s">
        <v>625</v>
      </c>
      <c r="H211" s="54"/>
      <c r="I211" s="42" t="s">
        <v>416</v>
      </c>
      <c r="J211" s="57" t="s">
        <v>626</v>
      </c>
      <c r="K211" s="54"/>
      <c r="L211" s="56" t="s">
        <v>377</v>
      </c>
      <c r="M211" s="57" t="s">
        <v>627</v>
      </c>
      <c r="N211" s="58"/>
      <c r="O211" s="59"/>
      <c r="P211" s="28"/>
      <c r="Q211" s="28"/>
      <c r="R211" s="28"/>
      <c r="S211" s="28"/>
      <c r="T211" s="28"/>
      <c r="V211" s="1" t="s">
        <v>628</v>
      </c>
      <c r="W211" s="60" t="s">
        <v>629</v>
      </c>
      <c r="AE211" s="60"/>
    </row>
    <row r="212" spans="1:37" s="75" customFormat="1" ht="15" customHeight="1">
      <c r="A212" s="49">
        <v>14</v>
      </c>
      <c r="B212" s="86" t="s">
        <v>34</v>
      </c>
      <c r="C212" s="87" t="s">
        <v>35</v>
      </c>
      <c r="D212" s="63" t="s">
        <v>630</v>
      </c>
      <c r="E212" s="57" t="s">
        <v>631</v>
      </c>
      <c r="F212" s="52" t="s">
        <v>416</v>
      </c>
      <c r="G212" s="57" t="s">
        <v>632</v>
      </c>
      <c r="H212" s="88"/>
      <c r="I212" s="42" t="s">
        <v>379</v>
      </c>
      <c r="J212" s="57" t="s">
        <v>633</v>
      </c>
      <c r="K212" s="88"/>
      <c r="L212" s="56" t="s">
        <v>377</v>
      </c>
      <c r="M212" s="57" t="s">
        <v>634</v>
      </c>
      <c r="N212" s="74"/>
      <c r="O212" s="74"/>
      <c r="P212" s="74"/>
      <c r="Q212" s="74"/>
      <c r="R212" s="74"/>
      <c r="S212" s="74"/>
      <c r="T212" s="74"/>
      <c r="U212" s="74" t="s">
        <v>635</v>
      </c>
      <c r="V212" s="60" t="s">
        <v>636</v>
      </c>
      <c r="W212" s="74"/>
      <c r="X212" s="74"/>
      <c r="Y212" s="74"/>
      <c r="Z212" s="74"/>
      <c r="AA212" s="74"/>
      <c r="AB212" s="74"/>
      <c r="AC212" s="74"/>
      <c r="AD212" s="74"/>
    </row>
    <row r="213" spans="1:37" s="75" customFormat="1" ht="15" customHeight="1">
      <c r="A213" s="49">
        <v>14</v>
      </c>
      <c r="B213" s="86" t="s">
        <v>34</v>
      </c>
      <c r="C213" s="87" t="s">
        <v>35</v>
      </c>
      <c r="D213" s="63" t="s">
        <v>630</v>
      </c>
      <c r="E213" s="57" t="s">
        <v>637</v>
      </c>
      <c r="F213" s="52" t="s">
        <v>638</v>
      </c>
      <c r="G213" s="57" t="s">
        <v>639</v>
      </c>
      <c r="H213" s="88"/>
      <c r="I213" s="42" t="s">
        <v>379</v>
      </c>
      <c r="J213" s="57" t="s">
        <v>633</v>
      </c>
      <c r="K213" s="88"/>
      <c r="L213" s="56" t="s">
        <v>377</v>
      </c>
      <c r="M213" s="57" t="s">
        <v>640</v>
      </c>
      <c r="N213" s="74"/>
      <c r="O213" s="74" t="s">
        <v>641</v>
      </c>
      <c r="P213" s="74"/>
      <c r="Q213" s="74"/>
      <c r="R213" s="74"/>
      <c r="S213" s="74"/>
      <c r="T213" s="74"/>
      <c r="U213" s="1" t="s">
        <v>642</v>
      </c>
      <c r="V213" s="60" t="s">
        <v>643</v>
      </c>
      <c r="W213" s="1" t="s">
        <v>644</v>
      </c>
      <c r="X213" s="27" t="s">
        <v>645</v>
      </c>
      <c r="Y213" s="74"/>
      <c r="Z213" s="74"/>
      <c r="AA213" s="74"/>
      <c r="AB213" s="74"/>
      <c r="AC213" s="74"/>
      <c r="AD213" s="74"/>
    </row>
    <row r="214" spans="1:37" s="75" customFormat="1" ht="15" customHeight="1">
      <c r="A214" s="49">
        <v>14</v>
      </c>
      <c r="B214" s="86" t="s">
        <v>34</v>
      </c>
      <c r="C214" s="87" t="s">
        <v>35</v>
      </c>
      <c r="D214" s="60" t="s">
        <v>646</v>
      </c>
      <c r="E214" s="57" t="s">
        <v>647</v>
      </c>
      <c r="F214" s="52" t="s">
        <v>416</v>
      </c>
      <c r="G214" s="57" t="s">
        <v>648</v>
      </c>
      <c r="H214" s="89"/>
      <c r="I214" s="42" t="s">
        <v>416</v>
      </c>
      <c r="J214" s="57" t="s">
        <v>649</v>
      </c>
      <c r="K214" s="89"/>
      <c r="L214" s="70" t="s">
        <v>416</v>
      </c>
      <c r="M214" s="57" t="s">
        <v>650</v>
      </c>
      <c r="N214" s="71"/>
      <c r="O214" s="71"/>
      <c r="P214" s="72" t="s">
        <v>13</v>
      </c>
      <c r="Q214" s="72" t="s">
        <v>14</v>
      </c>
      <c r="R214" s="72"/>
      <c r="S214" s="72"/>
      <c r="T214" s="72"/>
      <c r="U214" s="60" t="s">
        <v>651</v>
      </c>
      <c r="V214" s="90" t="s">
        <v>652</v>
      </c>
      <c r="W214" s="74" t="s">
        <v>653</v>
      </c>
      <c r="X214" s="74" t="s">
        <v>654</v>
      </c>
      <c r="Y214" s="74"/>
      <c r="Z214" s="74"/>
      <c r="AA214" s="74"/>
      <c r="AB214" s="74"/>
      <c r="AC214" s="74"/>
      <c r="AD214" s="74"/>
    </row>
    <row r="215" spans="1:37" s="75" customFormat="1" ht="15" customHeight="1">
      <c r="A215" s="49">
        <v>14</v>
      </c>
      <c r="B215" s="86" t="s">
        <v>34</v>
      </c>
      <c r="C215" s="87" t="s">
        <v>35</v>
      </c>
      <c r="D215" s="60" t="s">
        <v>655</v>
      </c>
      <c r="E215" s="57" t="s">
        <v>656</v>
      </c>
      <c r="F215" s="52" t="s">
        <v>379</v>
      </c>
      <c r="G215" s="57" t="s">
        <v>657</v>
      </c>
      <c r="H215" s="89"/>
      <c r="I215" s="42" t="s">
        <v>377</v>
      </c>
      <c r="J215" s="57" t="s">
        <v>658</v>
      </c>
      <c r="K215" s="89"/>
      <c r="L215" s="70" t="s">
        <v>379</v>
      </c>
      <c r="M215" s="57" t="s">
        <v>659</v>
      </c>
      <c r="N215" s="71"/>
      <c r="O215" s="60" t="s">
        <v>660</v>
      </c>
      <c r="P215" s="72"/>
      <c r="Q215" s="72"/>
      <c r="R215" s="72"/>
      <c r="S215" s="72"/>
      <c r="T215" s="74"/>
      <c r="U215" s="74"/>
      <c r="V215" s="74"/>
      <c r="W215" s="74"/>
      <c r="X215" s="74"/>
      <c r="Y215" s="74"/>
      <c r="Z215" s="74"/>
      <c r="AA215" s="74"/>
      <c r="AB215" s="74"/>
      <c r="AC215" s="74"/>
      <c r="AD215" s="74"/>
    </row>
    <row r="216" spans="1:37" s="75" customFormat="1" ht="15" customHeight="1">
      <c r="A216" s="49">
        <v>19</v>
      </c>
      <c r="B216" s="86" t="s">
        <v>45</v>
      </c>
      <c r="C216" s="50" t="s">
        <v>46</v>
      </c>
      <c r="D216" s="51" t="s">
        <v>661</v>
      </c>
      <c r="E216" s="91" t="s">
        <v>378</v>
      </c>
      <c r="F216" s="52" t="s">
        <v>379</v>
      </c>
      <c r="G216" s="53" t="s">
        <v>662</v>
      </c>
      <c r="H216" s="54"/>
      <c r="I216" s="42" t="s">
        <v>379</v>
      </c>
      <c r="J216" s="53" t="s">
        <v>663</v>
      </c>
      <c r="K216" s="54"/>
      <c r="L216" s="56" t="s">
        <v>377</v>
      </c>
      <c r="M216" s="53" t="s">
        <v>664</v>
      </c>
      <c r="N216" s="58"/>
      <c r="O216" s="59"/>
      <c r="P216" s="28" t="s">
        <v>13</v>
      </c>
      <c r="Q216" s="28" t="s">
        <v>13</v>
      </c>
      <c r="R216" s="28"/>
      <c r="S216" s="28"/>
      <c r="T216" s="28"/>
      <c r="U216" s="27" t="s">
        <v>665</v>
      </c>
      <c r="V216" s="27" t="s">
        <v>666</v>
      </c>
      <c r="W216" s="60"/>
      <c r="X216" s="60"/>
      <c r="Y216" s="60"/>
      <c r="Z216" s="60"/>
      <c r="AA216" s="60"/>
      <c r="AB216" s="60"/>
      <c r="AC216" s="60"/>
      <c r="AD216" s="60"/>
      <c r="AE216" s="27"/>
      <c r="AF216" s="27"/>
      <c r="AG216" s="27"/>
      <c r="AH216" s="27"/>
      <c r="AI216" s="27"/>
      <c r="AJ216" s="27"/>
      <c r="AK216" s="27"/>
    </row>
    <row r="217" spans="1:37" ht="15" customHeight="1">
      <c r="A217" s="49">
        <v>15</v>
      </c>
      <c r="B217" s="49" t="s">
        <v>37</v>
      </c>
      <c r="C217" s="50" t="s">
        <v>38</v>
      </c>
      <c r="D217" s="51" t="s">
        <v>667</v>
      </c>
      <c r="E217" s="91" t="s">
        <v>378</v>
      </c>
      <c r="F217" s="52" t="s">
        <v>379</v>
      </c>
      <c r="G217" s="53" t="s">
        <v>668</v>
      </c>
      <c r="H217" s="54"/>
      <c r="I217" s="42" t="s">
        <v>379</v>
      </c>
      <c r="J217" s="53" t="s">
        <v>663</v>
      </c>
      <c r="K217" s="54"/>
      <c r="L217" s="56" t="s">
        <v>377</v>
      </c>
      <c r="M217" s="53" t="s">
        <v>669</v>
      </c>
      <c r="N217" s="58"/>
      <c r="O217" s="59"/>
      <c r="P217" s="28" t="s">
        <v>13</v>
      </c>
      <c r="Q217" s="28" t="s">
        <v>13</v>
      </c>
      <c r="R217" s="28"/>
      <c r="S217" s="28"/>
      <c r="T217" s="28"/>
      <c r="U217" s="27" t="s">
        <v>665</v>
      </c>
      <c r="V217" s="27" t="s">
        <v>670</v>
      </c>
    </row>
    <row r="218" spans="1:37" ht="15" customHeight="1">
      <c r="A218" s="49">
        <v>16</v>
      </c>
      <c r="B218" s="49" t="s">
        <v>40</v>
      </c>
      <c r="C218" s="50" t="s">
        <v>41</v>
      </c>
      <c r="D218" s="51" t="s">
        <v>671</v>
      </c>
      <c r="E218" s="91" t="s">
        <v>378</v>
      </c>
      <c r="F218" s="52" t="s">
        <v>379</v>
      </c>
      <c r="G218" s="53" t="s">
        <v>672</v>
      </c>
      <c r="H218" s="54"/>
      <c r="I218" s="42" t="s">
        <v>379</v>
      </c>
      <c r="J218" s="53" t="s">
        <v>663</v>
      </c>
      <c r="K218" s="54"/>
      <c r="L218" s="56" t="s">
        <v>377</v>
      </c>
      <c r="M218" s="53" t="s">
        <v>669</v>
      </c>
      <c r="N218" s="58"/>
      <c r="O218" s="59"/>
      <c r="P218" s="28" t="s">
        <v>13</v>
      </c>
      <c r="Q218" s="28" t="s">
        <v>13</v>
      </c>
      <c r="R218" s="28"/>
      <c r="S218" s="28"/>
      <c r="T218" s="28"/>
      <c r="U218" s="27" t="s">
        <v>665</v>
      </c>
      <c r="V218" s="27" t="s">
        <v>673</v>
      </c>
    </row>
    <row r="219" spans="1:37" ht="15" customHeight="1">
      <c r="A219" s="49">
        <v>17</v>
      </c>
      <c r="B219" s="49" t="s">
        <v>42</v>
      </c>
      <c r="C219" s="50" t="s">
        <v>43</v>
      </c>
      <c r="D219" s="51" t="s">
        <v>674</v>
      </c>
      <c r="E219" s="91" t="s">
        <v>378</v>
      </c>
      <c r="F219" s="52" t="s">
        <v>416</v>
      </c>
      <c r="G219" s="53" t="s">
        <v>675</v>
      </c>
      <c r="H219" s="54"/>
      <c r="I219" s="42" t="s">
        <v>405</v>
      </c>
      <c r="J219" s="53" t="s">
        <v>676</v>
      </c>
      <c r="K219" s="54"/>
      <c r="L219" s="56" t="s">
        <v>377</v>
      </c>
      <c r="M219" s="53" t="s">
        <v>677</v>
      </c>
      <c r="N219" s="58"/>
      <c r="O219" s="59"/>
      <c r="P219" s="28" t="s">
        <v>13</v>
      </c>
      <c r="Q219" s="28" t="s">
        <v>13</v>
      </c>
      <c r="R219" s="28"/>
      <c r="S219" s="28"/>
      <c r="T219" s="28"/>
      <c r="U219" s="27" t="s">
        <v>665</v>
      </c>
      <c r="V219" s="27" t="s">
        <v>678</v>
      </c>
    </row>
    <row r="220" spans="1:37" ht="15" customHeight="1">
      <c r="A220" s="49">
        <v>18</v>
      </c>
      <c r="B220" s="49" t="s">
        <v>44</v>
      </c>
      <c r="C220" s="50" t="s">
        <v>43</v>
      </c>
      <c r="D220" s="51" t="s">
        <v>679</v>
      </c>
      <c r="E220" s="51" t="s">
        <v>680</v>
      </c>
      <c r="F220" s="52" t="s">
        <v>379</v>
      </c>
      <c r="G220" s="53" t="s">
        <v>681</v>
      </c>
      <c r="H220" s="54"/>
      <c r="I220" s="42" t="s">
        <v>405</v>
      </c>
      <c r="J220" s="53" t="s">
        <v>682</v>
      </c>
      <c r="K220" s="54"/>
      <c r="L220" s="56" t="s">
        <v>377</v>
      </c>
      <c r="M220" s="53" t="s">
        <v>677</v>
      </c>
      <c r="N220" s="58"/>
      <c r="O220" s="59"/>
      <c r="P220" s="28" t="s">
        <v>13</v>
      </c>
      <c r="Q220" s="28" t="s">
        <v>13</v>
      </c>
      <c r="R220" s="28"/>
      <c r="S220" s="28"/>
      <c r="T220" s="28"/>
      <c r="U220" s="27" t="s">
        <v>665</v>
      </c>
      <c r="V220" s="27" t="s">
        <v>683</v>
      </c>
      <c r="W220" s="1" t="s">
        <v>684</v>
      </c>
      <c r="X220" s="60" t="s">
        <v>685</v>
      </c>
    </row>
    <row r="221" spans="1:37" ht="15" customHeight="1">
      <c r="A221" s="49">
        <v>18</v>
      </c>
      <c r="B221" s="49" t="s">
        <v>44</v>
      </c>
      <c r="C221" s="50" t="s">
        <v>43</v>
      </c>
      <c r="D221" s="51" t="s">
        <v>679</v>
      </c>
      <c r="E221" s="51" t="s">
        <v>686</v>
      </c>
      <c r="F221" s="42" t="s">
        <v>405</v>
      </c>
      <c r="G221" s="53" t="s">
        <v>687</v>
      </c>
      <c r="H221" s="54"/>
      <c r="I221" s="42" t="s">
        <v>405</v>
      </c>
      <c r="J221" s="53" t="s">
        <v>682</v>
      </c>
      <c r="K221" s="54"/>
      <c r="L221" s="56" t="s">
        <v>377</v>
      </c>
      <c r="M221" s="53" t="s">
        <v>677</v>
      </c>
      <c r="N221" s="58"/>
      <c r="O221" s="59"/>
      <c r="P221" s="28" t="s">
        <v>13</v>
      </c>
      <c r="Q221" s="28" t="s">
        <v>13</v>
      </c>
      <c r="R221" s="28"/>
      <c r="S221" s="28"/>
      <c r="T221" s="28"/>
      <c r="U221" s="27" t="s">
        <v>665</v>
      </c>
      <c r="V221" s="27" t="s">
        <v>688</v>
      </c>
      <c r="W221" s="1" t="s">
        <v>684</v>
      </c>
      <c r="X221" s="60" t="s">
        <v>685</v>
      </c>
    </row>
    <row r="222" spans="1:37" ht="15" customHeight="1">
      <c r="A222" s="49">
        <v>20</v>
      </c>
      <c r="B222" s="49" t="s">
        <v>47</v>
      </c>
      <c r="C222" s="50" t="s">
        <v>48</v>
      </c>
      <c r="D222" s="51" t="s">
        <v>689</v>
      </c>
      <c r="E222" s="91" t="s">
        <v>378</v>
      </c>
      <c r="F222" s="42" t="s">
        <v>405</v>
      </c>
      <c r="G222" s="53" t="s">
        <v>690</v>
      </c>
      <c r="H222" s="54"/>
      <c r="I222" s="42" t="s">
        <v>405</v>
      </c>
      <c r="J222" s="53" t="s">
        <v>691</v>
      </c>
      <c r="K222" s="54"/>
      <c r="L222" s="56" t="s">
        <v>377</v>
      </c>
      <c r="M222" s="53" t="s">
        <v>669</v>
      </c>
      <c r="N222" s="58"/>
      <c r="O222" s="59"/>
      <c r="P222" s="28" t="s">
        <v>13</v>
      </c>
      <c r="Q222" s="28" t="s">
        <v>13</v>
      </c>
      <c r="R222" s="28"/>
      <c r="S222" s="28"/>
      <c r="T222" s="28"/>
      <c r="U222" s="27" t="s">
        <v>665</v>
      </c>
      <c r="V222" s="27" t="s">
        <v>688</v>
      </c>
    </row>
    <row r="223" spans="1:37" ht="15" customHeight="1">
      <c r="A223" s="49">
        <v>21</v>
      </c>
      <c r="B223" s="49" t="s">
        <v>49</v>
      </c>
      <c r="C223" s="50" t="s">
        <v>50</v>
      </c>
      <c r="D223" s="80" t="s">
        <v>692</v>
      </c>
      <c r="E223" s="80" t="s">
        <v>692</v>
      </c>
      <c r="F223" s="52"/>
      <c r="G223" s="53"/>
      <c r="H223" s="54"/>
      <c r="I223" s="42"/>
      <c r="J223" s="53"/>
      <c r="K223" s="54"/>
      <c r="L223" s="56"/>
      <c r="M223" s="53"/>
      <c r="N223" s="58"/>
      <c r="O223" s="59"/>
      <c r="P223" s="28"/>
      <c r="Q223" s="28"/>
      <c r="R223" s="28"/>
      <c r="S223" s="28"/>
      <c r="T223" s="28"/>
    </row>
    <row r="224" spans="1:37" ht="15" customHeight="1">
      <c r="A224" s="49">
        <v>22</v>
      </c>
      <c r="B224" s="49" t="s">
        <v>51</v>
      </c>
      <c r="C224" s="50" t="s">
        <v>52</v>
      </c>
      <c r="D224" s="80" t="s">
        <v>692</v>
      </c>
      <c r="E224" s="80" t="s">
        <v>692</v>
      </c>
      <c r="F224" s="52"/>
      <c r="G224" s="53"/>
      <c r="H224" s="54"/>
      <c r="I224" s="42"/>
      <c r="J224" s="53"/>
      <c r="K224" s="54"/>
      <c r="L224" s="56"/>
      <c r="M224" s="53"/>
      <c r="N224" s="58"/>
      <c r="O224" s="59"/>
      <c r="P224" s="28"/>
      <c r="Q224" s="28"/>
      <c r="R224" s="28"/>
      <c r="S224" s="28"/>
      <c r="T224" s="28"/>
    </row>
    <row r="225" spans="1:30" ht="15" customHeight="1">
      <c r="A225" s="49">
        <v>23</v>
      </c>
      <c r="B225" s="49" t="s">
        <v>54</v>
      </c>
      <c r="C225" s="50" t="s">
        <v>55</v>
      </c>
      <c r="D225" s="51" t="s">
        <v>693</v>
      </c>
      <c r="E225" s="51" t="s">
        <v>531</v>
      </c>
      <c r="F225" s="42" t="s">
        <v>405</v>
      </c>
      <c r="G225" s="53" t="s">
        <v>532</v>
      </c>
      <c r="H225" s="54"/>
      <c r="I225" s="42" t="s">
        <v>379</v>
      </c>
      <c r="J225" s="53" t="s">
        <v>694</v>
      </c>
      <c r="L225" s="56" t="s">
        <v>377</v>
      </c>
      <c r="M225" s="53" t="s">
        <v>534</v>
      </c>
      <c r="N225" s="53"/>
      <c r="O225" s="53" t="s">
        <v>535</v>
      </c>
      <c r="P225" s="28"/>
      <c r="Q225" s="28"/>
      <c r="R225" s="28"/>
      <c r="S225" s="28"/>
      <c r="T225" s="28"/>
      <c r="U225" s="1" t="s">
        <v>536</v>
      </c>
      <c r="V225" s="60" t="s">
        <v>537</v>
      </c>
      <c r="W225" s="1" t="s">
        <v>538</v>
      </c>
      <c r="X225" s="60" t="s">
        <v>539</v>
      </c>
      <c r="Y225" s="1" t="s">
        <v>540</v>
      </c>
      <c r="Z225" s="60" t="s">
        <v>541</v>
      </c>
      <c r="AA225" s="1" t="s">
        <v>542</v>
      </c>
      <c r="AB225" s="60" t="s">
        <v>543</v>
      </c>
      <c r="AC225" s="27" t="s">
        <v>695</v>
      </c>
      <c r="AD225" s="27" t="s">
        <v>696</v>
      </c>
    </row>
    <row r="226" spans="1:30" ht="15" customHeight="1">
      <c r="A226" s="49">
        <v>23</v>
      </c>
      <c r="B226" s="49" t="s">
        <v>54</v>
      </c>
      <c r="C226" s="50" t="s">
        <v>55</v>
      </c>
      <c r="D226" s="51" t="s">
        <v>693</v>
      </c>
      <c r="E226" s="51" t="s">
        <v>544</v>
      </c>
      <c r="F226" s="42" t="s">
        <v>405</v>
      </c>
      <c r="G226" s="53" t="s">
        <v>545</v>
      </c>
      <c r="H226" s="54"/>
      <c r="I226" s="42" t="s">
        <v>379</v>
      </c>
      <c r="J226" s="53" t="s">
        <v>697</v>
      </c>
      <c r="L226" s="56" t="s">
        <v>377</v>
      </c>
      <c r="M226" s="53" t="s">
        <v>534</v>
      </c>
      <c r="N226" s="53"/>
      <c r="O226" s="53" t="s">
        <v>535</v>
      </c>
      <c r="P226" s="28"/>
      <c r="Q226" s="28"/>
      <c r="R226" s="28"/>
      <c r="S226" s="28"/>
      <c r="T226" s="28"/>
      <c r="U226" s="1" t="s">
        <v>536</v>
      </c>
      <c r="V226" s="60" t="s">
        <v>537</v>
      </c>
      <c r="W226" s="1" t="s">
        <v>538</v>
      </c>
      <c r="X226" s="60" t="s">
        <v>539</v>
      </c>
      <c r="Y226" s="1" t="s">
        <v>540</v>
      </c>
      <c r="Z226" s="60" t="s">
        <v>541</v>
      </c>
      <c r="AA226" s="1" t="s">
        <v>542</v>
      </c>
      <c r="AB226" s="60" t="s">
        <v>543</v>
      </c>
      <c r="AC226" s="27" t="s">
        <v>695</v>
      </c>
      <c r="AD226" s="27" t="s">
        <v>696</v>
      </c>
    </row>
    <row r="227" spans="1:30" ht="15" customHeight="1">
      <c r="A227" s="49">
        <v>23</v>
      </c>
      <c r="B227" s="49" t="s">
        <v>54</v>
      </c>
      <c r="C227" s="50" t="s">
        <v>55</v>
      </c>
      <c r="D227" s="51" t="s">
        <v>698</v>
      </c>
      <c r="E227" s="57" t="s">
        <v>699</v>
      </c>
      <c r="F227" s="52" t="s">
        <v>416</v>
      </c>
      <c r="G227" s="53" t="s">
        <v>700</v>
      </c>
      <c r="H227" s="92"/>
      <c r="I227" s="93" t="s">
        <v>416</v>
      </c>
      <c r="J227" s="53" t="s">
        <v>701</v>
      </c>
      <c r="K227" s="67"/>
      <c r="L227" s="94" t="s">
        <v>377</v>
      </c>
      <c r="M227" s="53" t="s">
        <v>702</v>
      </c>
      <c r="P227" s="28"/>
      <c r="Q227" s="28"/>
      <c r="R227" s="28" t="s">
        <v>13</v>
      </c>
      <c r="S227" s="28"/>
      <c r="T227" s="28"/>
      <c r="U227" s="2" t="s">
        <v>703</v>
      </c>
      <c r="V227" s="95" t="s">
        <v>704</v>
      </c>
      <c r="Y227" s="1"/>
      <c r="AA227" s="1"/>
    </row>
    <row r="228" spans="1:30" ht="15" customHeight="1">
      <c r="A228" s="49">
        <v>23</v>
      </c>
      <c r="B228" s="49" t="s">
        <v>54</v>
      </c>
      <c r="C228" s="50" t="s">
        <v>55</v>
      </c>
      <c r="D228" s="51" t="s">
        <v>705</v>
      </c>
      <c r="E228" s="63" t="s">
        <v>706</v>
      </c>
      <c r="F228" s="42" t="s">
        <v>405</v>
      </c>
      <c r="G228" s="53" t="s">
        <v>707</v>
      </c>
      <c r="I228" s="42" t="s">
        <v>416</v>
      </c>
      <c r="J228" s="53" t="s">
        <v>708</v>
      </c>
      <c r="L228" s="56" t="s">
        <v>416</v>
      </c>
      <c r="M228" s="53" t="s">
        <v>709</v>
      </c>
      <c r="O228" s="53"/>
      <c r="P228" s="28" t="s">
        <v>13</v>
      </c>
      <c r="Q228" s="28"/>
      <c r="R228" s="28" t="s">
        <v>13</v>
      </c>
      <c r="S228" s="28"/>
      <c r="T228" s="28"/>
      <c r="U228" s="1" t="s">
        <v>710</v>
      </c>
      <c r="V228" s="60" t="s">
        <v>711</v>
      </c>
      <c r="W228" s="1" t="s">
        <v>712</v>
      </c>
      <c r="X228" s="60" t="s">
        <v>713</v>
      </c>
      <c r="Y228" s="1" t="s">
        <v>714</v>
      </c>
      <c r="Z228" s="27" t="s">
        <v>715</v>
      </c>
      <c r="AA228" s="27" t="s">
        <v>695</v>
      </c>
      <c r="AB228" s="27" t="s">
        <v>696</v>
      </c>
    </row>
    <row r="229" spans="1:30" ht="15" customHeight="1">
      <c r="A229" s="49">
        <v>23</v>
      </c>
      <c r="B229" s="49" t="s">
        <v>54</v>
      </c>
      <c r="C229" s="50" t="s">
        <v>55</v>
      </c>
      <c r="D229" s="51" t="s">
        <v>705</v>
      </c>
      <c r="E229" s="63" t="s">
        <v>716</v>
      </c>
      <c r="F229" s="42" t="s">
        <v>379</v>
      </c>
      <c r="G229" s="53" t="s">
        <v>717</v>
      </c>
      <c r="I229" s="42" t="s">
        <v>416</v>
      </c>
      <c r="J229" s="53" t="s">
        <v>708</v>
      </c>
      <c r="L229" s="56" t="s">
        <v>405</v>
      </c>
      <c r="M229" s="53" t="s">
        <v>718</v>
      </c>
      <c r="O229" s="53"/>
      <c r="P229" s="28" t="s">
        <v>13</v>
      </c>
      <c r="Q229" s="28"/>
      <c r="R229" s="28" t="s">
        <v>13</v>
      </c>
      <c r="S229" s="28"/>
      <c r="T229" s="28"/>
      <c r="U229" s="1" t="s">
        <v>719</v>
      </c>
      <c r="V229" s="60" t="s">
        <v>720</v>
      </c>
      <c r="W229" s="1" t="s">
        <v>712</v>
      </c>
      <c r="X229" s="60" t="s">
        <v>713</v>
      </c>
      <c r="Y229" s="1" t="s">
        <v>721</v>
      </c>
      <c r="Z229" s="27" t="s">
        <v>722</v>
      </c>
    </row>
    <row r="230" spans="1:30" ht="15" customHeight="1">
      <c r="A230" s="49">
        <v>23</v>
      </c>
      <c r="B230" s="49" t="s">
        <v>54</v>
      </c>
      <c r="C230" s="50" t="s">
        <v>55</v>
      </c>
      <c r="D230" s="51" t="s">
        <v>723</v>
      </c>
      <c r="E230" s="51" t="s">
        <v>724</v>
      </c>
      <c r="F230" s="42" t="s">
        <v>379</v>
      </c>
      <c r="G230" s="53" t="s">
        <v>725</v>
      </c>
      <c r="I230" s="56" t="s">
        <v>403</v>
      </c>
      <c r="J230" s="53" t="s">
        <v>726</v>
      </c>
      <c r="L230" s="56" t="s">
        <v>379</v>
      </c>
      <c r="M230" s="53" t="s">
        <v>727</v>
      </c>
      <c r="O230" s="53"/>
      <c r="P230" s="28" t="s">
        <v>13</v>
      </c>
      <c r="Q230" s="28"/>
      <c r="R230" s="28" t="s">
        <v>13</v>
      </c>
      <c r="S230" s="28"/>
      <c r="T230" s="28"/>
      <c r="U230" s="1" t="s">
        <v>728</v>
      </c>
      <c r="V230" s="60" t="s">
        <v>729</v>
      </c>
      <c r="W230" s="1" t="s">
        <v>730</v>
      </c>
      <c r="Y230" s="1" t="s">
        <v>731</v>
      </c>
      <c r="Z230" s="60" t="s">
        <v>732</v>
      </c>
      <c r="AA230" s="1" t="s">
        <v>733</v>
      </c>
      <c r="AB230" s="60" t="s">
        <v>734</v>
      </c>
    </row>
    <row r="231" spans="1:30" ht="15" customHeight="1">
      <c r="A231" s="49">
        <v>23</v>
      </c>
      <c r="B231" s="49" t="s">
        <v>54</v>
      </c>
      <c r="C231" s="50" t="s">
        <v>55</v>
      </c>
      <c r="D231" s="51" t="s">
        <v>723</v>
      </c>
      <c r="E231" s="51" t="s">
        <v>735</v>
      </c>
      <c r="F231" s="42" t="s">
        <v>379</v>
      </c>
      <c r="G231" s="53" t="s">
        <v>725</v>
      </c>
      <c r="I231" s="42" t="s">
        <v>377</v>
      </c>
      <c r="J231" s="53" t="s">
        <v>736</v>
      </c>
      <c r="L231" s="56" t="s">
        <v>379</v>
      </c>
      <c r="M231" s="53" t="s">
        <v>737</v>
      </c>
      <c r="O231" s="90"/>
      <c r="P231" s="28" t="s">
        <v>13</v>
      </c>
      <c r="Q231" s="28"/>
      <c r="R231" s="28" t="s">
        <v>13</v>
      </c>
      <c r="S231" s="28"/>
      <c r="T231" s="28"/>
      <c r="U231" s="1" t="s">
        <v>738</v>
      </c>
      <c r="V231" s="60" t="s">
        <v>739</v>
      </c>
      <c r="W231" s="1" t="s">
        <v>728</v>
      </c>
      <c r="X231" s="60" t="s">
        <v>729</v>
      </c>
      <c r="Y231" s="1" t="s">
        <v>731</v>
      </c>
      <c r="Z231" s="60" t="s">
        <v>732</v>
      </c>
      <c r="AA231" s="1" t="s">
        <v>733</v>
      </c>
      <c r="AB231" s="60" t="s">
        <v>734</v>
      </c>
    </row>
    <row r="232" spans="1:30" ht="15" customHeight="1">
      <c r="A232" s="49">
        <v>23</v>
      </c>
      <c r="B232" s="49" t="s">
        <v>54</v>
      </c>
      <c r="C232" s="50" t="s">
        <v>55</v>
      </c>
      <c r="D232" s="51" t="s">
        <v>723</v>
      </c>
      <c r="E232" s="51" t="s">
        <v>740</v>
      </c>
      <c r="F232" s="52" t="s">
        <v>416</v>
      </c>
      <c r="G232" s="53" t="s">
        <v>741</v>
      </c>
      <c r="H232" s="96"/>
      <c r="I232" s="42" t="s">
        <v>416</v>
      </c>
      <c r="J232" s="53" t="s">
        <v>742</v>
      </c>
      <c r="L232" s="56" t="s">
        <v>377</v>
      </c>
      <c r="M232" s="53" t="s">
        <v>743</v>
      </c>
      <c r="O232" s="53"/>
      <c r="P232" s="28"/>
      <c r="Q232" s="28"/>
      <c r="R232" s="28"/>
      <c r="S232" s="28"/>
      <c r="T232" s="28"/>
      <c r="U232" s="1" t="s">
        <v>744</v>
      </c>
      <c r="V232" s="60" t="s">
        <v>745</v>
      </c>
      <c r="W232" s="1" t="s">
        <v>746</v>
      </c>
      <c r="X232" s="60" t="s">
        <v>747</v>
      </c>
      <c r="Y232" s="1"/>
    </row>
    <row r="233" spans="1:30" ht="15" customHeight="1">
      <c r="A233" s="49">
        <v>23</v>
      </c>
      <c r="B233" s="49" t="s">
        <v>54</v>
      </c>
      <c r="C233" s="50" t="s">
        <v>55</v>
      </c>
      <c r="D233" s="51" t="s">
        <v>748</v>
      </c>
      <c r="E233" s="51" t="s">
        <v>749</v>
      </c>
      <c r="F233" s="52" t="s">
        <v>379</v>
      </c>
      <c r="G233" s="53" t="s">
        <v>750</v>
      </c>
      <c r="H233" s="96"/>
      <c r="I233" s="56" t="s">
        <v>403</v>
      </c>
      <c r="J233" s="53" t="s">
        <v>751</v>
      </c>
      <c r="L233" s="56" t="s">
        <v>377</v>
      </c>
      <c r="M233" s="53" t="s">
        <v>752</v>
      </c>
      <c r="O233" s="53"/>
      <c r="P233" s="28"/>
      <c r="Q233" s="28"/>
      <c r="R233" s="28"/>
      <c r="S233" s="28"/>
      <c r="T233" s="28"/>
      <c r="U233" s="27" t="s">
        <v>753</v>
      </c>
      <c r="V233" s="27" t="s">
        <v>754</v>
      </c>
      <c r="W233" s="1"/>
      <c r="Y233" s="1"/>
    </row>
    <row r="234" spans="1:30" ht="15" customHeight="1">
      <c r="A234" s="49">
        <v>24</v>
      </c>
      <c r="B234" s="49" t="s">
        <v>56</v>
      </c>
      <c r="C234" s="50" t="s">
        <v>55</v>
      </c>
      <c r="D234" s="51" t="s">
        <v>755</v>
      </c>
      <c r="E234" s="51" t="s">
        <v>756</v>
      </c>
      <c r="F234" s="56" t="s">
        <v>403</v>
      </c>
      <c r="G234" s="53" t="s">
        <v>757</v>
      </c>
      <c r="H234" s="54"/>
      <c r="I234" s="42" t="s">
        <v>379</v>
      </c>
      <c r="J234" s="53" t="s">
        <v>758</v>
      </c>
      <c r="L234" s="56" t="s">
        <v>377</v>
      </c>
      <c r="M234" s="53" t="s">
        <v>534</v>
      </c>
      <c r="N234" s="53"/>
      <c r="O234" s="53" t="s">
        <v>535</v>
      </c>
      <c r="P234" s="28"/>
      <c r="Q234" s="28"/>
      <c r="R234" s="28"/>
      <c r="S234" s="28"/>
      <c r="T234" s="28"/>
      <c r="U234" s="1" t="s">
        <v>759</v>
      </c>
      <c r="V234" s="27" t="s">
        <v>760</v>
      </c>
      <c r="W234" s="40" t="s">
        <v>761</v>
      </c>
      <c r="X234" s="27" t="s">
        <v>762</v>
      </c>
      <c r="Y234" s="27"/>
      <c r="Z234" s="27"/>
      <c r="AA234" s="27"/>
      <c r="AB234" s="27"/>
      <c r="AC234" s="27"/>
      <c r="AD234" s="27"/>
    </row>
    <row r="235" spans="1:30" ht="15" customHeight="1">
      <c r="A235" s="49">
        <v>24</v>
      </c>
      <c r="B235" s="49" t="s">
        <v>56</v>
      </c>
      <c r="C235" s="50" t="s">
        <v>55</v>
      </c>
      <c r="D235" s="51" t="s">
        <v>755</v>
      </c>
      <c r="E235" s="51" t="s">
        <v>693</v>
      </c>
      <c r="F235" s="42" t="s">
        <v>416</v>
      </c>
      <c r="G235" s="57" t="s">
        <v>763</v>
      </c>
      <c r="H235" s="54"/>
      <c r="I235" s="42" t="s">
        <v>379</v>
      </c>
      <c r="J235" s="51" t="s">
        <v>764</v>
      </c>
      <c r="L235" s="56" t="s">
        <v>377</v>
      </c>
      <c r="M235" s="53" t="s">
        <v>534</v>
      </c>
      <c r="N235" s="53"/>
      <c r="O235" s="53" t="s">
        <v>535</v>
      </c>
      <c r="P235" s="28"/>
      <c r="Q235" s="28"/>
      <c r="R235" s="28"/>
      <c r="S235" s="28"/>
      <c r="T235" s="28"/>
      <c r="U235" s="27" t="s">
        <v>765</v>
      </c>
      <c r="V235" s="27" t="s">
        <v>766</v>
      </c>
      <c r="W235" s="40" t="s">
        <v>767</v>
      </c>
      <c r="X235" s="27" t="s">
        <v>768</v>
      </c>
      <c r="Y235" s="27"/>
      <c r="Z235" s="27"/>
      <c r="AA235" s="27"/>
      <c r="AB235" s="27"/>
      <c r="AC235" s="27"/>
      <c r="AD235" s="27"/>
    </row>
    <row r="236" spans="1:30" ht="15" customHeight="1">
      <c r="A236" s="49">
        <v>24</v>
      </c>
      <c r="B236" s="49" t="s">
        <v>56</v>
      </c>
      <c r="C236" s="50" t="s">
        <v>55</v>
      </c>
      <c r="D236" s="51" t="s">
        <v>755</v>
      </c>
      <c r="E236" s="51" t="s">
        <v>769</v>
      </c>
      <c r="F236" s="52" t="s">
        <v>416</v>
      </c>
      <c r="G236" s="57" t="s">
        <v>770</v>
      </c>
      <c r="I236" s="42" t="s">
        <v>379</v>
      </c>
      <c r="J236" s="51" t="s">
        <v>771</v>
      </c>
      <c r="L236" s="56" t="s">
        <v>379</v>
      </c>
      <c r="M236" s="51" t="s">
        <v>772</v>
      </c>
      <c r="P236" s="28"/>
      <c r="Q236" s="28"/>
      <c r="R236" s="28"/>
      <c r="S236" s="28"/>
      <c r="T236" s="28"/>
      <c r="U236" s="27" t="s">
        <v>773</v>
      </c>
      <c r="V236" s="27" t="s">
        <v>774</v>
      </c>
      <c r="W236" s="1"/>
      <c r="Y236" s="1"/>
    </row>
    <row r="237" spans="1:30" ht="15" customHeight="1">
      <c r="A237" s="49">
        <v>24</v>
      </c>
      <c r="B237" s="49" t="s">
        <v>56</v>
      </c>
      <c r="C237" s="50" t="s">
        <v>55</v>
      </c>
      <c r="D237" s="51" t="s">
        <v>775</v>
      </c>
      <c r="E237" s="51" t="s">
        <v>776</v>
      </c>
      <c r="F237" s="52" t="s">
        <v>379</v>
      </c>
      <c r="G237" s="53" t="s">
        <v>777</v>
      </c>
      <c r="H237" s="54"/>
      <c r="I237" s="42" t="s">
        <v>377</v>
      </c>
      <c r="J237" s="51" t="s">
        <v>778</v>
      </c>
      <c r="K237" s="54"/>
      <c r="L237" s="56" t="s">
        <v>416</v>
      </c>
      <c r="M237" s="53" t="s">
        <v>779</v>
      </c>
      <c r="N237" s="58"/>
      <c r="O237" s="59"/>
      <c r="P237" s="28"/>
      <c r="Q237" s="28"/>
      <c r="R237" s="28"/>
      <c r="S237" s="28"/>
      <c r="T237" s="28"/>
      <c r="U237" s="40" t="s">
        <v>761</v>
      </c>
      <c r="V237" s="27" t="s">
        <v>762</v>
      </c>
    </row>
    <row r="238" spans="1:30" ht="15" customHeight="1">
      <c r="A238" s="49">
        <v>24</v>
      </c>
      <c r="B238" s="49" t="s">
        <v>56</v>
      </c>
      <c r="C238" s="50" t="s">
        <v>55</v>
      </c>
      <c r="D238" s="51" t="s">
        <v>775</v>
      </c>
      <c r="E238" s="51" t="s">
        <v>780</v>
      </c>
      <c r="F238" s="52" t="s">
        <v>416</v>
      </c>
      <c r="G238" s="53" t="s">
        <v>781</v>
      </c>
      <c r="H238" s="54"/>
      <c r="I238" s="42" t="s">
        <v>416</v>
      </c>
      <c r="J238" s="51" t="s">
        <v>782</v>
      </c>
      <c r="K238" s="54"/>
      <c r="L238" s="56" t="s">
        <v>377</v>
      </c>
      <c r="M238" s="53" t="s">
        <v>783</v>
      </c>
      <c r="N238" s="58"/>
      <c r="O238" s="59"/>
      <c r="P238" s="28"/>
      <c r="Q238" s="28"/>
      <c r="R238" s="28"/>
      <c r="S238" s="28"/>
      <c r="T238" s="28"/>
      <c r="U238" s="1" t="s">
        <v>784</v>
      </c>
      <c r="V238" s="60" t="s">
        <v>785</v>
      </c>
    </row>
    <row r="239" spans="1:30" ht="15" customHeight="1">
      <c r="A239" s="49">
        <v>25</v>
      </c>
      <c r="B239" s="49" t="s">
        <v>57</v>
      </c>
      <c r="C239" s="50" t="s">
        <v>58</v>
      </c>
      <c r="D239" s="51" t="s">
        <v>786</v>
      </c>
      <c r="E239" s="51" t="s">
        <v>787</v>
      </c>
      <c r="F239" s="93" t="s">
        <v>379</v>
      </c>
      <c r="G239" s="51" t="s">
        <v>788</v>
      </c>
      <c r="I239" s="42" t="s">
        <v>416</v>
      </c>
      <c r="J239" s="51" t="s">
        <v>789</v>
      </c>
      <c r="L239" s="56" t="s">
        <v>379</v>
      </c>
      <c r="M239" s="51" t="s">
        <v>790</v>
      </c>
      <c r="O239" s="27"/>
      <c r="P239" s="28"/>
      <c r="Q239" s="28"/>
      <c r="R239" s="28"/>
      <c r="S239" s="28"/>
      <c r="T239" s="28"/>
      <c r="U239" s="3" t="s">
        <v>791</v>
      </c>
      <c r="V239" s="27" t="s">
        <v>792</v>
      </c>
      <c r="W239" s="3" t="s">
        <v>793</v>
      </c>
      <c r="X239" s="60" t="s">
        <v>794</v>
      </c>
      <c r="Y239" s="3" t="s">
        <v>795</v>
      </c>
      <c r="Z239" s="60" t="s">
        <v>796</v>
      </c>
      <c r="AA239" s="3" t="s">
        <v>797</v>
      </c>
      <c r="AB239" s="27" t="s">
        <v>798</v>
      </c>
    </row>
    <row r="240" spans="1:30" ht="15" customHeight="1">
      <c r="A240" s="49">
        <v>25</v>
      </c>
      <c r="B240" s="49" t="s">
        <v>57</v>
      </c>
      <c r="C240" s="50" t="s">
        <v>58</v>
      </c>
      <c r="D240" s="51" t="s">
        <v>786</v>
      </c>
      <c r="E240" s="51" t="s">
        <v>799</v>
      </c>
      <c r="F240" s="93" t="s">
        <v>379</v>
      </c>
      <c r="G240" s="51" t="s">
        <v>800</v>
      </c>
      <c r="I240" s="42" t="s">
        <v>416</v>
      </c>
      <c r="J240" s="51" t="s">
        <v>789</v>
      </c>
      <c r="L240" s="56" t="s">
        <v>801</v>
      </c>
      <c r="M240" s="51"/>
      <c r="O240" s="97" t="s">
        <v>802</v>
      </c>
      <c r="P240" s="28"/>
      <c r="Q240" s="28"/>
      <c r="R240" s="28"/>
      <c r="S240" s="28"/>
      <c r="T240" s="28"/>
      <c r="U240" s="3" t="s">
        <v>791</v>
      </c>
      <c r="V240" s="27" t="s">
        <v>792</v>
      </c>
      <c r="W240" s="3" t="s">
        <v>793</v>
      </c>
      <c r="X240" s="60" t="s">
        <v>794</v>
      </c>
      <c r="Y240" s="3" t="s">
        <v>795</v>
      </c>
      <c r="Z240" s="60" t="s">
        <v>796</v>
      </c>
      <c r="AA240" s="3" t="s">
        <v>797</v>
      </c>
      <c r="AB240" s="27" t="s">
        <v>798</v>
      </c>
    </row>
    <row r="241" spans="1:28" s="60" customFormat="1" ht="15" customHeight="1">
      <c r="A241" s="49">
        <v>25</v>
      </c>
      <c r="B241" s="49" t="s">
        <v>57</v>
      </c>
      <c r="C241" s="50" t="s">
        <v>58</v>
      </c>
      <c r="D241" s="51" t="s">
        <v>803</v>
      </c>
      <c r="E241" s="51" t="s">
        <v>804</v>
      </c>
      <c r="F241" s="93" t="s">
        <v>416</v>
      </c>
      <c r="G241" s="51" t="s">
        <v>805</v>
      </c>
      <c r="H241" s="65"/>
      <c r="I241" s="42" t="s">
        <v>416</v>
      </c>
      <c r="J241" s="51" t="s">
        <v>806</v>
      </c>
      <c r="K241" s="65"/>
      <c r="L241" s="56" t="s">
        <v>403</v>
      </c>
      <c r="M241" s="51" t="s">
        <v>807</v>
      </c>
      <c r="N241" s="27"/>
      <c r="O241" s="27"/>
      <c r="P241" s="28" t="s">
        <v>13</v>
      </c>
      <c r="Q241" s="28"/>
      <c r="R241" s="28"/>
      <c r="S241" s="28"/>
      <c r="T241" s="28"/>
      <c r="U241" s="3" t="s">
        <v>791</v>
      </c>
      <c r="V241" s="27" t="s">
        <v>792</v>
      </c>
      <c r="W241" s="3" t="s">
        <v>793</v>
      </c>
      <c r="X241" s="60" t="s">
        <v>794</v>
      </c>
      <c r="Y241" s="3" t="s">
        <v>795</v>
      </c>
      <c r="Z241" s="60" t="s">
        <v>796</v>
      </c>
      <c r="AA241" s="3" t="s">
        <v>797</v>
      </c>
      <c r="AB241" s="27" t="s">
        <v>798</v>
      </c>
    </row>
    <row r="242" spans="1:28" s="60" customFormat="1" ht="15" customHeight="1">
      <c r="A242" s="49">
        <v>26</v>
      </c>
      <c r="B242" s="49" t="s">
        <v>59</v>
      </c>
      <c r="C242" s="50" t="s">
        <v>58</v>
      </c>
      <c r="D242" s="51" t="s">
        <v>575</v>
      </c>
      <c r="E242" s="80" t="s">
        <v>808</v>
      </c>
      <c r="F242" s="52"/>
      <c r="G242" s="67"/>
      <c r="H242" s="65"/>
      <c r="I242" s="42"/>
      <c r="J242" s="67"/>
      <c r="K242" s="65"/>
      <c r="L242" s="27"/>
      <c r="M242" s="67"/>
      <c r="N242" s="27"/>
      <c r="P242" s="28" t="s">
        <v>13</v>
      </c>
      <c r="Q242" s="28"/>
      <c r="R242" s="28" t="s">
        <v>13</v>
      </c>
      <c r="S242" s="28"/>
      <c r="T242" s="28"/>
    </row>
    <row r="243" spans="1:28" s="60" customFormat="1" ht="15" customHeight="1">
      <c r="A243" s="49">
        <v>27</v>
      </c>
      <c r="B243" s="49" t="s">
        <v>60</v>
      </c>
      <c r="C243" s="50" t="s">
        <v>61</v>
      </c>
      <c r="D243" s="51" t="s">
        <v>809</v>
      </c>
      <c r="E243" s="51" t="s">
        <v>531</v>
      </c>
      <c r="F243" s="42" t="s">
        <v>405</v>
      </c>
      <c r="G243" s="53" t="s">
        <v>532</v>
      </c>
      <c r="H243" s="54"/>
      <c r="I243" s="42" t="s">
        <v>379</v>
      </c>
      <c r="J243" s="53" t="s">
        <v>533</v>
      </c>
      <c r="K243" s="65"/>
      <c r="L243" s="56" t="s">
        <v>377</v>
      </c>
      <c r="M243" s="53" t="s">
        <v>534</v>
      </c>
      <c r="N243" s="53"/>
      <c r="O243" s="53" t="s">
        <v>535</v>
      </c>
      <c r="P243" s="28"/>
      <c r="Q243" s="28"/>
      <c r="R243" s="28"/>
      <c r="S243" s="28"/>
      <c r="T243" s="28"/>
      <c r="U243" s="1" t="s">
        <v>536</v>
      </c>
      <c r="V243" s="60" t="s">
        <v>537</v>
      </c>
      <c r="W243" s="1" t="s">
        <v>538</v>
      </c>
      <c r="X243" s="60" t="s">
        <v>539</v>
      </c>
      <c r="Y243" s="1" t="s">
        <v>540</v>
      </c>
      <c r="Z243" s="60" t="s">
        <v>541</v>
      </c>
      <c r="AA243" s="1" t="s">
        <v>542</v>
      </c>
      <c r="AB243" s="60" t="s">
        <v>543</v>
      </c>
    </row>
    <row r="244" spans="1:28" s="60" customFormat="1" ht="15" customHeight="1">
      <c r="A244" s="49">
        <v>27</v>
      </c>
      <c r="B244" s="49" t="s">
        <v>60</v>
      </c>
      <c r="C244" s="50" t="s">
        <v>61</v>
      </c>
      <c r="D244" s="51" t="s">
        <v>809</v>
      </c>
      <c r="E244" s="51" t="s">
        <v>544</v>
      </c>
      <c r="F244" s="42" t="s">
        <v>405</v>
      </c>
      <c r="G244" s="53" t="s">
        <v>545</v>
      </c>
      <c r="H244" s="54"/>
      <c r="I244" s="42" t="s">
        <v>379</v>
      </c>
      <c r="J244" s="53" t="s">
        <v>546</v>
      </c>
      <c r="K244" s="65"/>
      <c r="L244" s="56" t="s">
        <v>377</v>
      </c>
      <c r="M244" s="53" t="s">
        <v>534</v>
      </c>
      <c r="N244" s="53"/>
      <c r="O244" s="53" t="s">
        <v>535</v>
      </c>
      <c r="P244" s="28"/>
      <c r="Q244" s="28"/>
      <c r="R244" s="28"/>
      <c r="S244" s="28"/>
      <c r="T244" s="28"/>
      <c r="U244" s="1" t="s">
        <v>536</v>
      </c>
      <c r="V244" s="60" t="s">
        <v>537</v>
      </c>
      <c r="W244" s="1" t="s">
        <v>538</v>
      </c>
      <c r="X244" s="60" t="s">
        <v>539</v>
      </c>
      <c r="Y244" s="1" t="s">
        <v>540</v>
      </c>
      <c r="Z244" s="60" t="s">
        <v>541</v>
      </c>
      <c r="AA244" s="1" t="s">
        <v>542</v>
      </c>
      <c r="AB244" s="60" t="s">
        <v>543</v>
      </c>
    </row>
    <row r="245" spans="1:28" s="60" customFormat="1" ht="15" customHeight="1">
      <c r="A245" s="49">
        <v>28</v>
      </c>
      <c r="B245" s="49" t="s">
        <v>62</v>
      </c>
      <c r="C245" s="50" t="s">
        <v>63</v>
      </c>
      <c r="D245" s="51" t="s">
        <v>809</v>
      </c>
      <c r="E245" s="51" t="s">
        <v>531</v>
      </c>
      <c r="F245" s="42" t="s">
        <v>405</v>
      </c>
      <c r="G245" s="53" t="s">
        <v>532</v>
      </c>
      <c r="H245" s="54"/>
      <c r="I245" s="42" t="s">
        <v>379</v>
      </c>
      <c r="J245" s="53" t="s">
        <v>533</v>
      </c>
      <c r="K245" s="65"/>
      <c r="L245" s="56" t="s">
        <v>377</v>
      </c>
      <c r="M245" s="53" t="s">
        <v>534</v>
      </c>
      <c r="N245" s="53"/>
      <c r="O245" s="53" t="s">
        <v>535</v>
      </c>
      <c r="P245" s="28"/>
      <c r="Q245" s="28"/>
      <c r="R245" s="28"/>
      <c r="S245" s="28"/>
      <c r="T245" s="28"/>
      <c r="U245" s="1" t="s">
        <v>536</v>
      </c>
      <c r="V245" s="60" t="s">
        <v>537</v>
      </c>
      <c r="W245" s="1" t="s">
        <v>538</v>
      </c>
      <c r="X245" s="60" t="s">
        <v>539</v>
      </c>
      <c r="Y245" s="1" t="s">
        <v>540</v>
      </c>
      <c r="Z245" s="60" t="s">
        <v>541</v>
      </c>
      <c r="AA245" s="1" t="s">
        <v>542</v>
      </c>
      <c r="AB245" s="60" t="s">
        <v>543</v>
      </c>
    </row>
    <row r="246" spans="1:28" s="60" customFormat="1" ht="15" customHeight="1">
      <c r="A246" s="49">
        <v>28</v>
      </c>
      <c r="B246" s="49" t="s">
        <v>62</v>
      </c>
      <c r="C246" s="50" t="s">
        <v>251</v>
      </c>
      <c r="D246" s="51" t="s">
        <v>809</v>
      </c>
      <c r="E246" s="51" t="s">
        <v>544</v>
      </c>
      <c r="F246" s="42" t="s">
        <v>405</v>
      </c>
      <c r="G246" s="53" t="s">
        <v>545</v>
      </c>
      <c r="H246" s="54"/>
      <c r="I246" s="42" t="s">
        <v>379</v>
      </c>
      <c r="J246" s="53" t="s">
        <v>546</v>
      </c>
      <c r="K246" s="65"/>
      <c r="L246" s="56" t="s">
        <v>377</v>
      </c>
      <c r="M246" s="53" t="s">
        <v>534</v>
      </c>
      <c r="N246" s="53"/>
      <c r="O246" s="53" t="s">
        <v>535</v>
      </c>
      <c r="P246" s="28"/>
      <c r="Q246" s="28"/>
      <c r="R246" s="28"/>
      <c r="S246" s="28"/>
      <c r="T246" s="28"/>
      <c r="U246" s="1" t="s">
        <v>536</v>
      </c>
      <c r="V246" s="60" t="s">
        <v>537</v>
      </c>
      <c r="W246" s="1" t="s">
        <v>538</v>
      </c>
      <c r="X246" s="60" t="s">
        <v>539</v>
      </c>
      <c r="Y246" s="1" t="s">
        <v>540</v>
      </c>
      <c r="Z246" s="60" t="s">
        <v>541</v>
      </c>
      <c r="AA246" s="1" t="s">
        <v>542</v>
      </c>
      <c r="AB246" s="60" t="s">
        <v>543</v>
      </c>
    </row>
    <row r="247" spans="1:28" s="60" customFormat="1" ht="15" customHeight="1">
      <c r="A247" s="49">
        <v>29</v>
      </c>
      <c r="B247" s="49" t="s">
        <v>64</v>
      </c>
      <c r="C247" s="50" t="s">
        <v>63</v>
      </c>
      <c r="D247" s="51" t="s">
        <v>809</v>
      </c>
      <c r="E247" s="51" t="s">
        <v>531</v>
      </c>
      <c r="F247" s="42" t="s">
        <v>405</v>
      </c>
      <c r="G247" s="53" t="s">
        <v>532</v>
      </c>
      <c r="H247" s="54"/>
      <c r="I247" s="42" t="s">
        <v>379</v>
      </c>
      <c r="J247" s="53" t="s">
        <v>533</v>
      </c>
      <c r="K247" s="65"/>
      <c r="L247" s="56" t="s">
        <v>377</v>
      </c>
      <c r="M247" s="53" t="s">
        <v>534</v>
      </c>
      <c r="N247" s="53"/>
      <c r="O247" s="53" t="s">
        <v>535</v>
      </c>
      <c r="P247" s="28"/>
      <c r="Q247" s="28"/>
      <c r="R247" s="28"/>
      <c r="S247" s="28"/>
      <c r="T247" s="28"/>
      <c r="U247" s="1" t="s">
        <v>536</v>
      </c>
      <c r="V247" s="60" t="s">
        <v>537</v>
      </c>
      <c r="W247" s="1" t="s">
        <v>538</v>
      </c>
      <c r="X247" s="60" t="s">
        <v>539</v>
      </c>
      <c r="Y247" s="1" t="s">
        <v>540</v>
      </c>
      <c r="Z247" s="60" t="s">
        <v>541</v>
      </c>
      <c r="AA247" s="1" t="s">
        <v>542</v>
      </c>
      <c r="AB247" s="60" t="s">
        <v>543</v>
      </c>
    </row>
    <row r="248" spans="1:28" s="60" customFormat="1" ht="15" customHeight="1">
      <c r="A248" s="49">
        <v>29</v>
      </c>
      <c r="B248" s="49" t="s">
        <v>64</v>
      </c>
      <c r="C248" s="50" t="s">
        <v>251</v>
      </c>
      <c r="D248" s="51" t="s">
        <v>809</v>
      </c>
      <c r="E248" s="51" t="s">
        <v>544</v>
      </c>
      <c r="F248" s="42" t="s">
        <v>405</v>
      </c>
      <c r="G248" s="53" t="s">
        <v>545</v>
      </c>
      <c r="H248" s="54"/>
      <c r="I248" s="42" t="s">
        <v>379</v>
      </c>
      <c r="J248" s="53" t="s">
        <v>546</v>
      </c>
      <c r="K248" s="65"/>
      <c r="L248" s="56" t="s">
        <v>377</v>
      </c>
      <c r="M248" s="53" t="s">
        <v>534</v>
      </c>
      <c r="N248" s="53"/>
      <c r="O248" s="53" t="s">
        <v>535</v>
      </c>
      <c r="P248" s="28"/>
      <c r="Q248" s="28"/>
      <c r="R248" s="28"/>
      <c r="S248" s="28"/>
      <c r="T248" s="28"/>
      <c r="U248" s="1" t="s">
        <v>536</v>
      </c>
      <c r="V248" s="60" t="s">
        <v>537</v>
      </c>
      <c r="W248" s="1" t="s">
        <v>538</v>
      </c>
      <c r="X248" s="60" t="s">
        <v>539</v>
      </c>
      <c r="Y248" s="1" t="s">
        <v>540</v>
      </c>
      <c r="Z248" s="60" t="s">
        <v>541</v>
      </c>
      <c r="AA248" s="1" t="s">
        <v>542</v>
      </c>
      <c r="AB248" s="60" t="s">
        <v>543</v>
      </c>
    </row>
    <row r="249" spans="1:28" s="60" customFormat="1" ht="15" customHeight="1">
      <c r="A249" s="49">
        <v>30</v>
      </c>
      <c r="B249" s="49" t="s">
        <v>65</v>
      </c>
      <c r="C249" s="50" t="s">
        <v>66</v>
      </c>
      <c r="D249" s="51" t="s">
        <v>809</v>
      </c>
      <c r="E249" s="51" t="s">
        <v>531</v>
      </c>
      <c r="F249" s="42" t="s">
        <v>405</v>
      </c>
      <c r="G249" s="53" t="s">
        <v>532</v>
      </c>
      <c r="H249" s="54"/>
      <c r="I249" s="42" t="s">
        <v>379</v>
      </c>
      <c r="J249" s="53" t="s">
        <v>533</v>
      </c>
      <c r="K249" s="65"/>
      <c r="L249" s="56" t="s">
        <v>377</v>
      </c>
      <c r="M249" s="53" t="s">
        <v>534</v>
      </c>
      <c r="N249" s="53"/>
      <c r="O249" s="53" t="s">
        <v>535</v>
      </c>
      <c r="P249" s="28"/>
      <c r="Q249" s="28"/>
      <c r="R249" s="28"/>
      <c r="S249" s="28"/>
      <c r="T249" s="28"/>
      <c r="U249" s="1" t="s">
        <v>536</v>
      </c>
      <c r="V249" s="60" t="s">
        <v>537</v>
      </c>
      <c r="W249" s="1" t="s">
        <v>538</v>
      </c>
      <c r="X249" s="60" t="s">
        <v>539</v>
      </c>
      <c r="Y249" s="1" t="s">
        <v>540</v>
      </c>
      <c r="Z249" s="60" t="s">
        <v>541</v>
      </c>
      <c r="AA249" s="1" t="s">
        <v>542</v>
      </c>
      <c r="AB249" s="60" t="s">
        <v>543</v>
      </c>
    </row>
    <row r="250" spans="1:28" s="60" customFormat="1" ht="15" customHeight="1">
      <c r="A250" s="49">
        <v>30</v>
      </c>
      <c r="B250" s="49" t="s">
        <v>65</v>
      </c>
      <c r="C250" s="50" t="s">
        <v>66</v>
      </c>
      <c r="D250" s="51" t="s">
        <v>809</v>
      </c>
      <c r="E250" s="51" t="s">
        <v>544</v>
      </c>
      <c r="F250" s="42" t="s">
        <v>405</v>
      </c>
      <c r="G250" s="53" t="s">
        <v>545</v>
      </c>
      <c r="H250" s="54"/>
      <c r="I250" s="42" t="s">
        <v>379</v>
      </c>
      <c r="J250" s="53" t="s">
        <v>546</v>
      </c>
      <c r="K250" s="65"/>
      <c r="L250" s="56" t="s">
        <v>377</v>
      </c>
      <c r="M250" s="53" t="s">
        <v>534</v>
      </c>
      <c r="N250" s="53"/>
      <c r="O250" s="53" t="s">
        <v>535</v>
      </c>
      <c r="P250" s="28"/>
      <c r="Q250" s="28"/>
      <c r="R250" s="28"/>
      <c r="S250" s="28"/>
      <c r="T250" s="28"/>
      <c r="U250" s="1" t="s">
        <v>536</v>
      </c>
      <c r="V250" s="60" t="s">
        <v>537</v>
      </c>
      <c r="W250" s="1" t="s">
        <v>538</v>
      </c>
      <c r="X250" s="60" t="s">
        <v>539</v>
      </c>
      <c r="Y250" s="1" t="s">
        <v>540</v>
      </c>
      <c r="Z250" s="60" t="s">
        <v>541</v>
      </c>
      <c r="AA250" s="1" t="s">
        <v>542</v>
      </c>
      <c r="AB250" s="60" t="s">
        <v>543</v>
      </c>
    </row>
    <row r="251" spans="1:28" s="60" customFormat="1" ht="15" customHeight="1">
      <c r="A251" s="49">
        <v>31</v>
      </c>
      <c r="B251" s="49" t="s">
        <v>67</v>
      </c>
      <c r="C251" s="50" t="s">
        <v>68</v>
      </c>
      <c r="D251" s="80" t="s">
        <v>692</v>
      </c>
      <c r="E251" s="80" t="s">
        <v>692</v>
      </c>
      <c r="F251" s="52"/>
      <c r="G251" s="67"/>
      <c r="H251" s="65"/>
      <c r="I251" s="42"/>
      <c r="J251" s="67"/>
      <c r="K251" s="65"/>
      <c r="L251" s="27"/>
      <c r="M251" s="67"/>
      <c r="N251" s="27"/>
      <c r="P251" s="28" t="s">
        <v>13</v>
      </c>
      <c r="Q251" s="28"/>
      <c r="R251" s="28" t="s">
        <v>13</v>
      </c>
      <c r="S251" s="28"/>
      <c r="T251" s="28"/>
    </row>
    <row r="252" spans="1:28" s="60" customFormat="1" ht="15" customHeight="1">
      <c r="A252" s="49">
        <v>32</v>
      </c>
      <c r="B252" s="49" t="s">
        <v>69</v>
      </c>
      <c r="C252" s="50" t="s">
        <v>70</v>
      </c>
      <c r="D252" s="51" t="s">
        <v>810</v>
      </c>
      <c r="E252" s="51" t="s">
        <v>531</v>
      </c>
      <c r="F252" s="42" t="s">
        <v>405</v>
      </c>
      <c r="G252" s="53" t="s">
        <v>532</v>
      </c>
      <c r="H252" s="54"/>
      <c r="I252" s="42" t="s">
        <v>379</v>
      </c>
      <c r="J252" s="53" t="s">
        <v>533</v>
      </c>
      <c r="K252" s="65"/>
      <c r="L252" s="56" t="s">
        <v>377</v>
      </c>
      <c r="M252" s="53" t="s">
        <v>534</v>
      </c>
      <c r="N252" s="53"/>
      <c r="O252" s="53" t="s">
        <v>535</v>
      </c>
      <c r="P252" s="28"/>
      <c r="Q252" s="28"/>
      <c r="R252" s="28"/>
      <c r="S252" s="28"/>
      <c r="T252" s="28"/>
      <c r="U252" s="1" t="s">
        <v>536</v>
      </c>
      <c r="V252" s="60" t="s">
        <v>537</v>
      </c>
      <c r="W252" s="1" t="s">
        <v>538</v>
      </c>
      <c r="X252" s="60" t="s">
        <v>539</v>
      </c>
      <c r="Y252" s="1" t="s">
        <v>540</v>
      </c>
      <c r="Z252" s="60" t="s">
        <v>541</v>
      </c>
      <c r="AA252" s="1" t="s">
        <v>542</v>
      </c>
      <c r="AB252" s="60" t="s">
        <v>543</v>
      </c>
    </row>
    <row r="253" spans="1:28" s="60" customFormat="1" ht="15" customHeight="1">
      <c r="A253" s="49">
        <v>32</v>
      </c>
      <c r="B253" s="49" t="s">
        <v>69</v>
      </c>
      <c r="C253" s="50" t="s">
        <v>70</v>
      </c>
      <c r="D253" s="51" t="s">
        <v>809</v>
      </c>
      <c r="E253" s="51" t="s">
        <v>544</v>
      </c>
      <c r="F253" s="42" t="s">
        <v>405</v>
      </c>
      <c r="G253" s="53" t="s">
        <v>545</v>
      </c>
      <c r="H253" s="54"/>
      <c r="I253" s="42" t="s">
        <v>379</v>
      </c>
      <c r="J253" s="53" t="s">
        <v>546</v>
      </c>
      <c r="K253" s="65"/>
      <c r="L253" s="56" t="s">
        <v>377</v>
      </c>
      <c r="M253" s="53" t="s">
        <v>534</v>
      </c>
      <c r="N253" s="53"/>
      <c r="O253" s="53" t="s">
        <v>535</v>
      </c>
      <c r="P253" s="28"/>
      <c r="Q253" s="28"/>
      <c r="R253" s="28"/>
      <c r="S253" s="28"/>
      <c r="T253" s="28"/>
      <c r="U253" s="1" t="s">
        <v>536</v>
      </c>
      <c r="V253" s="60" t="s">
        <v>537</v>
      </c>
      <c r="W253" s="1" t="s">
        <v>538</v>
      </c>
      <c r="X253" s="60" t="s">
        <v>539</v>
      </c>
      <c r="Y253" s="1" t="s">
        <v>540</v>
      </c>
      <c r="Z253" s="60" t="s">
        <v>541</v>
      </c>
      <c r="AA253" s="1" t="s">
        <v>542</v>
      </c>
      <c r="AB253" s="60" t="s">
        <v>543</v>
      </c>
    </row>
    <row r="254" spans="1:28" s="60" customFormat="1" ht="15" customHeight="1">
      <c r="A254" s="49">
        <v>33</v>
      </c>
      <c r="B254" s="49" t="s">
        <v>71</v>
      </c>
      <c r="C254" s="50" t="s">
        <v>72</v>
      </c>
      <c r="D254" s="80" t="s">
        <v>692</v>
      </c>
      <c r="E254" s="80" t="s">
        <v>692</v>
      </c>
      <c r="F254" s="52"/>
      <c r="G254" s="67"/>
      <c r="H254" s="65"/>
      <c r="I254" s="42"/>
      <c r="J254" s="67"/>
      <c r="K254" s="65"/>
      <c r="L254" s="27"/>
      <c r="M254" s="67"/>
      <c r="N254" s="27"/>
      <c r="P254" s="28" t="s">
        <v>13</v>
      </c>
      <c r="Q254" s="28"/>
      <c r="R254" s="28"/>
      <c r="S254" s="28"/>
      <c r="T254" s="28"/>
    </row>
    <row r="255" spans="1:28" s="60" customFormat="1" ht="15" customHeight="1">
      <c r="A255" s="49">
        <v>34</v>
      </c>
      <c r="B255" s="49" t="s">
        <v>73</v>
      </c>
      <c r="C255" s="50" t="s">
        <v>74</v>
      </c>
      <c r="D255" s="51" t="s">
        <v>809</v>
      </c>
      <c r="E255" s="51" t="s">
        <v>531</v>
      </c>
      <c r="F255" s="42" t="s">
        <v>405</v>
      </c>
      <c r="G255" s="53" t="s">
        <v>532</v>
      </c>
      <c r="H255" s="54"/>
      <c r="I255" s="42" t="s">
        <v>379</v>
      </c>
      <c r="J255" s="53" t="s">
        <v>533</v>
      </c>
      <c r="K255" s="65"/>
      <c r="L255" s="56" t="s">
        <v>377</v>
      </c>
      <c r="M255" s="53" t="s">
        <v>534</v>
      </c>
      <c r="N255" s="27"/>
      <c r="O255" s="53" t="s">
        <v>535</v>
      </c>
      <c r="P255" s="28"/>
      <c r="Q255" s="28"/>
      <c r="R255" s="28"/>
      <c r="S255" s="28"/>
      <c r="T255" s="28"/>
      <c r="U255" s="1" t="s">
        <v>536</v>
      </c>
      <c r="V255" s="60" t="s">
        <v>537</v>
      </c>
      <c r="W255" s="1" t="s">
        <v>538</v>
      </c>
      <c r="X255" s="60" t="s">
        <v>539</v>
      </c>
      <c r="Y255" s="1" t="s">
        <v>540</v>
      </c>
      <c r="Z255" s="60" t="s">
        <v>541</v>
      </c>
      <c r="AA255" s="1" t="s">
        <v>542</v>
      </c>
      <c r="AB255" s="60" t="s">
        <v>543</v>
      </c>
    </row>
    <row r="256" spans="1:28" s="60" customFormat="1" ht="15" customHeight="1">
      <c r="A256" s="49">
        <v>34</v>
      </c>
      <c r="B256" s="49" t="s">
        <v>73</v>
      </c>
      <c r="C256" s="50" t="s">
        <v>811</v>
      </c>
      <c r="D256" s="51" t="s">
        <v>809</v>
      </c>
      <c r="E256" s="51" t="s">
        <v>544</v>
      </c>
      <c r="F256" s="42" t="s">
        <v>405</v>
      </c>
      <c r="G256" s="53" t="s">
        <v>545</v>
      </c>
      <c r="H256" s="54"/>
      <c r="I256" s="42" t="s">
        <v>379</v>
      </c>
      <c r="J256" s="53" t="s">
        <v>546</v>
      </c>
      <c r="K256" s="65"/>
      <c r="L256" s="56" t="s">
        <v>377</v>
      </c>
      <c r="M256" s="53" t="s">
        <v>534</v>
      </c>
      <c r="N256" s="58"/>
      <c r="O256" s="53" t="s">
        <v>535</v>
      </c>
      <c r="P256" s="28"/>
      <c r="Q256" s="28"/>
      <c r="R256" s="28"/>
      <c r="S256" s="28"/>
      <c r="T256" s="28"/>
      <c r="U256" s="1" t="s">
        <v>536</v>
      </c>
      <c r="V256" s="60" t="s">
        <v>537</v>
      </c>
      <c r="W256" s="1" t="s">
        <v>538</v>
      </c>
      <c r="X256" s="60" t="s">
        <v>539</v>
      </c>
      <c r="Y256" s="1" t="s">
        <v>540</v>
      </c>
      <c r="Z256" s="60" t="s">
        <v>541</v>
      </c>
      <c r="AA256" s="1" t="s">
        <v>542</v>
      </c>
      <c r="AB256" s="60" t="s">
        <v>543</v>
      </c>
    </row>
    <row r="257" spans="1:28" s="60" customFormat="1" ht="15" customHeight="1">
      <c r="A257" s="49">
        <v>35</v>
      </c>
      <c r="B257" s="86" t="s">
        <v>75</v>
      </c>
      <c r="C257" s="50" t="s">
        <v>72</v>
      </c>
      <c r="D257" s="51" t="s">
        <v>812</v>
      </c>
      <c r="E257" s="63" t="s">
        <v>813</v>
      </c>
      <c r="F257" s="52" t="s">
        <v>801</v>
      </c>
      <c r="G257" s="53" t="s">
        <v>814</v>
      </c>
      <c r="H257" s="67"/>
      <c r="I257" s="93" t="s">
        <v>377</v>
      </c>
      <c r="J257" s="53" t="s">
        <v>815</v>
      </c>
      <c r="K257" s="67"/>
      <c r="L257" s="56" t="s">
        <v>416</v>
      </c>
      <c r="M257" s="53" t="s">
        <v>816</v>
      </c>
      <c r="N257" s="27"/>
      <c r="O257" s="53" t="s">
        <v>817</v>
      </c>
      <c r="P257" s="28" t="s">
        <v>13</v>
      </c>
      <c r="Q257" s="28"/>
      <c r="R257" s="28" t="s">
        <v>13</v>
      </c>
      <c r="S257" s="28"/>
      <c r="T257" s="28"/>
      <c r="U257" s="1" t="s">
        <v>818</v>
      </c>
      <c r="V257" s="60" t="s">
        <v>819</v>
      </c>
    </row>
    <row r="258" spans="1:28" s="60" customFormat="1" ht="15" customHeight="1">
      <c r="A258" s="49">
        <v>35</v>
      </c>
      <c r="B258" s="86" t="s">
        <v>75</v>
      </c>
      <c r="C258" s="50" t="s">
        <v>72</v>
      </c>
      <c r="D258" s="51" t="s">
        <v>698</v>
      </c>
      <c r="E258" s="63" t="s">
        <v>820</v>
      </c>
      <c r="F258" s="56" t="s">
        <v>821</v>
      </c>
      <c r="G258" s="53" t="s">
        <v>822</v>
      </c>
      <c r="H258" s="67"/>
      <c r="I258" s="93" t="s">
        <v>416</v>
      </c>
      <c r="J258" s="53" t="s">
        <v>823</v>
      </c>
      <c r="K258" s="67"/>
      <c r="L258" s="94" t="s">
        <v>377</v>
      </c>
      <c r="M258" s="53" t="s">
        <v>702</v>
      </c>
      <c r="N258" s="27"/>
      <c r="O258" s="53" t="s">
        <v>817</v>
      </c>
      <c r="P258" s="28" t="s">
        <v>13</v>
      </c>
      <c r="Q258" s="28"/>
      <c r="R258" s="28" t="s">
        <v>13</v>
      </c>
      <c r="S258" s="28"/>
      <c r="T258" s="28"/>
      <c r="U258" s="1" t="s">
        <v>824</v>
      </c>
      <c r="V258" s="60" t="s">
        <v>825</v>
      </c>
    </row>
    <row r="259" spans="1:28" s="60" customFormat="1" ht="15" customHeight="1">
      <c r="A259" s="49">
        <v>35</v>
      </c>
      <c r="B259" s="86" t="s">
        <v>75</v>
      </c>
      <c r="C259" s="50" t="s">
        <v>72</v>
      </c>
      <c r="D259" s="51" t="s">
        <v>705</v>
      </c>
      <c r="E259" s="63" t="s">
        <v>706</v>
      </c>
      <c r="F259" s="42" t="s">
        <v>826</v>
      </c>
      <c r="G259" s="53" t="s">
        <v>827</v>
      </c>
      <c r="H259" s="65"/>
      <c r="I259" s="42" t="s">
        <v>416</v>
      </c>
      <c r="J259" s="53" t="s">
        <v>708</v>
      </c>
      <c r="K259" s="65"/>
      <c r="L259" s="56" t="s">
        <v>416</v>
      </c>
      <c r="M259" s="53" t="s">
        <v>709</v>
      </c>
      <c r="N259" s="27"/>
      <c r="O259" s="53" t="s">
        <v>817</v>
      </c>
      <c r="P259" s="28" t="s">
        <v>13</v>
      </c>
      <c r="Q259" s="28"/>
      <c r="R259" s="28" t="s">
        <v>13</v>
      </c>
      <c r="S259" s="28"/>
      <c r="T259" s="28"/>
      <c r="U259" s="1" t="s">
        <v>710</v>
      </c>
      <c r="V259" s="60" t="s">
        <v>711</v>
      </c>
      <c r="W259" s="1" t="s">
        <v>712</v>
      </c>
      <c r="X259" s="60" t="s">
        <v>713</v>
      </c>
      <c r="Y259" s="1" t="s">
        <v>714</v>
      </c>
      <c r="Z259" s="27" t="s">
        <v>715</v>
      </c>
    </row>
    <row r="260" spans="1:28" s="60" customFormat="1" ht="15" customHeight="1">
      <c r="A260" s="49">
        <v>35</v>
      </c>
      <c r="B260" s="86" t="s">
        <v>75</v>
      </c>
      <c r="C260" s="50" t="s">
        <v>72</v>
      </c>
      <c r="D260" s="51" t="s">
        <v>705</v>
      </c>
      <c r="E260" s="63" t="s">
        <v>716</v>
      </c>
      <c r="F260" s="52" t="s">
        <v>801</v>
      </c>
      <c r="G260" s="53" t="s">
        <v>717</v>
      </c>
      <c r="H260" s="65"/>
      <c r="I260" s="42" t="s">
        <v>416</v>
      </c>
      <c r="J260" s="53" t="s">
        <v>708</v>
      </c>
      <c r="K260" s="65"/>
      <c r="L260" s="56" t="s">
        <v>405</v>
      </c>
      <c r="M260" s="53" t="s">
        <v>718</v>
      </c>
      <c r="N260" s="27"/>
      <c r="O260" s="53" t="s">
        <v>817</v>
      </c>
      <c r="P260" s="28" t="s">
        <v>13</v>
      </c>
      <c r="Q260" s="28"/>
      <c r="R260" s="28" t="s">
        <v>13</v>
      </c>
      <c r="S260" s="28"/>
      <c r="T260" s="28"/>
      <c r="U260" s="1" t="s">
        <v>719</v>
      </c>
      <c r="V260" s="60" t="s">
        <v>720</v>
      </c>
      <c r="W260" s="1" t="s">
        <v>712</v>
      </c>
      <c r="X260" s="60" t="s">
        <v>713</v>
      </c>
      <c r="Y260" s="1" t="s">
        <v>721</v>
      </c>
      <c r="Z260" s="27" t="s">
        <v>722</v>
      </c>
    </row>
    <row r="261" spans="1:28" s="60" customFormat="1" ht="15" customHeight="1">
      <c r="A261" s="49">
        <v>35</v>
      </c>
      <c r="B261" s="86" t="s">
        <v>75</v>
      </c>
      <c r="C261" s="50" t="s">
        <v>72</v>
      </c>
      <c r="D261" s="51" t="s">
        <v>723</v>
      </c>
      <c r="E261" s="51" t="s">
        <v>724</v>
      </c>
      <c r="F261" s="52" t="s">
        <v>801</v>
      </c>
      <c r="G261" s="53" t="s">
        <v>828</v>
      </c>
      <c r="H261" s="65"/>
      <c r="I261" s="56" t="s">
        <v>403</v>
      </c>
      <c r="J261" s="53" t="s">
        <v>726</v>
      </c>
      <c r="K261" s="65"/>
      <c r="L261" s="56" t="s">
        <v>379</v>
      </c>
      <c r="M261" s="53" t="s">
        <v>727</v>
      </c>
      <c r="N261" s="27"/>
      <c r="O261" s="53" t="s">
        <v>817</v>
      </c>
      <c r="P261" s="28" t="s">
        <v>13</v>
      </c>
      <c r="Q261" s="28"/>
      <c r="R261" s="28" t="s">
        <v>13</v>
      </c>
      <c r="S261" s="28"/>
      <c r="T261" s="28"/>
      <c r="U261" s="1" t="s">
        <v>728</v>
      </c>
      <c r="V261" s="60" t="s">
        <v>729</v>
      </c>
      <c r="W261" s="1" t="s">
        <v>730</v>
      </c>
      <c r="Y261" s="1" t="s">
        <v>731</v>
      </c>
      <c r="Z261" s="60" t="s">
        <v>732</v>
      </c>
    </row>
    <row r="262" spans="1:28" s="60" customFormat="1" ht="15" customHeight="1">
      <c r="A262" s="49">
        <v>35</v>
      </c>
      <c r="B262" s="86" t="s">
        <v>75</v>
      </c>
      <c r="C262" s="50" t="s">
        <v>72</v>
      </c>
      <c r="D262" s="51" t="s">
        <v>723</v>
      </c>
      <c r="E262" s="51" t="s">
        <v>735</v>
      </c>
      <c r="F262" s="52" t="s">
        <v>801</v>
      </c>
      <c r="G262" s="98" t="s">
        <v>829</v>
      </c>
      <c r="H262" s="65"/>
      <c r="I262" s="42" t="s">
        <v>377</v>
      </c>
      <c r="J262" s="53" t="s">
        <v>830</v>
      </c>
      <c r="K262" s="65"/>
      <c r="L262" s="56" t="s">
        <v>379</v>
      </c>
      <c r="M262" s="53" t="s">
        <v>737</v>
      </c>
      <c r="N262" s="27"/>
      <c r="O262" s="53" t="s">
        <v>817</v>
      </c>
      <c r="P262" s="28" t="s">
        <v>13</v>
      </c>
      <c r="Q262" s="28"/>
      <c r="R262" s="28" t="s">
        <v>13</v>
      </c>
      <c r="S262" s="28"/>
      <c r="T262" s="28"/>
      <c r="U262" s="1" t="s">
        <v>738</v>
      </c>
      <c r="V262" s="60" t="s">
        <v>739</v>
      </c>
      <c r="W262" s="1" t="s">
        <v>728</v>
      </c>
      <c r="X262" s="60" t="s">
        <v>729</v>
      </c>
      <c r="Y262" s="1" t="s">
        <v>731</v>
      </c>
      <c r="Z262" s="60" t="s">
        <v>732</v>
      </c>
    </row>
    <row r="263" spans="1:28" s="60" customFormat="1" ht="15" customHeight="1">
      <c r="A263" s="49">
        <v>35</v>
      </c>
      <c r="B263" s="86" t="s">
        <v>75</v>
      </c>
      <c r="C263" s="50" t="s">
        <v>72</v>
      </c>
      <c r="D263" s="51" t="s">
        <v>723</v>
      </c>
      <c r="E263" s="51" t="s">
        <v>740</v>
      </c>
      <c r="F263" s="52" t="s">
        <v>416</v>
      </c>
      <c r="G263" s="67" t="s">
        <v>741</v>
      </c>
      <c r="H263" s="96"/>
      <c r="I263" s="42" t="s">
        <v>416</v>
      </c>
      <c r="J263" s="53" t="s">
        <v>742</v>
      </c>
      <c r="K263" s="65"/>
      <c r="L263" s="56" t="s">
        <v>377</v>
      </c>
      <c r="M263" s="53" t="s">
        <v>743</v>
      </c>
      <c r="N263" s="27"/>
      <c r="O263" s="53"/>
      <c r="P263" s="28"/>
      <c r="Q263" s="28"/>
      <c r="R263" s="28"/>
      <c r="S263" s="28"/>
      <c r="T263" s="28"/>
      <c r="U263" s="1" t="s">
        <v>744</v>
      </c>
      <c r="V263" s="60" t="s">
        <v>745</v>
      </c>
      <c r="W263" s="1" t="s">
        <v>746</v>
      </c>
      <c r="X263" s="60" t="s">
        <v>747</v>
      </c>
      <c r="Y263" s="1"/>
    </row>
    <row r="264" spans="1:28" s="60" customFormat="1" ht="15" customHeight="1">
      <c r="A264" s="49">
        <v>35</v>
      </c>
      <c r="B264" s="86" t="s">
        <v>75</v>
      </c>
      <c r="C264" s="50" t="s">
        <v>72</v>
      </c>
      <c r="D264" s="51" t="s">
        <v>809</v>
      </c>
      <c r="E264" s="51" t="s">
        <v>531</v>
      </c>
      <c r="F264" s="42" t="s">
        <v>826</v>
      </c>
      <c r="G264" s="53" t="s">
        <v>532</v>
      </c>
      <c r="H264" s="54"/>
      <c r="I264" s="42" t="s">
        <v>379</v>
      </c>
      <c r="J264" s="53" t="s">
        <v>831</v>
      </c>
      <c r="K264" s="65"/>
      <c r="L264" s="56" t="s">
        <v>377</v>
      </c>
      <c r="M264" s="53" t="s">
        <v>534</v>
      </c>
      <c r="N264" s="27"/>
      <c r="O264" s="53" t="s">
        <v>535</v>
      </c>
      <c r="P264" s="28" t="s">
        <v>13</v>
      </c>
      <c r="Q264" s="28"/>
      <c r="R264" s="28" t="s">
        <v>13</v>
      </c>
      <c r="S264" s="28"/>
      <c r="T264" s="28"/>
      <c r="U264" s="1" t="s">
        <v>536</v>
      </c>
      <c r="V264" s="60" t="s">
        <v>537</v>
      </c>
      <c r="W264" s="1" t="s">
        <v>538</v>
      </c>
      <c r="X264" s="60" t="s">
        <v>539</v>
      </c>
      <c r="Y264" s="1" t="s">
        <v>540</v>
      </c>
      <c r="Z264" s="60" t="s">
        <v>541</v>
      </c>
      <c r="AA264" s="1" t="s">
        <v>542</v>
      </c>
      <c r="AB264" s="60" t="s">
        <v>543</v>
      </c>
    </row>
    <row r="265" spans="1:28" s="60" customFormat="1" ht="15" customHeight="1">
      <c r="A265" s="49">
        <v>35</v>
      </c>
      <c r="B265" s="86" t="s">
        <v>75</v>
      </c>
      <c r="C265" s="50" t="s">
        <v>72</v>
      </c>
      <c r="D265" s="51" t="s">
        <v>809</v>
      </c>
      <c r="E265" s="51" t="s">
        <v>544</v>
      </c>
      <c r="F265" s="42" t="s">
        <v>826</v>
      </c>
      <c r="G265" s="53" t="s">
        <v>545</v>
      </c>
      <c r="H265" s="54"/>
      <c r="I265" s="42" t="s">
        <v>379</v>
      </c>
      <c r="J265" s="53" t="s">
        <v>832</v>
      </c>
      <c r="K265" s="65"/>
      <c r="L265" s="56" t="s">
        <v>377</v>
      </c>
      <c r="M265" s="53" t="s">
        <v>534</v>
      </c>
      <c r="N265" s="58"/>
      <c r="O265" s="53" t="s">
        <v>535</v>
      </c>
      <c r="P265" s="28" t="s">
        <v>13</v>
      </c>
      <c r="Q265" s="28"/>
      <c r="R265" s="28" t="s">
        <v>13</v>
      </c>
      <c r="S265" s="28"/>
      <c r="T265" s="28"/>
      <c r="U265" s="1" t="s">
        <v>536</v>
      </c>
      <c r="V265" s="60" t="s">
        <v>537</v>
      </c>
      <c r="W265" s="1" t="s">
        <v>538</v>
      </c>
      <c r="X265" s="60" t="s">
        <v>539</v>
      </c>
      <c r="Y265" s="1" t="s">
        <v>540</v>
      </c>
      <c r="Z265" s="60" t="s">
        <v>541</v>
      </c>
      <c r="AA265" s="1" t="s">
        <v>542</v>
      </c>
      <c r="AB265" s="60" t="s">
        <v>543</v>
      </c>
    </row>
    <row r="266" spans="1:28" s="60" customFormat="1" ht="15" customHeight="1">
      <c r="A266" s="49">
        <v>36</v>
      </c>
      <c r="B266" s="49" t="s">
        <v>76</v>
      </c>
      <c r="C266" s="50" t="s">
        <v>72</v>
      </c>
      <c r="D266" s="51" t="s">
        <v>809</v>
      </c>
      <c r="E266" s="51" t="s">
        <v>531</v>
      </c>
      <c r="F266" s="42" t="s">
        <v>405</v>
      </c>
      <c r="G266" s="53" t="s">
        <v>532</v>
      </c>
      <c r="H266" s="54"/>
      <c r="I266" s="42" t="s">
        <v>379</v>
      </c>
      <c r="J266" s="53" t="s">
        <v>533</v>
      </c>
      <c r="K266" s="65"/>
      <c r="L266" s="56" t="s">
        <v>377</v>
      </c>
      <c r="M266" s="53" t="s">
        <v>534</v>
      </c>
      <c r="N266" s="27"/>
      <c r="O266" s="53" t="s">
        <v>535</v>
      </c>
      <c r="P266" s="28"/>
      <c r="Q266" s="28"/>
      <c r="R266" s="28"/>
      <c r="S266" s="28"/>
      <c r="T266" s="28"/>
      <c r="U266" s="1" t="s">
        <v>536</v>
      </c>
      <c r="V266" s="60" t="s">
        <v>537</v>
      </c>
      <c r="W266" s="1" t="s">
        <v>538</v>
      </c>
      <c r="X266" s="60" t="s">
        <v>539</v>
      </c>
      <c r="Y266" s="1" t="s">
        <v>540</v>
      </c>
      <c r="Z266" s="60" t="s">
        <v>541</v>
      </c>
      <c r="AA266" s="1" t="s">
        <v>542</v>
      </c>
      <c r="AB266" s="60" t="s">
        <v>543</v>
      </c>
    </row>
    <row r="267" spans="1:28" s="60" customFormat="1" ht="15" customHeight="1">
      <c r="A267" s="49">
        <v>36</v>
      </c>
      <c r="B267" s="49" t="s">
        <v>76</v>
      </c>
      <c r="C267" s="50" t="s">
        <v>72</v>
      </c>
      <c r="D267" s="51" t="s">
        <v>809</v>
      </c>
      <c r="E267" s="51" t="s">
        <v>544</v>
      </c>
      <c r="F267" s="42" t="s">
        <v>405</v>
      </c>
      <c r="G267" s="53" t="s">
        <v>545</v>
      </c>
      <c r="H267" s="54"/>
      <c r="I267" s="42" t="s">
        <v>379</v>
      </c>
      <c r="J267" s="53" t="s">
        <v>546</v>
      </c>
      <c r="K267" s="65"/>
      <c r="L267" s="56" t="s">
        <v>377</v>
      </c>
      <c r="M267" s="53" t="s">
        <v>534</v>
      </c>
      <c r="N267" s="58"/>
      <c r="O267" s="53" t="s">
        <v>535</v>
      </c>
      <c r="P267" s="28"/>
      <c r="Q267" s="28"/>
      <c r="R267" s="28"/>
      <c r="S267" s="28"/>
      <c r="T267" s="28"/>
      <c r="U267" s="1" t="s">
        <v>536</v>
      </c>
      <c r="V267" s="60" t="s">
        <v>537</v>
      </c>
      <c r="W267" s="1" t="s">
        <v>538</v>
      </c>
      <c r="X267" s="60" t="s">
        <v>539</v>
      </c>
      <c r="Y267" s="1" t="s">
        <v>540</v>
      </c>
      <c r="Z267" s="60" t="s">
        <v>541</v>
      </c>
      <c r="AA267" s="1" t="s">
        <v>542</v>
      </c>
      <c r="AB267" s="60" t="s">
        <v>543</v>
      </c>
    </row>
    <row r="268" spans="1:28" s="60" customFormat="1" ht="15" customHeight="1">
      <c r="A268" s="49">
        <v>37</v>
      </c>
      <c r="B268" s="49" t="s">
        <v>77</v>
      </c>
      <c r="C268" s="50" t="s">
        <v>78</v>
      </c>
      <c r="D268" s="79" t="s">
        <v>833</v>
      </c>
      <c r="E268" s="80" t="s">
        <v>833</v>
      </c>
      <c r="F268" s="52"/>
      <c r="G268" s="67"/>
      <c r="H268" s="65"/>
      <c r="I268" s="42"/>
      <c r="J268" s="67"/>
      <c r="K268" s="65"/>
      <c r="L268" s="56"/>
      <c r="M268" s="67"/>
      <c r="N268" s="27"/>
      <c r="P268" s="28" t="s">
        <v>13</v>
      </c>
      <c r="Q268" s="28"/>
      <c r="R268" s="28"/>
      <c r="S268" s="28"/>
      <c r="T268" s="28"/>
    </row>
    <row r="269" spans="1:28" s="60" customFormat="1" ht="15" customHeight="1">
      <c r="A269" s="49">
        <v>38</v>
      </c>
      <c r="B269" s="49" t="s">
        <v>79</v>
      </c>
      <c r="C269" s="50" t="s">
        <v>80</v>
      </c>
      <c r="D269" s="79" t="s">
        <v>834</v>
      </c>
      <c r="E269" s="80" t="s">
        <v>835</v>
      </c>
      <c r="F269" s="52"/>
      <c r="G269" s="67"/>
      <c r="H269" s="65"/>
      <c r="I269" s="42"/>
      <c r="J269" s="67"/>
      <c r="K269" s="65"/>
      <c r="L269" s="56"/>
      <c r="M269" s="67"/>
      <c r="N269" s="27"/>
      <c r="P269" s="28" t="s">
        <v>13</v>
      </c>
      <c r="Q269" s="28" t="s">
        <v>13</v>
      </c>
      <c r="R269" s="28"/>
      <c r="S269" s="28"/>
      <c r="T269" s="28"/>
    </row>
    <row r="270" spans="1:28" s="60" customFormat="1" ht="15" customHeight="1">
      <c r="A270" s="49">
        <v>39</v>
      </c>
      <c r="B270" s="49" t="s">
        <v>81</v>
      </c>
      <c r="C270" s="50" t="s">
        <v>82</v>
      </c>
      <c r="D270" s="51" t="s">
        <v>836</v>
      </c>
      <c r="E270" s="51" t="s">
        <v>378</v>
      </c>
      <c r="F270" s="52"/>
      <c r="G270" s="67"/>
      <c r="H270" s="65"/>
      <c r="I270" s="42"/>
      <c r="J270" s="67"/>
      <c r="K270" s="65"/>
      <c r="L270" s="56"/>
      <c r="M270" s="67"/>
      <c r="N270" s="27"/>
      <c r="P270" s="28" t="s">
        <v>13</v>
      </c>
      <c r="Q270" s="28"/>
      <c r="R270" s="28"/>
      <c r="S270" s="28"/>
      <c r="T270" s="28"/>
    </row>
    <row r="271" spans="1:28" s="60" customFormat="1" ht="15" customHeight="1">
      <c r="A271" s="49">
        <v>40</v>
      </c>
      <c r="B271" s="49" t="s">
        <v>83</v>
      </c>
      <c r="C271" s="50" t="s">
        <v>12</v>
      </c>
      <c r="D271" s="51" t="s">
        <v>705</v>
      </c>
      <c r="E271" s="63" t="s">
        <v>706</v>
      </c>
      <c r="F271" s="42" t="s">
        <v>416</v>
      </c>
      <c r="G271" s="53" t="s">
        <v>837</v>
      </c>
      <c r="H271" s="65"/>
      <c r="I271" s="42" t="s">
        <v>416</v>
      </c>
      <c r="J271" s="53" t="s">
        <v>838</v>
      </c>
      <c r="K271" s="65"/>
      <c r="L271" s="56" t="s">
        <v>416</v>
      </c>
      <c r="M271" s="53" t="s">
        <v>709</v>
      </c>
      <c r="N271" s="27"/>
      <c r="O271" s="73" t="s">
        <v>839</v>
      </c>
      <c r="P271" s="28" t="s">
        <v>13</v>
      </c>
      <c r="Q271" s="28"/>
      <c r="R271" s="28" t="s">
        <v>13</v>
      </c>
      <c r="S271" s="28"/>
      <c r="T271" s="28"/>
      <c r="U271" s="1" t="s">
        <v>710</v>
      </c>
      <c r="V271" s="60" t="s">
        <v>711</v>
      </c>
      <c r="W271" s="1" t="s">
        <v>712</v>
      </c>
      <c r="X271" s="60" t="s">
        <v>713</v>
      </c>
      <c r="Y271" s="1" t="s">
        <v>714</v>
      </c>
      <c r="Z271" s="60" t="s">
        <v>715</v>
      </c>
    </row>
    <row r="272" spans="1:28" s="60" customFormat="1" ht="15" customHeight="1">
      <c r="A272" s="49">
        <v>40</v>
      </c>
      <c r="B272" s="49" t="s">
        <v>83</v>
      </c>
      <c r="C272" s="50" t="s">
        <v>12</v>
      </c>
      <c r="D272" s="51" t="s">
        <v>723</v>
      </c>
      <c r="E272" s="51" t="s">
        <v>724</v>
      </c>
      <c r="F272" s="52" t="s">
        <v>801</v>
      </c>
      <c r="G272" s="53" t="s">
        <v>840</v>
      </c>
      <c r="H272" s="65"/>
      <c r="I272" s="56" t="s">
        <v>403</v>
      </c>
      <c r="J272" s="53" t="s">
        <v>726</v>
      </c>
      <c r="K272" s="65"/>
      <c r="L272" s="56" t="s">
        <v>379</v>
      </c>
      <c r="M272" s="53" t="s">
        <v>727</v>
      </c>
      <c r="N272" s="27"/>
      <c r="O272" s="73" t="s">
        <v>839</v>
      </c>
      <c r="P272" s="28" t="s">
        <v>13</v>
      </c>
      <c r="Q272" s="28"/>
      <c r="R272" s="28" t="s">
        <v>13</v>
      </c>
      <c r="S272" s="28"/>
      <c r="T272" s="28"/>
      <c r="U272" s="1" t="s">
        <v>841</v>
      </c>
      <c r="V272" s="60" t="s">
        <v>842</v>
      </c>
      <c r="W272" s="1" t="s">
        <v>730</v>
      </c>
      <c r="Y272" s="1" t="s">
        <v>731</v>
      </c>
    </row>
    <row r="273" spans="1:28" s="60" customFormat="1" ht="15" customHeight="1">
      <c r="A273" s="49">
        <v>40</v>
      </c>
      <c r="B273" s="49" t="s">
        <v>83</v>
      </c>
      <c r="C273" s="50" t="s">
        <v>12</v>
      </c>
      <c r="D273" s="51" t="s">
        <v>723</v>
      </c>
      <c r="E273" s="51" t="s">
        <v>735</v>
      </c>
      <c r="F273" s="52" t="s">
        <v>801</v>
      </c>
      <c r="G273" s="98" t="s">
        <v>843</v>
      </c>
      <c r="H273" s="65"/>
      <c r="I273" s="42" t="s">
        <v>377</v>
      </c>
      <c r="J273" s="53" t="s">
        <v>830</v>
      </c>
      <c r="K273" s="65"/>
      <c r="L273" s="56" t="s">
        <v>379</v>
      </c>
      <c r="M273" s="53" t="s">
        <v>737</v>
      </c>
      <c r="N273" s="27"/>
      <c r="O273" s="73" t="s">
        <v>839</v>
      </c>
      <c r="P273" s="28" t="s">
        <v>13</v>
      </c>
      <c r="Q273" s="28"/>
      <c r="R273" s="28" t="s">
        <v>13</v>
      </c>
      <c r="S273" s="28"/>
      <c r="T273" s="28"/>
      <c r="U273" s="1" t="s">
        <v>841</v>
      </c>
      <c r="V273" s="60" t="s">
        <v>842</v>
      </c>
      <c r="W273" s="1" t="s">
        <v>844</v>
      </c>
      <c r="X273" s="60" t="s">
        <v>845</v>
      </c>
      <c r="Y273" s="1"/>
    </row>
    <row r="274" spans="1:28" s="60" customFormat="1" ht="15" customHeight="1">
      <c r="A274" s="49">
        <v>40</v>
      </c>
      <c r="B274" s="49" t="s">
        <v>83</v>
      </c>
      <c r="C274" s="50" t="s">
        <v>12</v>
      </c>
      <c r="D274" s="51" t="s">
        <v>723</v>
      </c>
      <c r="E274" s="51" t="s">
        <v>740</v>
      </c>
      <c r="F274" s="52" t="s">
        <v>416</v>
      </c>
      <c r="G274" s="67" t="s">
        <v>846</v>
      </c>
      <c r="H274" s="96"/>
      <c r="I274" s="42" t="s">
        <v>416</v>
      </c>
      <c r="J274" s="53" t="s">
        <v>742</v>
      </c>
      <c r="K274" s="65"/>
      <c r="L274" s="56" t="s">
        <v>377</v>
      </c>
      <c r="M274" s="53" t="s">
        <v>743</v>
      </c>
      <c r="N274" s="27"/>
      <c r="O274" s="53"/>
      <c r="P274" s="28"/>
      <c r="Q274" s="28"/>
      <c r="R274" s="28"/>
      <c r="S274" s="28"/>
      <c r="T274" s="28"/>
      <c r="U274" s="1" t="s">
        <v>744</v>
      </c>
      <c r="V274" s="60" t="s">
        <v>745</v>
      </c>
      <c r="W274" s="1" t="s">
        <v>746</v>
      </c>
      <c r="X274" s="60" t="s">
        <v>747</v>
      </c>
      <c r="Y274" s="1"/>
    </row>
    <row r="275" spans="1:28" s="60" customFormat="1" ht="15" customHeight="1">
      <c r="A275" s="49">
        <v>40</v>
      </c>
      <c r="B275" s="49" t="s">
        <v>83</v>
      </c>
      <c r="C275" s="50" t="s">
        <v>12</v>
      </c>
      <c r="D275" s="51" t="s">
        <v>809</v>
      </c>
      <c r="E275" s="51" t="s">
        <v>531</v>
      </c>
      <c r="F275" s="42" t="s">
        <v>405</v>
      </c>
      <c r="G275" s="53" t="s">
        <v>532</v>
      </c>
      <c r="H275" s="54"/>
      <c r="I275" s="42" t="s">
        <v>379</v>
      </c>
      <c r="J275" s="53" t="s">
        <v>533</v>
      </c>
      <c r="K275" s="65"/>
      <c r="L275" s="56" t="s">
        <v>377</v>
      </c>
      <c r="M275" s="53" t="s">
        <v>534</v>
      </c>
      <c r="N275" s="27"/>
      <c r="O275" s="53" t="s">
        <v>535</v>
      </c>
      <c r="P275" s="28"/>
      <c r="Q275" s="28"/>
      <c r="R275" s="28"/>
      <c r="S275" s="28"/>
      <c r="T275" s="28"/>
      <c r="U275" s="1" t="s">
        <v>536</v>
      </c>
      <c r="V275" s="60" t="s">
        <v>537</v>
      </c>
      <c r="W275" s="1" t="s">
        <v>538</v>
      </c>
      <c r="X275" s="60" t="s">
        <v>539</v>
      </c>
      <c r="Y275" s="1" t="s">
        <v>540</v>
      </c>
      <c r="Z275" s="60" t="s">
        <v>541</v>
      </c>
      <c r="AA275" s="1" t="s">
        <v>542</v>
      </c>
      <c r="AB275" s="60" t="s">
        <v>543</v>
      </c>
    </row>
    <row r="276" spans="1:28" s="60" customFormat="1" ht="15" customHeight="1">
      <c r="A276" s="49">
        <v>40</v>
      </c>
      <c r="B276" s="49" t="s">
        <v>83</v>
      </c>
      <c r="C276" s="50" t="s">
        <v>12</v>
      </c>
      <c r="D276" s="51" t="s">
        <v>809</v>
      </c>
      <c r="E276" s="51" t="s">
        <v>544</v>
      </c>
      <c r="F276" s="42" t="s">
        <v>405</v>
      </c>
      <c r="G276" s="53" t="s">
        <v>545</v>
      </c>
      <c r="H276" s="54"/>
      <c r="I276" s="42" t="s">
        <v>379</v>
      </c>
      <c r="J276" s="53" t="s">
        <v>546</v>
      </c>
      <c r="K276" s="65"/>
      <c r="L276" s="56" t="s">
        <v>377</v>
      </c>
      <c r="M276" s="53" t="s">
        <v>534</v>
      </c>
      <c r="N276" s="58"/>
      <c r="O276" s="53" t="s">
        <v>535</v>
      </c>
      <c r="P276" s="28"/>
      <c r="Q276" s="28"/>
      <c r="R276" s="28"/>
      <c r="S276" s="28"/>
      <c r="T276" s="28"/>
      <c r="U276" s="1" t="s">
        <v>536</v>
      </c>
      <c r="V276" s="60" t="s">
        <v>537</v>
      </c>
      <c r="W276" s="1" t="s">
        <v>538</v>
      </c>
      <c r="X276" s="60" t="s">
        <v>539</v>
      </c>
      <c r="Y276" s="1" t="s">
        <v>540</v>
      </c>
      <c r="Z276" s="60" t="s">
        <v>541</v>
      </c>
      <c r="AA276" s="1" t="s">
        <v>542</v>
      </c>
      <c r="AB276" s="60" t="s">
        <v>543</v>
      </c>
    </row>
    <row r="277" spans="1:28" s="60" customFormat="1" ht="15" customHeight="1">
      <c r="A277" s="49">
        <v>41</v>
      </c>
      <c r="B277" s="49" t="s">
        <v>84</v>
      </c>
      <c r="C277" s="50" t="s">
        <v>12</v>
      </c>
      <c r="D277" s="51" t="s">
        <v>705</v>
      </c>
      <c r="E277" s="63" t="s">
        <v>706</v>
      </c>
      <c r="F277" s="42" t="s">
        <v>416</v>
      </c>
      <c r="G277" s="53" t="s">
        <v>847</v>
      </c>
      <c r="H277" s="65"/>
      <c r="I277" s="42" t="s">
        <v>416</v>
      </c>
      <c r="J277" s="53" t="s">
        <v>838</v>
      </c>
      <c r="K277" s="65"/>
      <c r="L277" s="56" t="s">
        <v>416</v>
      </c>
      <c r="M277" s="53" t="s">
        <v>709</v>
      </c>
      <c r="N277" s="27"/>
      <c r="O277" s="73" t="s">
        <v>839</v>
      </c>
      <c r="P277" s="28" t="s">
        <v>13</v>
      </c>
      <c r="Q277" s="28"/>
      <c r="R277" s="28" t="s">
        <v>13</v>
      </c>
      <c r="S277" s="28"/>
      <c r="T277" s="28"/>
      <c r="U277" s="1" t="s">
        <v>710</v>
      </c>
      <c r="V277" s="60" t="s">
        <v>711</v>
      </c>
      <c r="W277" s="1" t="s">
        <v>712</v>
      </c>
      <c r="X277" s="60" t="s">
        <v>713</v>
      </c>
      <c r="Y277" s="1" t="s">
        <v>714</v>
      </c>
      <c r="Z277" s="60" t="s">
        <v>715</v>
      </c>
    </row>
    <row r="278" spans="1:28" s="60" customFormat="1" ht="15" customHeight="1">
      <c r="A278" s="49">
        <v>41</v>
      </c>
      <c r="B278" s="49" t="s">
        <v>84</v>
      </c>
      <c r="C278" s="50" t="s">
        <v>12</v>
      </c>
      <c r="D278" s="51" t="s">
        <v>723</v>
      </c>
      <c r="E278" s="51" t="s">
        <v>724</v>
      </c>
      <c r="F278" s="52" t="s">
        <v>801</v>
      </c>
      <c r="G278" s="53" t="s">
        <v>840</v>
      </c>
      <c r="H278" s="65"/>
      <c r="I278" s="56" t="s">
        <v>403</v>
      </c>
      <c r="J278" s="53" t="s">
        <v>726</v>
      </c>
      <c r="K278" s="65"/>
      <c r="L278" s="56" t="s">
        <v>379</v>
      </c>
      <c r="M278" s="53" t="s">
        <v>727</v>
      </c>
      <c r="N278" s="27"/>
      <c r="O278" s="73" t="s">
        <v>839</v>
      </c>
      <c r="P278" s="28" t="s">
        <v>13</v>
      </c>
      <c r="Q278" s="28"/>
      <c r="R278" s="28" t="s">
        <v>13</v>
      </c>
      <c r="S278" s="28"/>
      <c r="T278" s="28"/>
      <c r="U278" s="1" t="s">
        <v>841</v>
      </c>
      <c r="V278" s="60" t="s">
        <v>842</v>
      </c>
      <c r="W278" s="1" t="s">
        <v>730</v>
      </c>
      <c r="Y278" s="1" t="s">
        <v>731</v>
      </c>
    </row>
    <row r="279" spans="1:28" s="60" customFormat="1" ht="15" customHeight="1">
      <c r="A279" s="49">
        <v>41</v>
      </c>
      <c r="B279" s="49" t="s">
        <v>84</v>
      </c>
      <c r="C279" s="50" t="s">
        <v>12</v>
      </c>
      <c r="D279" s="51" t="s">
        <v>723</v>
      </c>
      <c r="E279" s="51" t="s">
        <v>735</v>
      </c>
      <c r="F279" s="52" t="s">
        <v>801</v>
      </c>
      <c r="G279" s="98" t="s">
        <v>843</v>
      </c>
      <c r="H279" s="65"/>
      <c r="I279" s="42" t="s">
        <v>377</v>
      </c>
      <c r="J279" s="53" t="s">
        <v>830</v>
      </c>
      <c r="K279" s="65"/>
      <c r="L279" s="56" t="s">
        <v>379</v>
      </c>
      <c r="M279" s="53" t="s">
        <v>737</v>
      </c>
      <c r="N279" s="27"/>
      <c r="O279" s="73" t="s">
        <v>839</v>
      </c>
      <c r="P279" s="28" t="s">
        <v>13</v>
      </c>
      <c r="Q279" s="28"/>
      <c r="R279" s="28" t="s">
        <v>13</v>
      </c>
      <c r="S279" s="28"/>
      <c r="T279" s="28"/>
      <c r="U279" s="1" t="s">
        <v>841</v>
      </c>
      <c r="V279" s="60" t="s">
        <v>842</v>
      </c>
      <c r="W279" s="1" t="s">
        <v>844</v>
      </c>
      <c r="X279" s="60" t="s">
        <v>845</v>
      </c>
      <c r="Y279" s="1"/>
    </row>
    <row r="280" spans="1:28" s="60" customFormat="1" ht="15" customHeight="1">
      <c r="A280" s="49">
        <v>41</v>
      </c>
      <c r="B280" s="49" t="s">
        <v>84</v>
      </c>
      <c r="C280" s="50" t="s">
        <v>12</v>
      </c>
      <c r="D280" s="51" t="s">
        <v>723</v>
      </c>
      <c r="E280" s="51" t="s">
        <v>740</v>
      </c>
      <c r="F280" s="52" t="s">
        <v>416</v>
      </c>
      <c r="G280" s="67" t="s">
        <v>741</v>
      </c>
      <c r="H280" s="96"/>
      <c r="I280" s="42" t="s">
        <v>416</v>
      </c>
      <c r="J280" s="53" t="s">
        <v>742</v>
      </c>
      <c r="K280" s="65"/>
      <c r="L280" s="56" t="s">
        <v>377</v>
      </c>
      <c r="M280" s="53" t="s">
        <v>743</v>
      </c>
      <c r="N280" s="27"/>
      <c r="O280" s="53"/>
      <c r="P280" s="28"/>
      <c r="Q280" s="28"/>
      <c r="R280" s="28"/>
      <c r="S280" s="28"/>
      <c r="T280" s="28"/>
      <c r="U280" s="1" t="s">
        <v>744</v>
      </c>
      <c r="V280" s="60" t="s">
        <v>745</v>
      </c>
      <c r="W280" s="1" t="s">
        <v>746</v>
      </c>
      <c r="X280" s="60" t="s">
        <v>747</v>
      </c>
      <c r="Y280" s="1"/>
    </row>
    <row r="281" spans="1:28" s="60" customFormat="1" ht="15" customHeight="1">
      <c r="A281" s="49">
        <v>41</v>
      </c>
      <c r="B281" s="49" t="s">
        <v>84</v>
      </c>
      <c r="C281" s="50" t="s">
        <v>12</v>
      </c>
      <c r="D281" s="51" t="s">
        <v>809</v>
      </c>
      <c r="E281" s="51" t="s">
        <v>531</v>
      </c>
      <c r="F281" s="42" t="s">
        <v>405</v>
      </c>
      <c r="G281" s="53" t="s">
        <v>532</v>
      </c>
      <c r="H281" s="54"/>
      <c r="I281" s="42" t="s">
        <v>379</v>
      </c>
      <c r="J281" s="53" t="s">
        <v>533</v>
      </c>
      <c r="K281" s="65"/>
      <c r="L281" s="56" t="s">
        <v>377</v>
      </c>
      <c r="M281" s="53" t="s">
        <v>534</v>
      </c>
      <c r="N281" s="27"/>
      <c r="O281" s="53" t="s">
        <v>535</v>
      </c>
      <c r="P281" s="28"/>
      <c r="Q281" s="28"/>
      <c r="R281" s="28"/>
      <c r="S281" s="28"/>
      <c r="T281" s="28"/>
      <c r="U281" s="1" t="s">
        <v>536</v>
      </c>
      <c r="V281" s="60" t="s">
        <v>537</v>
      </c>
      <c r="W281" s="1" t="s">
        <v>538</v>
      </c>
      <c r="X281" s="60" t="s">
        <v>539</v>
      </c>
      <c r="Y281" s="1" t="s">
        <v>540</v>
      </c>
      <c r="Z281" s="60" t="s">
        <v>541</v>
      </c>
      <c r="AA281" s="1" t="s">
        <v>542</v>
      </c>
      <c r="AB281" s="60" t="s">
        <v>543</v>
      </c>
    </row>
    <row r="282" spans="1:28" s="60" customFormat="1" ht="15" customHeight="1">
      <c r="A282" s="49">
        <v>41</v>
      </c>
      <c r="B282" s="49" t="s">
        <v>84</v>
      </c>
      <c r="C282" s="50" t="s">
        <v>12</v>
      </c>
      <c r="D282" s="51" t="s">
        <v>809</v>
      </c>
      <c r="E282" s="51" t="s">
        <v>544</v>
      </c>
      <c r="F282" s="42" t="s">
        <v>405</v>
      </c>
      <c r="G282" s="53" t="s">
        <v>545</v>
      </c>
      <c r="H282" s="54"/>
      <c r="I282" s="42" t="s">
        <v>379</v>
      </c>
      <c r="J282" s="53" t="s">
        <v>546</v>
      </c>
      <c r="K282" s="65"/>
      <c r="L282" s="56" t="s">
        <v>377</v>
      </c>
      <c r="M282" s="53" t="s">
        <v>534</v>
      </c>
      <c r="N282" s="58"/>
      <c r="O282" s="53" t="s">
        <v>535</v>
      </c>
      <c r="P282" s="28"/>
      <c r="Q282" s="28"/>
      <c r="R282" s="28"/>
      <c r="S282" s="28"/>
      <c r="T282" s="28"/>
      <c r="U282" s="1" t="s">
        <v>536</v>
      </c>
      <c r="V282" s="60" t="s">
        <v>537</v>
      </c>
      <c r="W282" s="1" t="s">
        <v>538</v>
      </c>
      <c r="X282" s="60" t="s">
        <v>539</v>
      </c>
      <c r="Y282" s="1" t="s">
        <v>540</v>
      </c>
      <c r="Z282" s="60" t="s">
        <v>541</v>
      </c>
      <c r="AA282" s="1" t="s">
        <v>542</v>
      </c>
      <c r="AB282" s="60" t="s">
        <v>543</v>
      </c>
    </row>
    <row r="283" spans="1:28" s="60" customFormat="1" ht="15" customHeight="1">
      <c r="A283" s="49">
        <v>42</v>
      </c>
      <c r="B283" s="49" t="s">
        <v>85</v>
      </c>
      <c r="C283" s="50" t="s">
        <v>72</v>
      </c>
      <c r="D283" s="51" t="s">
        <v>812</v>
      </c>
      <c r="E283" s="63" t="s">
        <v>813</v>
      </c>
      <c r="F283" s="52" t="s">
        <v>801</v>
      </c>
      <c r="G283" s="53" t="s">
        <v>848</v>
      </c>
      <c r="H283" s="67"/>
      <c r="I283" s="93" t="s">
        <v>377</v>
      </c>
      <c r="J283" s="53" t="s">
        <v>815</v>
      </c>
      <c r="K283" s="67"/>
      <c r="L283" s="56" t="s">
        <v>416</v>
      </c>
      <c r="M283" s="53" t="s">
        <v>816</v>
      </c>
      <c r="N283" s="27"/>
      <c r="O283" s="53" t="s">
        <v>817</v>
      </c>
      <c r="P283" s="28" t="s">
        <v>13</v>
      </c>
      <c r="Q283" s="28"/>
      <c r="R283" s="28" t="s">
        <v>13</v>
      </c>
      <c r="S283" s="28"/>
      <c r="T283" s="28"/>
      <c r="U283" s="1" t="s">
        <v>818</v>
      </c>
      <c r="V283" s="60" t="s">
        <v>819</v>
      </c>
    </row>
    <row r="284" spans="1:28" s="60" customFormat="1" ht="15" customHeight="1">
      <c r="A284" s="49">
        <v>42</v>
      </c>
      <c r="B284" s="49" t="s">
        <v>85</v>
      </c>
      <c r="C284" s="50" t="s">
        <v>72</v>
      </c>
      <c r="D284" s="51" t="s">
        <v>698</v>
      </c>
      <c r="E284" s="63" t="s">
        <v>820</v>
      </c>
      <c r="F284" s="56" t="s">
        <v>821</v>
      </c>
      <c r="G284" s="53" t="s">
        <v>822</v>
      </c>
      <c r="H284" s="67"/>
      <c r="I284" s="93" t="s">
        <v>416</v>
      </c>
      <c r="J284" s="53" t="s">
        <v>823</v>
      </c>
      <c r="K284" s="67"/>
      <c r="L284" s="94" t="s">
        <v>377</v>
      </c>
      <c r="M284" s="53" t="s">
        <v>702</v>
      </c>
      <c r="N284" s="27"/>
      <c r="O284" s="53" t="s">
        <v>817</v>
      </c>
      <c r="P284" s="28" t="s">
        <v>13</v>
      </c>
      <c r="Q284" s="28"/>
      <c r="R284" s="28" t="s">
        <v>13</v>
      </c>
      <c r="S284" s="28"/>
      <c r="T284" s="28"/>
      <c r="U284" s="1" t="s">
        <v>824</v>
      </c>
      <c r="V284" s="60" t="s">
        <v>825</v>
      </c>
    </row>
    <row r="285" spans="1:28" s="60" customFormat="1" ht="15" customHeight="1">
      <c r="A285" s="49">
        <v>42</v>
      </c>
      <c r="B285" s="49" t="s">
        <v>85</v>
      </c>
      <c r="C285" s="50" t="s">
        <v>72</v>
      </c>
      <c r="D285" s="51" t="s">
        <v>705</v>
      </c>
      <c r="E285" s="63" t="s">
        <v>706</v>
      </c>
      <c r="F285" s="42" t="s">
        <v>826</v>
      </c>
      <c r="G285" s="53" t="s">
        <v>827</v>
      </c>
      <c r="H285" s="65"/>
      <c r="I285" s="42" t="s">
        <v>416</v>
      </c>
      <c r="J285" s="53" t="s">
        <v>708</v>
      </c>
      <c r="K285" s="65"/>
      <c r="L285" s="56" t="s">
        <v>416</v>
      </c>
      <c r="M285" s="53" t="s">
        <v>709</v>
      </c>
      <c r="N285" s="27"/>
      <c r="O285" s="53" t="s">
        <v>817</v>
      </c>
      <c r="P285" s="28" t="s">
        <v>13</v>
      </c>
      <c r="Q285" s="28"/>
      <c r="R285" s="28" t="s">
        <v>13</v>
      </c>
      <c r="S285" s="28"/>
      <c r="T285" s="28"/>
      <c r="U285" s="1" t="s">
        <v>710</v>
      </c>
      <c r="V285" s="60" t="s">
        <v>711</v>
      </c>
      <c r="W285" s="1" t="s">
        <v>712</v>
      </c>
      <c r="X285" s="60" t="s">
        <v>713</v>
      </c>
      <c r="Y285" s="1" t="s">
        <v>714</v>
      </c>
      <c r="Z285" s="27" t="s">
        <v>715</v>
      </c>
    </row>
    <row r="286" spans="1:28" s="60" customFormat="1" ht="15" customHeight="1">
      <c r="A286" s="49">
        <v>42</v>
      </c>
      <c r="B286" s="49" t="s">
        <v>85</v>
      </c>
      <c r="C286" s="50" t="s">
        <v>72</v>
      </c>
      <c r="D286" s="51" t="s">
        <v>705</v>
      </c>
      <c r="E286" s="63" t="s">
        <v>716</v>
      </c>
      <c r="F286" s="52" t="s">
        <v>801</v>
      </c>
      <c r="G286" s="53" t="s">
        <v>717</v>
      </c>
      <c r="H286" s="65"/>
      <c r="I286" s="42" t="s">
        <v>416</v>
      </c>
      <c r="J286" s="53" t="s">
        <v>708</v>
      </c>
      <c r="K286" s="65"/>
      <c r="L286" s="56" t="s">
        <v>405</v>
      </c>
      <c r="M286" s="53" t="s">
        <v>718</v>
      </c>
      <c r="N286" s="27"/>
      <c r="O286" s="53" t="s">
        <v>817</v>
      </c>
      <c r="P286" s="28" t="s">
        <v>13</v>
      </c>
      <c r="Q286" s="28"/>
      <c r="R286" s="28" t="s">
        <v>13</v>
      </c>
      <c r="S286" s="28"/>
      <c r="T286" s="28"/>
      <c r="U286" s="1" t="s">
        <v>719</v>
      </c>
      <c r="V286" s="60" t="s">
        <v>720</v>
      </c>
      <c r="W286" s="1" t="s">
        <v>712</v>
      </c>
      <c r="X286" s="60" t="s">
        <v>713</v>
      </c>
      <c r="Y286" s="1" t="s">
        <v>721</v>
      </c>
      <c r="Z286" s="27" t="s">
        <v>722</v>
      </c>
    </row>
    <row r="287" spans="1:28" s="60" customFormat="1" ht="15" customHeight="1">
      <c r="A287" s="49">
        <v>42</v>
      </c>
      <c r="B287" s="49" t="s">
        <v>85</v>
      </c>
      <c r="C287" s="50" t="s">
        <v>72</v>
      </c>
      <c r="D287" s="51" t="s">
        <v>723</v>
      </c>
      <c r="E287" s="51" t="s">
        <v>724</v>
      </c>
      <c r="F287" s="52" t="s">
        <v>801</v>
      </c>
      <c r="G287" s="53" t="s">
        <v>828</v>
      </c>
      <c r="H287" s="65"/>
      <c r="I287" s="56" t="s">
        <v>403</v>
      </c>
      <c r="J287" s="53" t="s">
        <v>726</v>
      </c>
      <c r="K287" s="65"/>
      <c r="L287" s="56" t="s">
        <v>379</v>
      </c>
      <c r="M287" s="53" t="s">
        <v>727</v>
      </c>
      <c r="N287" s="27"/>
      <c r="O287" s="53" t="s">
        <v>817</v>
      </c>
      <c r="P287" s="28" t="s">
        <v>13</v>
      </c>
      <c r="Q287" s="28"/>
      <c r="R287" s="28" t="s">
        <v>13</v>
      </c>
      <c r="S287" s="28"/>
      <c r="T287" s="28"/>
      <c r="U287" s="1" t="s">
        <v>728</v>
      </c>
      <c r="V287" s="60" t="s">
        <v>729</v>
      </c>
      <c r="W287" s="1" t="s">
        <v>730</v>
      </c>
      <c r="Y287" s="1" t="s">
        <v>731</v>
      </c>
      <c r="Z287" s="60" t="s">
        <v>732</v>
      </c>
    </row>
    <row r="288" spans="1:28" s="60" customFormat="1" ht="15" customHeight="1">
      <c r="A288" s="49">
        <v>42</v>
      </c>
      <c r="B288" s="49" t="s">
        <v>85</v>
      </c>
      <c r="C288" s="50" t="s">
        <v>72</v>
      </c>
      <c r="D288" s="51" t="s">
        <v>723</v>
      </c>
      <c r="E288" s="51" t="s">
        <v>735</v>
      </c>
      <c r="F288" s="52" t="s">
        <v>801</v>
      </c>
      <c r="G288" s="98" t="s">
        <v>829</v>
      </c>
      <c r="H288" s="65"/>
      <c r="I288" s="42" t="s">
        <v>377</v>
      </c>
      <c r="J288" s="53" t="s">
        <v>830</v>
      </c>
      <c r="K288" s="65"/>
      <c r="L288" s="56" t="s">
        <v>379</v>
      </c>
      <c r="M288" s="53" t="s">
        <v>737</v>
      </c>
      <c r="N288" s="27"/>
      <c r="O288" s="53" t="s">
        <v>817</v>
      </c>
      <c r="P288" s="28" t="s">
        <v>13</v>
      </c>
      <c r="Q288" s="28"/>
      <c r="R288" s="28" t="s">
        <v>13</v>
      </c>
      <c r="S288" s="28"/>
      <c r="T288" s="28"/>
      <c r="U288" s="1" t="s">
        <v>738</v>
      </c>
      <c r="V288" s="60" t="s">
        <v>739</v>
      </c>
      <c r="W288" s="1" t="s">
        <v>728</v>
      </c>
      <c r="X288" s="60" t="s">
        <v>729</v>
      </c>
      <c r="Y288" s="1" t="s">
        <v>731</v>
      </c>
      <c r="Z288" s="60" t="s">
        <v>732</v>
      </c>
    </row>
    <row r="289" spans="1:28" s="60" customFormat="1" ht="15" customHeight="1">
      <c r="A289" s="49">
        <v>42</v>
      </c>
      <c r="B289" s="49" t="s">
        <v>85</v>
      </c>
      <c r="C289" s="50" t="s">
        <v>72</v>
      </c>
      <c r="D289" s="51" t="s">
        <v>723</v>
      </c>
      <c r="E289" s="51" t="s">
        <v>740</v>
      </c>
      <c r="F289" s="52" t="s">
        <v>416</v>
      </c>
      <c r="G289" s="67" t="s">
        <v>741</v>
      </c>
      <c r="H289" s="96"/>
      <c r="I289" s="42" t="s">
        <v>416</v>
      </c>
      <c r="J289" s="53" t="s">
        <v>742</v>
      </c>
      <c r="K289" s="65"/>
      <c r="L289" s="56" t="s">
        <v>377</v>
      </c>
      <c r="M289" s="53" t="s">
        <v>743</v>
      </c>
      <c r="N289" s="27"/>
      <c r="O289" s="53"/>
      <c r="P289" s="28"/>
      <c r="Q289" s="28"/>
      <c r="R289" s="28"/>
      <c r="S289" s="28"/>
      <c r="T289" s="28"/>
      <c r="U289" s="1" t="s">
        <v>744</v>
      </c>
      <c r="V289" s="60" t="s">
        <v>745</v>
      </c>
      <c r="W289" s="1" t="s">
        <v>746</v>
      </c>
      <c r="X289" s="60" t="s">
        <v>747</v>
      </c>
      <c r="Y289" s="1"/>
    </row>
    <row r="290" spans="1:28" s="60" customFormat="1" ht="15" customHeight="1">
      <c r="A290" s="49">
        <v>42</v>
      </c>
      <c r="B290" s="49" t="s">
        <v>85</v>
      </c>
      <c r="C290" s="50" t="s">
        <v>72</v>
      </c>
      <c r="D290" s="51" t="s">
        <v>809</v>
      </c>
      <c r="E290" s="51" t="s">
        <v>531</v>
      </c>
      <c r="F290" s="42" t="s">
        <v>826</v>
      </c>
      <c r="G290" s="53" t="s">
        <v>532</v>
      </c>
      <c r="H290" s="54"/>
      <c r="I290" s="42" t="s">
        <v>379</v>
      </c>
      <c r="J290" s="53" t="s">
        <v>831</v>
      </c>
      <c r="K290" s="65"/>
      <c r="L290" s="56" t="s">
        <v>377</v>
      </c>
      <c r="M290" s="53" t="s">
        <v>534</v>
      </c>
      <c r="N290" s="27"/>
      <c r="O290" s="53" t="s">
        <v>535</v>
      </c>
      <c r="P290" s="28" t="s">
        <v>13</v>
      </c>
      <c r="Q290" s="28"/>
      <c r="R290" s="28" t="s">
        <v>13</v>
      </c>
      <c r="S290" s="28"/>
      <c r="T290" s="28"/>
      <c r="U290" s="1" t="s">
        <v>536</v>
      </c>
      <c r="V290" s="60" t="s">
        <v>537</v>
      </c>
      <c r="W290" s="1" t="s">
        <v>538</v>
      </c>
      <c r="X290" s="60" t="s">
        <v>539</v>
      </c>
      <c r="Y290" s="1" t="s">
        <v>540</v>
      </c>
      <c r="Z290" s="60" t="s">
        <v>541</v>
      </c>
      <c r="AA290" s="1" t="s">
        <v>542</v>
      </c>
      <c r="AB290" s="60" t="s">
        <v>543</v>
      </c>
    </row>
    <row r="291" spans="1:28" s="60" customFormat="1" ht="15" customHeight="1">
      <c r="A291" s="49">
        <v>42</v>
      </c>
      <c r="B291" s="49" t="s">
        <v>85</v>
      </c>
      <c r="C291" s="50" t="s">
        <v>72</v>
      </c>
      <c r="D291" s="51" t="s">
        <v>809</v>
      </c>
      <c r="E291" s="51" t="s">
        <v>544</v>
      </c>
      <c r="F291" s="42" t="s">
        <v>826</v>
      </c>
      <c r="G291" s="53" t="s">
        <v>545</v>
      </c>
      <c r="H291" s="54"/>
      <c r="I291" s="42" t="s">
        <v>379</v>
      </c>
      <c r="J291" s="53" t="s">
        <v>832</v>
      </c>
      <c r="K291" s="65"/>
      <c r="L291" s="56" t="s">
        <v>377</v>
      </c>
      <c r="M291" s="53" t="s">
        <v>534</v>
      </c>
      <c r="N291" s="58"/>
      <c r="O291" s="53" t="s">
        <v>535</v>
      </c>
      <c r="P291" s="28" t="s">
        <v>13</v>
      </c>
      <c r="Q291" s="28"/>
      <c r="R291" s="28" t="s">
        <v>13</v>
      </c>
      <c r="S291" s="28"/>
      <c r="T291" s="28"/>
      <c r="U291" s="1" t="s">
        <v>536</v>
      </c>
      <c r="V291" s="60" t="s">
        <v>537</v>
      </c>
      <c r="W291" s="1" t="s">
        <v>538</v>
      </c>
      <c r="X291" s="60" t="s">
        <v>539</v>
      </c>
      <c r="Y291" s="1" t="s">
        <v>540</v>
      </c>
      <c r="Z291" s="60" t="s">
        <v>541</v>
      </c>
      <c r="AA291" s="1" t="s">
        <v>542</v>
      </c>
      <c r="AB291" s="60" t="s">
        <v>543</v>
      </c>
    </row>
    <row r="292" spans="1:28" s="60" customFormat="1" ht="15" customHeight="1">
      <c r="A292" s="49">
        <v>43</v>
      </c>
      <c r="B292" s="49" t="s">
        <v>86</v>
      </c>
      <c r="C292" s="50" t="s">
        <v>30</v>
      </c>
      <c r="D292" s="80" t="s">
        <v>849</v>
      </c>
      <c r="E292" s="80"/>
      <c r="F292" s="52"/>
      <c r="G292" s="67"/>
      <c r="H292" s="65"/>
      <c r="I292" s="42"/>
      <c r="J292" s="67"/>
      <c r="K292" s="65"/>
      <c r="L292" s="27"/>
      <c r="M292" s="67"/>
      <c r="N292" s="27"/>
      <c r="P292" s="28" t="s">
        <v>13</v>
      </c>
      <c r="Q292" s="28"/>
      <c r="R292" s="28"/>
      <c r="S292" s="28"/>
      <c r="T292" s="28"/>
    </row>
    <row r="293" spans="1:28" s="60" customFormat="1" ht="15" customHeight="1">
      <c r="A293" s="49">
        <v>44</v>
      </c>
      <c r="B293" s="49" t="s">
        <v>87</v>
      </c>
      <c r="C293" s="50" t="s">
        <v>82</v>
      </c>
      <c r="D293" s="51" t="s">
        <v>786</v>
      </c>
      <c r="E293" s="51" t="s">
        <v>787</v>
      </c>
      <c r="F293" s="93" t="s">
        <v>379</v>
      </c>
      <c r="G293" s="51" t="s">
        <v>788</v>
      </c>
      <c r="H293" s="65"/>
      <c r="I293" s="42" t="s">
        <v>416</v>
      </c>
      <c r="J293" s="51" t="s">
        <v>789</v>
      </c>
      <c r="K293" s="65"/>
      <c r="L293" s="56" t="s">
        <v>379</v>
      </c>
      <c r="M293" s="51" t="s">
        <v>790</v>
      </c>
      <c r="N293" s="27"/>
      <c r="O293" s="27"/>
      <c r="P293" s="28"/>
      <c r="Q293" s="28"/>
      <c r="R293" s="28"/>
      <c r="S293" s="28"/>
      <c r="T293" s="28"/>
      <c r="U293" s="3" t="s">
        <v>791</v>
      </c>
      <c r="V293" s="27" t="s">
        <v>792</v>
      </c>
      <c r="W293" s="3" t="s">
        <v>793</v>
      </c>
      <c r="X293" s="60" t="s">
        <v>794</v>
      </c>
      <c r="Y293" s="3" t="s">
        <v>795</v>
      </c>
      <c r="Z293" s="60" t="s">
        <v>796</v>
      </c>
      <c r="AA293" s="3" t="s">
        <v>797</v>
      </c>
      <c r="AB293" s="27" t="s">
        <v>798</v>
      </c>
    </row>
    <row r="294" spans="1:28" s="60" customFormat="1" ht="15" customHeight="1">
      <c r="A294" s="49">
        <v>44</v>
      </c>
      <c r="B294" s="49" t="s">
        <v>87</v>
      </c>
      <c r="C294" s="50" t="s">
        <v>850</v>
      </c>
      <c r="D294" s="51" t="s">
        <v>786</v>
      </c>
      <c r="E294" s="51" t="s">
        <v>799</v>
      </c>
      <c r="F294" s="93" t="s">
        <v>379</v>
      </c>
      <c r="G294" s="51" t="s">
        <v>800</v>
      </c>
      <c r="H294" s="65"/>
      <c r="I294" s="42" t="s">
        <v>416</v>
      </c>
      <c r="J294" s="51" t="s">
        <v>789</v>
      </c>
      <c r="K294" s="65"/>
      <c r="L294" s="56" t="s">
        <v>801</v>
      </c>
      <c r="M294" s="51"/>
      <c r="N294" s="27"/>
      <c r="O294" s="97" t="s">
        <v>802</v>
      </c>
      <c r="P294" s="28"/>
      <c r="Q294" s="28"/>
      <c r="R294" s="28"/>
      <c r="S294" s="28"/>
      <c r="T294" s="28"/>
      <c r="U294" s="3" t="s">
        <v>791</v>
      </c>
      <c r="V294" s="27" t="s">
        <v>792</v>
      </c>
      <c r="W294" s="3" t="s">
        <v>793</v>
      </c>
      <c r="X294" s="60" t="s">
        <v>794</v>
      </c>
      <c r="Y294" s="3" t="s">
        <v>795</v>
      </c>
      <c r="Z294" s="60" t="s">
        <v>796</v>
      </c>
      <c r="AA294" s="3" t="s">
        <v>797</v>
      </c>
      <c r="AB294" s="27" t="s">
        <v>798</v>
      </c>
    </row>
    <row r="295" spans="1:28" s="60" customFormat="1" ht="15" customHeight="1">
      <c r="A295" s="49">
        <v>44</v>
      </c>
      <c r="B295" s="49" t="s">
        <v>87</v>
      </c>
      <c r="C295" s="50" t="s">
        <v>851</v>
      </c>
      <c r="D295" s="51" t="s">
        <v>803</v>
      </c>
      <c r="E295" s="51" t="s">
        <v>804</v>
      </c>
      <c r="F295" s="93" t="s">
        <v>416</v>
      </c>
      <c r="G295" s="51" t="s">
        <v>805</v>
      </c>
      <c r="H295" s="65"/>
      <c r="I295" s="42" t="s">
        <v>416</v>
      </c>
      <c r="J295" s="51" t="s">
        <v>806</v>
      </c>
      <c r="K295" s="65"/>
      <c r="L295" s="56" t="s">
        <v>403</v>
      </c>
      <c r="M295" s="51" t="s">
        <v>807</v>
      </c>
      <c r="N295" s="27"/>
      <c r="O295" s="27"/>
      <c r="P295" s="28" t="s">
        <v>13</v>
      </c>
      <c r="Q295" s="28"/>
      <c r="R295" s="28"/>
      <c r="S295" s="28"/>
      <c r="T295" s="28"/>
      <c r="U295" s="3" t="s">
        <v>791</v>
      </c>
      <c r="V295" s="27" t="s">
        <v>792</v>
      </c>
      <c r="W295" s="3" t="s">
        <v>793</v>
      </c>
      <c r="X295" s="60" t="s">
        <v>794</v>
      </c>
      <c r="Y295" s="3" t="s">
        <v>795</v>
      </c>
      <c r="Z295" s="60" t="s">
        <v>796</v>
      </c>
      <c r="AA295" s="3" t="s">
        <v>797</v>
      </c>
      <c r="AB295" s="27" t="s">
        <v>798</v>
      </c>
    </row>
    <row r="296" spans="1:28" s="60" customFormat="1" ht="15" customHeight="1">
      <c r="A296" s="49">
        <v>45</v>
      </c>
      <c r="B296" s="49" t="s">
        <v>89</v>
      </c>
      <c r="C296" s="50" t="s">
        <v>90</v>
      </c>
      <c r="D296" s="51" t="s">
        <v>812</v>
      </c>
      <c r="E296" s="63" t="s">
        <v>813</v>
      </c>
      <c r="F296" s="52" t="s">
        <v>801</v>
      </c>
      <c r="G296" s="53" t="s">
        <v>814</v>
      </c>
      <c r="H296" s="67"/>
      <c r="I296" s="93" t="s">
        <v>377</v>
      </c>
      <c r="J296" s="53" t="s">
        <v>815</v>
      </c>
      <c r="K296" s="67"/>
      <c r="L296" s="56" t="s">
        <v>416</v>
      </c>
      <c r="M296" s="53" t="s">
        <v>816</v>
      </c>
      <c r="N296" s="27"/>
      <c r="O296" s="53" t="s">
        <v>817</v>
      </c>
      <c r="P296" s="28" t="s">
        <v>13</v>
      </c>
      <c r="Q296" s="28"/>
      <c r="R296" s="28" t="s">
        <v>13</v>
      </c>
      <c r="S296" s="28"/>
      <c r="T296" s="28"/>
      <c r="U296" s="1" t="s">
        <v>818</v>
      </c>
      <c r="V296" s="60" t="s">
        <v>819</v>
      </c>
    </row>
    <row r="297" spans="1:28" s="60" customFormat="1" ht="15" customHeight="1">
      <c r="A297" s="49">
        <v>45</v>
      </c>
      <c r="B297" s="49" t="s">
        <v>89</v>
      </c>
      <c r="C297" s="50" t="s">
        <v>90</v>
      </c>
      <c r="D297" s="51" t="s">
        <v>698</v>
      </c>
      <c r="E297" s="63" t="s">
        <v>820</v>
      </c>
      <c r="F297" s="56" t="s">
        <v>821</v>
      </c>
      <c r="G297" s="53" t="s">
        <v>822</v>
      </c>
      <c r="H297" s="67"/>
      <c r="I297" s="93" t="s">
        <v>416</v>
      </c>
      <c r="J297" s="53" t="s">
        <v>823</v>
      </c>
      <c r="K297" s="67"/>
      <c r="L297" s="94" t="s">
        <v>377</v>
      </c>
      <c r="M297" s="53" t="s">
        <v>702</v>
      </c>
      <c r="N297" s="27"/>
      <c r="O297" s="53" t="s">
        <v>817</v>
      </c>
      <c r="P297" s="28" t="s">
        <v>13</v>
      </c>
      <c r="Q297" s="28"/>
      <c r="R297" s="28" t="s">
        <v>13</v>
      </c>
      <c r="S297" s="28"/>
      <c r="T297" s="28"/>
      <c r="U297" s="1" t="s">
        <v>824</v>
      </c>
      <c r="V297" s="60" t="s">
        <v>825</v>
      </c>
    </row>
    <row r="298" spans="1:28" s="60" customFormat="1" ht="15" customHeight="1">
      <c r="A298" s="49">
        <v>46</v>
      </c>
      <c r="B298" s="49" t="s">
        <v>91</v>
      </c>
      <c r="C298" s="50" t="s">
        <v>90</v>
      </c>
      <c r="D298" s="51" t="s">
        <v>812</v>
      </c>
      <c r="E298" s="63" t="s">
        <v>813</v>
      </c>
      <c r="F298" s="52" t="s">
        <v>801</v>
      </c>
      <c r="G298" s="53" t="s">
        <v>814</v>
      </c>
      <c r="H298" s="67"/>
      <c r="I298" s="93" t="s">
        <v>377</v>
      </c>
      <c r="J298" s="53" t="s">
        <v>815</v>
      </c>
      <c r="K298" s="67"/>
      <c r="L298" s="56" t="s">
        <v>416</v>
      </c>
      <c r="M298" s="53" t="s">
        <v>816</v>
      </c>
      <c r="N298" s="27"/>
      <c r="O298" s="53" t="s">
        <v>817</v>
      </c>
      <c r="P298" s="28" t="s">
        <v>13</v>
      </c>
      <c r="Q298" s="28"/>
      <c r="R298" s="28" t="s">
        <v>13</v>
      </c>
      <c r="S298" s="28"/>
      <c r="T298" s="28"/>
      <c r="U298" s="1" t="s">
        <v>818</v>
      </c>
      <c r="V298" s="60" t="s">
        <v>819</v>
      </c>
    </row>
    <row r="299" spans="1:28" s="60" customFormat="1" ht="15" customHeight="1">
      <c r="A299" s="49">
        <v>46</v>
      </c>
      <c r="B299" s="49" t="s">
        <v>91</v>
      </c>
      <c r="C299" s="50" t="s">
        <v>852</v>
      </c>
      <c r="D299" s="51" t="s">
        <v>698</v>
      </c>
      <c r="E299" s="63" t="s">
        <v>820</v>
      </c>
      <c r="F299" s="56" t="s">
        <v>821</v>
      </c>
      <c r="G299" s="53" t="s">
        <v>822</v>
      </c>
      <c r="H299" s="67"/>
      <c r="I299" s="93" t="s">
        <v>416</v>
      </c>
      <c r="J299" s="53" t="s">
        <v>823</v>
      </c>
      <c r="K299" s="67"/>
      <c r="L299" s="94" t="s">
        <v>377</v>
      </c>
      <c r="M299" s="53" t="s">
        <v>702</v>
      </c>
      <c r="N299" s="27"/>
      <c r="O299" s="53" t="s">
        <v>817</v>
      </c>
      <c r="P299" s="28" t="s">
        <v>13</v>
      </c>
      <c r="Q299" s="28"/>
      <c r="R299" s="28" t="s">
        <v>13</v>
      </c>
      <c r="S299" s="28"/>
      <c r="T299" s="28"/>
      <c r="U299" s="1" t="s">
        <v>824</v>
      </c>
      <c r="V299" s="60" t="s">
        <v>825</v>
      </c>
    </row>
    <row r="300" spans="1:28" s="60" customFormat="1" ht="15" customHeight="1">
      <c r="A300" s="49">
        <v>47</v>
      </c>
      <c r="B300" s="49" t="s">
        <v>92</v>
      </c>
      <c r="C300" s="50" t="s">
        <v>93</v>
      </c>
      <c r="D300" s="51" t="s">
        <v>812</v>
      </c>
      <c r="E300" s="63" t="s">
        <v>813</v>
      </c>
      <c r="F300" s="52" t="s">
        <v>801</v>
      </c>
      <c r="G300" s="53" t="s">
        <v>814</v>
      </c>
      <c r="H300" s="67"/>
      <c r="I300" s="93" t="s">
        <v>377</v>
      </c>
      <c r="J300" s="53" t="s">
        <v>815</v>
      </c>
      <c r="K300" s="67"/>
      <c r="L300" s="56" t="s">
        <v>416</v>
      </c>
      <c r="M300" s="53" t="s">
        <v>816</v>
      </c>
      <c r="N300" s="27"/>
      <c r="O300" s="53" t="s">
        <v>817</v>
      </c>
      <c r="P300" s="28" t="s">
        <v>13</v>
      </c>
      <c r="Q300" s="28"/>
      <c r="R300" s="28" t="s">
        <v>13</v>
      </c>
      <c r="S300" s="28"/>
      <c r="T300" s="28"/>
      <c r="U300" s="1" t="s">
        <v>818</v>
      </c>
      <c r="V300" s="60" t="s">
        <v>819</v>
      </c>
    </row>
    <row r="301" spans="1:28" s="60" customFormat="1" ht="15" customHeight="1">
      <c r="A301" s="49">
        <v>47</v>
      </c>
      <c r="B301" s="49" t="s">
        <v>92</v>
      </c>
      <c r="C301" s="50" t="s">
        <v>93</v>
      </c>
      <c r="D301" s="51" t="s">
        <v>698</v>
      </c>
      <c r="E301" s="63" t="s">
        <v>820</v>
      </c>
      <c r="F301" s="56" t="s">
        <v>821</v>
      </c>
      <c r="G301" s="53" t="s">
        <v>822</v>
      </c>
      <c r="H301" s="67"/>
      <c r="I301" s="93" t="s">
        <v>416</v>
      </c>
      <c r="J301" s="53" t="s">
        <v>823</v>
      </c>
      <c r="K301" s="67"/>
      <c r="L301" s="94" t="s">
        <v>377</v>
      </c>
      <c r="M301" s="53" t="s">
        <v>702</v>
      </c>
      <c r="N301" s="27"/>
      <c r="O301" s="53" t="s">
        <v>817</v>
      </c>
      <c r="P301" s="28" t="s">
        <v>13</v>
      </c>
      <c r="Q301" s="28"/>
      <c r="R301" s="28" t="s">
        <v>13</v>
      </c>
      <c r="S301" s="28"/>
      <c r="T301" s="28"/>
      <c r="U301" s="1" t="s">
        <v>824</v>
      </c>
      <c r="V301" s="60" t="s">
        <v>825</v>
      </c>
    </row>
    <row r="302" spans="1:28" s="60" customFormat="1" ht="15" customHeight="1">
      <c r="A302" s="49">
        <v>48</v>
      </c>
      <c r="B302" s="49" t="s">
        <v>94</v>
      </c>
      <c r="C302" s="50" t="s">
        <v>95</v>
      </c>
      <c r="D302" s="51" t="s">
        <v>812</v>
      </c>
      <c r="E302" s="63" t="s">
        <v>813</v>
      </c>
      <c r="F302" s="52" t="s">
        <v>801</v>
      </c>
      <c r="G302" s="53" t="s">
        <v>814</v>
      </c>
      <c r="H302" s="67"/>
      <c r="I302" s="93" t="s">
        <v>377</v>
      </c>
      <c r="J302" s="53" t="s">
        <v>815</v>
      </c>
      <c r="K302" s="67"/>
      <c r="L302" s="56" t="s">
        <v>416</v>
      </c>
      <c r="M302" s="53" t="s">
        <v>816</v>
      </c>
      <c r="N302" s="27"/>
      <c r="O302" s="53" t="s">
        <v>817</v>
      </c>
      <c r="P302" s="28" t="s">
        <v>13</v>
      </c>
      <c r="Q302" s="28"/>
      <c r="R302" s="28" t="s">
        <v>13</v>
      </c>
      <c r="S302" s="28"/>
      <c r="T302" s="28"/>
      <c r="U302" s="1" t="s">
        <v>818</v>
      </c>
      <c r="V302" s="60" t="s">
        <v>819</v>
      </c>
    </row>
    <row r="303" spans="1:28" s="60" customFormat="1" ht="15" customHeight="1">
      <c r="A303" s="49">
        <v>48</v>
      </c>
      <c r="B303" s="49" t="s">
        <v>94</v>
      </c>
      <c r="C303" s="50" t="s">
        <v>95</v>
      </c>
      <c r="D303" s="51" t="s">
        <v>698</v>
      </c>
      <c r="E303" s="63" t="s">
        <v>820</v>
      </c>
      <c r="F303" s="56" t="s">
        <v>821</v>
      </c>
      <c r="G303" s="53" t="s">
        <v>822</v>
      </c>
      <c r="H303" s="67"/>
      <c r="I303" s="93" t="s">
        <v>416</v>
      </c>
      <c r="J303" s="53" t="s">
        <v>823</v>
      </c>
      <c r="K303" s="67"/>
      <c r="L303" s="94" t="s">
        <v>377</v>
      </c>
      <c r="M303" s="53" t="s">
        <v>702</v>
      </c>
      <c r="N303" s="27"/>
      <c r="O303" s="53" t="s">
        <v>817</v>
      </c>
      <c r="P303" s="28" t="s">
        <v>13</v>
      </c>
      <c r="Q303" s="28"/>
      <c r="R303" s="28" t="s">
        <v>13</v>
      </c>
      <c r="S303" s="28"/>
      <c r="T303" s="28"/>
      <c r="U303" s="1" t="s">
        <v>824</v>
      </c>
      <c r="V303" s="60" t="s">
        <v>825</v>
      </c>
    </row>
    <row r="304" spans="1:28" s="60" customFormat="1" ht="15" customHeight="1">
      <c r="A304" s="49">
        <v>49</v>
      </c>
      <c r="B304" s="78" t="s">
        <v>96</v>
      </c>
      <c r="C304" s="50" t="s">
        <v>90</v>
      </c>
      <c r="D304" s="51" t="s">
        <v>812</v>
      </c>
      <c r="E304" s="63" t="s">
        <v>813</v>
      </c>
      <c r="F304" s="56" t="s">
        <v>379</v>
      </c>
      <c r="G304" s="57" t="s">
        <v>848</v>
      </c>
      <c r="H304" s="67"/>
      <c r="I304" s="93" t="s">
        <v>377</v>
      </c>
      <c r="J304" s="53" t="s">
        <v>815</v>
      </c>
      <c r="K304" s="67"/>
      <c r="L304" s="56" t="s">
        <v>416</v>
      </c>
      <c r="M304" s="53" t="s">
        <v>816</v>
      </c>
      <c r="N304" s="27"/>
      <c r="O304" s="53"/>
      <c r="P304" s="28" t="s">
        <v>13</v>
      </c>
      <c r="Q304" s="28"/>
      <c r="R304" s="28" t="s">
        <v>13</v>
      </c>
      <c r="S304" s="28"/>
      <c r="T304" s="28"/>
      <c r="U304" s="1" t="s">
        <v>818</v>
      </c>
      <c r="V304" s="60" t="s">
        <v>819</v>
      </c>
    </row>
    <row r="305" spans="1:33" ht="15" customHeight="1">
      <c r="A305" s="49">
        <v>49</v>
      </c>
      <c r="B305" s="78" t="s">
        <v>96</v>
      </c>
      <c r="C305" s="50" t="s">
        <v>90</v>
      </c>
      <c r="D305" s="51" t="s">
        <v>812</v>
      </c>
      <c r="E305" s="63" t="s">
        <v>820</v>
      </c>
      <c r="F305" s="56" t="s">
        <v>403</v>
      </c>
      <c r="G305" s="57" t="s">
        <v>853</v>
      </c>
      <c r="H305" s="67"/>
      <c r="I305" s="93" t="s">
        <v>416</v>
      </c>
      <c r="J305" s="53" t="s">
        <v>823</v>
      </c>
      <c r="K305" s="67"/>
      <c r="L305" s="94" t="s">
        <v>377</v>
      </c>
      <c r="M305" s="53" t="s">
        <v>702</v>
      </c>
      <c r="O305" s="53"/>
      <c r="P305" s="28" t="s">
        <v>13</v>
      </c>
      <c r="Q305" s="28"/>
      <c r="R305" s="28" t="s">
        <v>13</v>
      </c>
      <c r="S305" s="28"/>
      <c r="T305" s="28"/>
      <c r="U305" s="1" t="s">
        <v>854</v>
      </c>
      <c r="V305" s="60" t="s">
        <v>855</v>
      </c>
      <c r="W305" s="1" t="s">
        <v>856</v>
      </c>
      <c r="X305" s="60" t="s">
        <v>857</v>
      </c>
    </row>
    <row r="306" spans="1:33" ht="15" customHeight="1">
      <c r="A306" s="49">
        <v>49</v>
      </c>
      <c r="B306" s="78" t="s">
        <v>96</v>
      </c>
      <c r="C306" s="50" t="s">
        <v>90</v>
      </c>
      <c r="D306" s="51" t="s">
        <v>705</v>
      </c>
      <c r="E306" s="63" t="s">
        <v>706</v>
      </c>
      <c r="F306" s="42" t="s">
        <v>405</v>
      </c>
      <c r="G306" s="57" t="s">
        <v>858</v>
      </c>
      <c r="I306" s="42" t="s">
        <v>416</v>
      </c>
      <c r="J306" s="53" t="s">
        <v>708</v>
      </c>
      <c r="L306" s="56" t="s">
        <v>416</v>
      </c>
      <c r="M306" s="53" t="s">
        <v>709</v>
      </c>
      <c r="O306" s="53"/>
      <c r="P306" s="28" t="s">
        <v>13</v>
      </c>
      <c r="Q306" s="28"/>
      <c r="R306" s="28" t="s">
        <v>13</v>
      </c>
      <c r="S306" s="28"/>
      <c r="T306" s="28"/>
      <c r="U306" s="1" t="s">
        <v>710</v>
      </c>
      <c r="V306" s="60" t="s">
        <v>711</v>
      </c>
      <c r="W306" s="1" t="s">
        <v>712</v>
      </c>
      <c r="X306" s="60" t="s">
        <v>713</v>
      </c>
      <c r="Y306" s="1" t="s">
        <v>714</v>
      </c>
      <c r="Z306" s="27" t="s">
        <v>715</v>
      </c>
    </row>
    <row r="307" spans="1:33" ht="15" customHeight="1">
      <c r="A307" s="49">
        <v>49</v>
      </c>
      <c r="B307" s="78" t="s">
        <v>96</v>
      </c>
      <c r="C307" s="50" t="s">
        <v>90</v>
      </c>
      <c r="D307" s="51" t="s">
        <v>705</v>
      </c>
      <c r="E307" s="63" t="s">
        <v>716</v>
      </c>
      <c r="F307" s="52" t="s">
        <v>379</v>
      </c>
      <c r="G307" s="57" t="s">
        <v>859</v>
      </c>
      <c r="I307" s="42" t="s">
        <v>416</v>
      </c>
      <c r="J307" s="53" t="s">
        <v>708</v>
      </c>
      <c r="L307" s="56" t="s">
        <v>405</v>
      </c>
      <c r="M307" s="53" t="s">
        <v>718</v>
      </c>
      <c r="O307" s="53"/>
      <c r="P307" s="28" t="s">
        <v>13</v>
      </c>
      <c r="Q307" s="28"/>
      <c r="R307" s="28" t="s">
        <v>13</v>
      </c>
      <c r="S307" s="28"/>
      <c r="T307" s="28"/>
      <c r="U307" s="1" t="s">
        <v>719</v>
      </c>
      <c r="V307" s="60" t="s">
        <v>720</v>
      </c>
      <c r="W307" s="1" t="s">
        <v>712</v>
      </c>
      <c r="X307" s="60" t="s">
        <v>713</v>
      </c>
      <c r="Y307" s="1" t="s">
        <v>721</v>
      </c>
      <c r="Z307" s="27" t="s">
        <v>722</v>
      </c>
      <c r="AB307" s="27" t="s">
        <v>860</v>
      </c>
      <c r="AC307" s="27" t="s">
        <v>861</v>
      </c>
    </row>
    <row r="308" spans="1:33" ht="15" customHeight="1">
      <c r="A308" s="49">
        <v>49</v>
      </c>
      <c r="B308" s="78" t="s">
        <v>96</v>
      </c>
      <c r="C308" s="50" t="s">
        <v>90</v>
      </c>
      <c r="D308" s="51" t="s">
        <v>723</v>
      </c>
      <c r="E308" s="51" t="s">
        <v>724</v>
      </c>
      <c r="F308" s="56" t="s">
        <v>379</v>
      </c>
      <c r="G308" s="57" t="s">
        <v>862</v>
      </c>
      <c r="I308" s="56" t="s">
        <v>403</v>
      </c>
      <c r="J308" s="53" t="s">
        <v>726</v>
      </c>
      <c r="L308" s="56" t="s">
        <v>379</v>
      </c>
      <c r="M308" s="53" t="s">
        <v>727</v>
      </c>
      <c r="O308" s="53"/>
      <c r="P308" s="28" t="s">
        <v>13</v>
      </c>
      <c r="Q308" s="28"/>
      <c r="R308" s="28" t="s">
        <v>13</v>
      </c>
      <c r="S308" s="28"/>
      <c r="T308" s="28"/>
      <c r="U308" s="1" t="s">
        <v>728</v>
      </c>
      <c r="V308" s="60" t="s">
        <v>729</v>
      </c>
      <c r="W308" s="1" t="s">
        <v>730</v>
      </c>
      <c r="Y308" s="1" t="s">
        <v>731</v>
      </c>
      <c r="Z308" s="60" t="s">
        <v>732</v>
      </c>
      <c r="AA308" s="27" t="s">
        <v>863</v>
      </c>
      <c r="AB308" s="27" t="s">
        <v>864</v>
      </c>
    </row>
    <row r="309" spans="1:33" ht="15" customHeight="1">
      <c r="A309" s="49">
        <v>49</v>
      </c>
      <c r="B309" s="78" t="s">
        <v>96</v>
      </c>
      <c r="C309" s="50" t="s">
        <v>90</v>
      </c>
      <c r="D309" s="51" t="s">
        <v>723</v>
      </c>
      <c r="E309" s="51" t="s">
        <v>735</v>
      </c>
      <c r="F309" s="56" t="s">
        <v>379</v>
      </c>
      <c r="G309" s="57" t="s">
        <v>862</v>
      </c>
      <c r="I309" s="42" t="s">
        <v>377</v>
      </c>
      <c r="J309" s="53" t="s">
        <v>830</v>
      </c>
      <c r="L309" s="56" t="s">
        <v>379</v>
      </c>
      <c r="M309" s="53" t="s">
        <v>737</v>
      </c>
      <c r="O309" s="53"/>
      <c r="P309" s="28" t="s">
        <v>13</v>
      </c>
      <c r="Q309" s="28"/>
      <c r="R309" s="28" t="s">
        <v>13</v>
      </c>
      <c r="S309" s="28"/>
      <c r="T309" s="28"/>
      <c r="U309" s="1" t="s">
        <v>738</v>
      </c>
      <c r="V309" s="60" t="s">
        <v>739</v>
      </c>
      <c r="W309" s="1" t="s">
        <v>728</v>
      </c>
      <c r="X309" s="60" t="s">
        <v>729</v>
      </c>
      <c r="Y309" s="1" t="s">
        <v>731</v>
      </c>
      <c r="Z309" s="60" t="s">
        <v>732</v>
      </c>
      <c r="AA309" s="27" t="s">
        <v>863</v>
      </c>
      <c r="AB309" s="27" t="s">
        <v>864</v>
      </c>
    </row>
    <row r="310" spans="1:33" ht="15" customHeight="1">
      <c r="A310" s="49">
        <v>49</v>
      </c>
      <c r="B310" s="78" t="s">
        <v>96</v>
      </c>
      <c r="C310" s="50" t="s">
        <v>90</v>
      </c>
      <c r="D310" s="51" t="s">
        <v>723</v>
      </c>
      <c r="E310" s="51" t="s">
        <v>740</v>
      </c>
      <c r="F310" s="52" t="s">
        <v>416</v>
      </c>
      <c r="G310" s="53" t="s">
        <v>741</v>
      </c>
      <c r="H310" s="96"/>
      <c r="I310" s="42" t="s">
        <v>416</v>
      </c>
      <c r="J310" s="53" t="s">
        <v>742</v>
      </c>
      <c r="L310" s="56" t="s">
        <v>377</v>
      </c>
      <c r="M310" s="53" t="s">
        <v>743</v>
      </c>
      <c r="O310" s="71"/>
      <c r="P310" s="28"/>
      <c r="Q310" s="28"/>
      <c r="R310" s="28"/>
      <c r="S310" s="28"/>
      <c r="T310" s="28"/>
      <c r="U310" s="1" t="s">
        <v>744</v>
      </c>
      <c r="V310" s="60" t="s">
        <v>745</v>
      </c>
      <c r="W310" s="1" t="s">
        <v>746</v>
      </c>
      <c r="X310" s="60" t="s">
        <v>747</v>
      </c>
      <c r="Y310" s="1"/>
    </row>
    <row r="311" spans="1:33" ht="15" customHeight="1">
      <c r="A311" s="49">
        <v>49</v>
      </c>
      <c r="B311" s="78" t="s">
        <v>96</v>
      </c>
      <c r="C311" s="50" t="s">
        <v>90</v>
      </c>
      <c r="D311" s="51" t="s">
        <v>865</v>
      </c>
      <c r="E311" s="51" t="s">
        <v>866</v>
      </c>
      <c r="F311" s="52" t="s">
        <v>379</v>
      </c>
      <c r="G311" s="57" t="s">
        <v>867</v>
      </c>
      <c r="I311" s="56" t="s">
        <v>403</v>
      </c>
      <c r="J311" s="51" t="s">
        <v>868</v>
      </c>
      <c r="L311" s="56" t="s">
        <v>379</v>
      </c>
      <c r="M311" s="53" t="s">
        <v>869</v>
      </c>
      <c r="O311" s="71" t="s">
        <v>870</v>
      </c>
      <c r="P311" s="28"/>
      <c r="Q311" s="28"/>
      <c r="R311" s="28"/>
      <c r="S311" s="28"/>
      <c r="T311" s="28"/>
      <c r="U311" s="1" t="s">
        <v>871</v>
      </c>
      <c r="V311" s="1" t="s">
        <v>872</v>
      </c>
      <c r="W311" s="60" t="s">
        <v>873</v>
      </c>
    </row>
    <row r="312" spans="1:33" ht="15" customHeight="1">
      <c r="A312" s="49">
        <v>49</v>
      </c>
      <c r="B312" s="78" t="s">
        <v>96</v>
      </c>
      <c r="C312" s="50" t="s">
        <v>852</v>
      </c>
      <c r="D312" s="51" t="s">
        <v>865</v>
      </c>
      <c r="E312" s="51" t="s">
        <v>874</v>
      </c>
      <c r="F312" s="56" t="s">
        <v>416</v>
      </c>
      <c r="G312" s="53" t="s">
        <v>875</v>
      </c>
      <c r="H312" s="67"/>
      <c r="I312" s="42" t="s">
        <v>405</v>
      </c>
      <c r="J312" s="51" t="s">
        <v>876</v>
      </c>
      <c r="K312" s="67"/>
      <c r="L312" s="94" t="s">
        <v>377</v>
      </c>
      <c r="M312" s="53" t="s">
        <v>877</v>
      </c>
      <c r="O312" s="53"/>
      <c r="P312" s="28"/>
      <c r="Q312" s="28"/>
      <c r="R312" s="28"/>
      <c r="S312" s="28"/>
      <c r="T312" s="28"/>
      <c r="U312" s="1" t="s">
        <v>878</v>
      </c>
      <c r="V312" s="27" t="s">
        <v>879</v>
      </c>
      <c r="W312" s="1" t="s">
        <v>880</v>
      </c>
      <c r="X312" s="60" t="s">
        <v>881</v>
      </c>
    </row>
    <row r="313" spans="1:33" ht="15" customHeight="1">
      <c r="A313" s="49">
        <v>49</v>
      </c>
      <c r="B313" s="78" t="s">
        <v>96</v>
      </c>
      <c r="C313" s="50" t="s">
        <v>90</v>
      </c>
      <c r="D313" s="51" t="s">
        <v>882</v>
      </c>
      <c r="E313" s="51" t="s">
        <v>378</v>
      </c>
      <c r="F313" s="42" t="s">
        <v>405</v>
      </c>
      <c r="G313" s="53" t="s">
        <v>883</v>
      </c>
      <c r="H313" s="67"/>
      <c r="I313" s="93" t="s">
        <v>377</v>
      </c>
      <c r="J313" s="53" t="s">
        <v>884</v>
      </c>
      <c r="K313" s="67"/>
      <c r="L313" s="94" t="s">
        <v>416</v>
      </c>
      <c r="M313" s="53" t="s">
        <v>885</v>
      </c>
      <c r="O313" s="53"/>
      <c r="P313" s="28"/>
      <c r="Q313" s="28"/>
      <c r="R313" s="28"/>
      <c r="S313" s="28"/>
      <c r="T313" s="28"/>
      <c r="U313" s="1" t="s">
        <v>886</v>
      </c>
      <c r="V313" s="27" t="s">
        <v>887</v>
      </c>
      <c r="W313" s="1" t="s">
        <v>888</v>
      </c>
      <c r="X313" s="27" t="s">
        <v>889</v>
      </c>
    </row>
    <row r="314" spans="1:33" ht="15" customHeight="1">
      <c r="A314" s="49">
        <v>49</v>
      </c>
      <c r="B314" s="78" t="s">
        <v>96</v>
      </c>
      <c r="C314" s="50" t="s">
        <v>90</v>
      </c>
      <c r="D314" s="51" t="s">
        <v>890</v>
      </c>
      <c r="E314" s="51" t="s">
        <v>378</v>
      </c>
      <c r="F314" s="42" t="s">
        <v>405</v>
      </c>
      <c r="G314" s="53" t="s">
        <v>891</v>
      </c>
      <c r="H314" s="27"/>
      <c r="I314" s="42" t="s">
        <v>416</v>
      </c>
      <c r="J314" s="53" t="s">
        <v>892</v>
      </c>
      <c r="K314" s="27"/>
      <c r="L314" s="56" t="s">
        <v>416</v>
      </c>
      <c r="M314" s="57" t="s">
        <v>893</v>
      </c>
      <c r="P314" s="28" t="s">
        <v>13</v>
      </c>
      <c r="Q314" s="28"/>
      <c r="R314" s="28" t="s">
        <v>13</v>
      </c>
      <c r="S314" s="28"/>
      <c r="T314" s="28"/>
      <c r="U314" s="57" t="s">
        <v>894</v>
      </c>
      <c r="V314" s="60" t="s">
        <v>895</v>
      </c>
      <c r="W314" s="57" t="s">
        <v>896</v>
      </c>
      <c r="X314" s="60" t="s">
        <v>897</v>
      </c>
      <c r="Y314" s="57"/>
    </row>
    <row r="315" spans="1:33" ht="15" customHeight="1">
      <c r="A315" s="49">
        <v>49</v>
      </c>
      <c r="B315" s="78" t="s">
        <v>96</v>
      </c>
      <c r="C315" s="50" t="s">
        <v>90</v>
      </c>
      <c r="D315" s="51" t="s">
        <v>898</v>
      </c>
      <c r="E315" s="51" t="s">
        <v>378</v>
      </c>
      <c r="F315" s="42" t="s">
        <v>405</v>
      </c>
      <c r="G315" s="53" t="s">
        <v>899</v>
      </c>
      <c r="I315" s="42" t="s">
        <v>379</v>
      </c>
      <c r="J315" s="51" t="s">
        <v>900</v>
      </c>
      <c r="K315" s="51"/>
      <c r="L315" s="94" t="s">
        <v>377</v>
      </c>
      <c r="M315" s="53" t="s">
        <v>901</v>
      </c>
      <c r="P315" s="28"/>
      <c r="Q315" s="28"/>
      <c r="R315" s="28"/>
      <c r="S315" s="28"/>
      <c r="T315" s="28"/>
      <c r="U315" s="1" t="s">
        <v>902</v>
      </c>
      <c r="V315" s="60" t="s">
        <v>903</v>
      </c>
      <c r="W315" s="3" t="s">
        <v>904</v>
      </c>
      <c r="X315" s="60" t="s">
        <v>905</v>
      </c>
      <c r="Y315" s="3" t="s">
        <v>906</v>
      </c>
      <c r="Z315" s="60" t="s">
        <v>907</v>
      </c>
      <c r="AA315" s="3" t="s">
        <v>908</v>
      </c>
      <c r="AB315" s="60" t="s">
        <v>909</v>
      </c>
    </row>
    <row r="316" spans="1:33" ht="15" customHeight="1">
      <c r="A316" s="49">
        <v>50</v>
      </c>
      <c r="B316" s="49" t="s">
        <v>97</v>
      </c>
      <c r="C316" s="50" t="s">
        <v>98</v>
      </c>
      <c r="D316" s="80" t="s">
        <v>692</v>
      </c>
      <c r="E316" s="80" t="s">
        <v>692</v>
      </c>
      <c r="F316" s="52"/>
      <c r="I316" s="42"/>
      <c r="P316" s="28" t="s">
        <v>13</v>
      </c>
      <c r="Q316" s="28"/>
      <c r="R316" s="28" t="s">
        <v>13</v>
      </c>
      <c r="S316" s="28"/>
      <c r="T316" s="28"/>
    </row>
    <row r="317" spans="1:33" ht="15" customHeight="1">
      <c r="A317" s="49">
        <v>51</v>
      </c>
      <c r="B317" s="49" t="s">
        <v>99</v>
      </c>
      <c r="C317" s="50" t="s">
        <v>100</v>
      </c>
      <c r="D317" s="51" t="s">
        <v>812</v>
      </c>
      <c r="E317" s="63" t="s">
        <v>813</v>
      </c>
      <c r="F317" s="52" t="s">
        <v>801</v>
      </c>
      <c r="G317" s="53" t="s">
        <v>814</v>
      </c>
      <c r="H317" s="67"/>
      <c r="I317" s="93" t="s">
        <v>377</v>
      </c>
      <c r="J317" s="53" t="s">
        <v>815</v>
      </c>
      <c r="K317" s="67"/>
      <c r="L317" s="56" t="s">
        <v>416</v>
      </c>
      <c r="M317" s="53" t="s">
        <v>816</v>
      </c>
      <c r="O317" s="53" t="s">
        <v>817</v>
      </c>
      <c r="P317" s="28" t="s">
        <v>13</v>
      </c>
      <c r="Q317" s="28"/>
      <c r="R317" s="28" t="s">
        <v>13</v>
      </c>
      <c r="S317" s="28"/>
      <c r="T317" s="28"/>
      <c r="U317" s="1" t="s">
        <v>818</v>
      </c>
      <c r="V317" s="60" t="s">
        <v>819</v>
      </c>
    </row>
    <row r="318" spans="1:33" ht="15" customHeight="1">
      <c r="A318" s="49">
        <v>51</v>
      </c>
      <c r="B318" s="49" t="s">
        <v>99</v>
      </c>
      <c r="C318" s="50" t="s">
        <v>100</v>
      </c>
      <c r="D318" s="51" t="s">
        <v>698</v>
      </c>
      <c r="E318" s="63" t="s">
        <v>820</v>
      </c>
      <c r="F318" s="56" t="s">
        <v>821</v>
      </c>
      <c r="G318" s="53" t="s">
        <v>822</v>
      </c>
      <c r="H318" s="67"/>
      <c r="I318" s="93" t="s">
        <v>416</v>
      </c>
      <c r="J318" s="53" t="s">
        <v>701</v>
      </c>
      <c r="K318" s="67"/>
      <c r="L318" s="94" t="s">
        <v>377</v>
      </c>
      <c r="M318" s="53" t="s">
        <v>702</v>
      </c>
      <c r="O318" s="53" t="s">
        <v>817</v>
      </c>
      <c r="P318" s="28" t="s">
        <v>13</v>
      </c>
      <c r="Q318" s="28"/>
      <c r="R318" s="28" t="s">
        <v>13</v>
      </c>
      <c r="S318" s="28"/>
      <c r="T318" s="28"/>
      <c r="U318" s="1" t="s">
        <v>824</v>
      </c>
      <c r="V318" s="60" t="s">
        <v>825</v>
      </c>
    </row>
    <row r="319" spans="1:33" ht="15" customHeight="1">
      <c r="A319" s="49">
        <v>52</v>
      </c>
      <c r="B319" s="49" t="s">
        <v>101</v>
      </c>
      <c r="C319" s="50" t="s">
        <v>102</v>
      </c>
      <c r="D319" s="51" t="s">
        <v>429</v>
      </c>
      <c r="E319" s="51" t="s">
        <v>430</v>
      </c>
      <c r="F319" s="52" t="s">
        <v>379</v>
      </c>
      <c r="G319" s="53" t="s">
        <v>581</v>
      </c>
      <c r="H319" s="54"/>
      <c r="I319" s="42" t="s">
        <v>379</v>
      </c>
      <c r="J319" s="53" t="s">
        <v>565</v>
      </c>
      <c r="K319" s="54"/>
      <c r="L319" s="56" t="s">
        <v>405</v>
      </c>
      <c r="M319" s="53" t="s">
        <v>433</v>
      </c>
      <c r="N319" s="58"/>
      <c r="O319" s="59"/>
      <c r="P319" s="28"/>
      <c r="Q319" s="28"/>
      <c r="R319" s="28"/>
      <c r="S319" s="28"/>
      <c r="T319" s="28"/>
      <c r="U319" s="1" t="s">
        <v>436</v>
      </c>
      <c r="V319" s="60" t="s">
        <v>437</v>
      </c>
      <c r="W319" s="1" t="s">
        <v>438</v>
      </c>
      <c r="X319" s="60" t="s">
        <v>439</v>
      </c>
      <c r="Y319" s="1" t="s">
        <v>440</v>
      </c>
      <c r="Z319" s="60" t="s">
        <v>441</v>
      </c>
      <c r="AA319" s="1" t="s">
        <v>442</v>
      </c>
      <c r="AB319" s="60" t="s">
        <v>437</v>
      </c>
      <c r="AE319" s="60"/>
      <c r="AF319" s="60"/>
      <c r="AG319" s="60"/>
    </row>
    <row r="320" spans="1:33" ht="15" customHeight="1">
      <c r="A320" s="49">
        <v>52</v>
      </c>
      <c r="B320" s="49" t="s">
        <v>101</v>
      </c>
      <c r="C320" s="50" t="s">
        <v>102</v>
      </c>
      <c r="D320" s="83" t="s">
        <v>582</v>
      </c>
      <c r="E320" s="51" t="s">
        <v>583</v>
      </c>
      <c r="F320" s="52" t="s">
        <v>379</v>
      </c>
      <c r="G320" s="53" t="s">
        <v>910</v>
      </c>
      <c r="H320" s="54"/>
      <c r="I320" s="56" t="s">
        <v>403</v>
      </c>
      <c r="J320" s="53" t="s">
        <v>585</v>
      </c>
      <c r="K320" s="54"/>
      <c r="L320" s="56" t="s">
        <v>379</v>
      </c>
      <c r="M320" s="53" t="s">
        <v>586</v>
      </c>
      <c r="N320" s="58"/>
      <c r="O320" s="59"/>
      <c r="P320" s="28"/>
      <c r="Q320" s="28"/>
      <c r="R320" s="28"/>
      <c r="S320" s="28"/>
      <c r="T320" s="28"/>
      <c r="U320" s="1" t="s">
        <v>587</v>
      </c>
      <c r="V320" s="74" t="s">
        <v>588</v>
      </c>
      <c r="W320" s="1" t="s">
        <v>589</v>
      </c>
      <c r="X320" s="74" t="s">
        <v>590</v>
      </c>
      <c r="Y320" s="1" t="s">
        <v>591</v>
      </c>
      <c r="Z320" s="74" t="s">
        <v>592</v>
      </c>
      <c r="AA320" s="1" t="s">
        <v>593</v>
      </c>
      <c r="AB320" s="74" t="s">
        <v>594</v>
      </c>
      <c r="AC320" s="74"/>
      <c r="AD320" s="1" t="s">
        <v>595</v>
      </c>
      <c r="AE320" s="60" t="s">
        <v>596</v>
      </c>
      <c r="AF320" s="1" t="s">
        <v>597</v>
      </c>
      <c r="AG320" s="60" t="s">
        <v>598</v>
      </c>
    </row>
    <row r="321" spans="1:37" ht="15" customHeight="1">
      <c r="A321" s="49">
        <v>52</v>
      </c>
      <c r="B321" s="49" t="s">
        <v>101</v>
      </c>
      <c r="C321" s="50" t="s">
        <v>102</v>
      </c>
      <c r="D321" s="83" t="s">
        <v>582</v>
      </c>
      <c r="E321" s="51" t="s">
        <v>599</v>
      </c>
      <c r="F321" s="52" t="s">
        <v>416</v>
      </c>
      <c r="G321" s="53" t="s">
        <v>600</v>
      </c>
      <c r="H321" s="53"/>
      <c r="I321" s="42" t="s">
        <v>377</v>
      </c>
      <c r="J321" s="53" t="s">
        <v>601</v>
      </c>
      <c r="K321" s="53"/>
      <c r="L321" s="56" t="s">
        <v>405</v>
      </c>
      <c r="M321" s="53" t="s">
        <v>602</v>
      </c>
      <c r="N321" s="59"/>
      <c r="O321" s="59"/>
      <c r="P321" s="85"/>
      <c r="Q321" s="85"/>
      <c r="R321" s="85"/>
      <c r="S321" s="85"/>
      <c r="T321" s="85"/>
      <c r="U321" s="1" t="s">
        <v>603</v>
      </c>
      <c r="V321" s="60" t="s">
        <v>604</v>
      </c>
      <c r="AE321" s="60"/>
      <c r="AF321" s="60"/>
      <c r="AG321" s="60"/>
      <c r="AH321" s="60"/>
    </row>
    <row r="322" spans="1:37" ht="15" customHeight="1">
      <c r="A322" s="49">
        <v>52</v>
      </c>
      <c r="B322" s="49" t="s">
        <v>101</v>
      </c>
      <c r="C322" s="50" t="s">
        <v>102</v>
      </c>
      <c r="D322" s="83" t="s">
        <v>582</v>
      </c>
      <c r="E322" s="51" t="s">
        <v>605</v>
      </c>
      <c r="F322" s="52" t="s">
        <v>416</v>
      </c>
      <c r="G322" s="53" t="s">
        <v>606</v>
      </c>
      <c r="H322" s="54"/>
      <c r="I322" s="42" t="s">
        <v>377</v>
      </c>
      <c r="J322" s="53" t="s">
        <v>607</v>
      </c>
      <c r="K322" s="54"/>
      <c r="L322" s="56" t="s">
        <v>405</v>
      </c>
      <c r="M322" s="53" t="s">
        <v>608</v>
      </c>
      <c r="N322" s="58"/>
      <c r="O322" s="59"/>
      <c r="P322" s="28"/>
      <c r="Q322" s="28"/>
      <c r="R322" s="28"/>
      <c r="S322" s="28"/>
      <c r="T322" s="28"/>
      <c r="U322" s="1" t="s">
        <v>609</v>
      </c>
      <c r="V322" s="60" t="s">
        <v>610</v>
      </c>
      <c r="W322" s="1" t="s">
        <v>611</v>
      </c>
      <c r="X322" s="74" t="s">
        <v>612</v>
      </c>
      <c r="Y322" s="1"/>
      <c r="Z322" s="1" t="s">
        <v>613</v>
      </c>
      <c r="AA322" s="60" t="s">
        <v>614</v>
      </c>
      <c r="AB322" s="74"/>
      <c r="AC322" s="74"/>
      <c r="AD322" s="27"/>
      <c r="AG322" s="60"/>
      <c r="AH322" s="60"/>
    </row>
    <row r="323" spans="1:37" ht="15" customHeight="1">
      <c r="A323" s="49">
        <v>52</v>
      </c>
      <c r="B323" s="49" t="s">
        <v>101</v>
      </c>
      <c r="C323" s="50" t="s">
        <v>102</v>
      </c>
      <c r="D323" s="83" t="s">
        <v>582</v>
      </c>
      <c r="E323" s="51" t="s">
        <v>615</v>
      </c>
      <c r="F323" s="52" t="s">
        <v>416</v>
      </c>
      <c r="G323" s="53" t="s">
        <v>616</v>
      </c>
      <c r="H323" s="54"/>
      <c r="I323" s="56" t="s">
        <v>403</v>
      </c>
      <c r="J323" s="53" t="s">
        <v>617</v>
      </c>
      <c r="K323" s="54"/>
      <c r="L323" s="56" t="s">
        <v>379</v>
      </c>
      <c r="M323" s="53" t="s">
        <v>618</v>
      </c>
      <c r="N323" s="58"/>
      <c r="O323" s="59"/>
      <c r="P323" s="28"/>
      <c r="Q323" s="28"/>
      <c r="R323" s="28"/>
      <c r="S323" s="28"/>
      <c r="T323" s="28"/>
      <c r="U323" s="1" t="s">
        <v>609</v>
      </c>
      <c r="V323" s="60" t="s">
        <v>610</v>
      </c>
      <c r="W323" s="1" t="s">
        <v>619</v>
      </c>
      <c r="X323" s="27" t="s">
        <v>620</v>
      </c>
      <c r="Y323" s="1" t="s">
        <v>621</v>
      </c>
      <c r="Z323" s="27" t="s">
        <v>622</v>
      </c>
      <c r="AC323" s="27"/>
      <c r="AD323" s="27"/>
    </row>
    <row r="324" spans="1:37" ht="15" customHeight="1">
      <c r="A324" s="49">
        <v>52</v>
      </c>
      <c r="B324" s="49" t="s">
        <v>101</v>
      </c>
      <c r="C324" s="50" t="s">
        <v>102</v>
      </c>
      <c r="D324" s="83" t="s">
        <v>623</v>
      </c>
      <c r="E324" s="51" t="s">
        <v>624</v>
      </c>
      <c r="F324" s="52" t="s">
        <v>377</v>
      </c>
      <c r="G324" s="53" t="s">
        <v>625</v>
      </c>
      <c r="H324" s="54"/>
      <c r="I324" s="42" t="s">
        <v>416</v>
      </c>
      <c r="J324" s="53" t="s">
        <v>626</v>
      </c>
      <c r="K324" s="54"/>
      <c r="L324" s="56" t="s">
        <v>377</v>
      </c>
      <c r="M324" s="53" t="s">
        <v>627</v>
      </c>
      <c r="N324" s="58"/>
      <c r="O324" s="59"/>
      <c r="P324" s="28"/>
      <c r="Q324" s="28"/>
      <c r="R324" s="28"/>
      <c r="S324" s="28"/>
      <c r="T324" s="28"/>
      <c r="U324" s="1" t="s">
        <v>628</v>
      </c>
      <c r="V324" s="60" t="s">
        <v>629</v>
      </c>
      <c r="AC324" s="27"/>
      <c r="AD324" s="27"/>
    </row>
    <row r="325" spans="1:37" ht="15" customHeight="1">
      <c r="A325" s="49">
        <v>52</v>
      </c>
      <c r="B325" s="49" t="s">
        <v>101</v>
      </c>
      <c r="C325" s="50" t="s">
        <v>102</v>
      </c>
      <c r="D325" s="63" t="s">
        <v>630</v>
      </c>
      <c r="E325" s="57" t="s">
        <v>631</v>
      </c>
      <c r="F325" s="52" t="s">
        <v>416</v>
      </c>
      <c r="G325" s="57" t="s">
        <v>632</v>
      </c>
      <c r="H325" s="88"/>
      <c r="I325" s="42" t="s">
        <v>379</v>
      </c>
      <c r="J325" s="57" t="s">
        <v>633</v>
      </c>
      <c r="K325" s="88"/>
      <c r="L325" s="56" t="s">
        <v>377</v>
      </c>
      <c r="M325" s="57" t="s">
        <v>634</v>
      </c>
      <c r="N325" s="74"/>
      <c r="O325" s="74"/>
      <c r="P325" s="74"/>
      <c r="Q325" s="74"/>
      <c r="R325" s="74"/>
      <c r="S325" s="74"/>
      <c r="T325" s="74"/>
      <c r="U325" s="74" t="s">
        <v>635</v>
      </c>
      <c r="V325" s="60" t="s">
        <v>636</v>
      </c>
      <c r="W325" s="74"/>
      <c r="X325" s="74"/>
      <c r="Y325" s="74"/>
      <c r="Z325" s="74"/>
      <c r="AA325" s="74"/>
      <c r="AB325" s="74"/>
      <c r="AC325" s="74"/>
      <c r="AD325" s="74"/>
      <c r="AE325" s="75"/>
      <c r="AF325" s="75"/>
      <c r="AG325" s="75"/>
      <c r="AH325" s="75"/>
      <c r="AI325" s="75"/>
      <c r="AJ325" s="75"/>
      <c r="AK325" s="75"/>
    </row>
    <row r="326" spans="1:37" ht="15" customHeight="1">
      <c r="A326" s="49">
        <v>52</v>
      </c>
      <c r="B326" s="49" t="s">
        <v>101</v>
      </c>
      <c r="C326" s="50" t="s">
        <v>102</v>
      </c>
      <c r="D326" s="63" t="s">
        <v>630</v>
      </c>
      <c r="E326" s="57" t="s">
        <v>637</v>
      </c>
      <c r="F326" s="52" t="s">
        <v>638</v>
      </c>
      <c r="G326" s="57" t="s">
        <v>639</v>
      </c>
      <c r="H326" s="88"/>
      <c r="I326" s="42" t="s">
        <v>379</v>
      </c>
      <c r="J326" s="57" t="s">
        <v>633</v>
      </c>
      <c r="K326" s="88"/>
      <c r="L326" s="70" t="s">
        <v>377</v>
      </c>
      <c r="M326" s="57" t="s">
        <v>640</v>
      </c>
      <c r="N326" s="74"/>
      <c r="O326" s="74" t="s">
        <v>641</v>
      </c>
      <c r="P326" s="74"/>
      <c r="Q326" s="74"/>
      <c r="R326" s="74"/>
      <c r="S326" s="74"/>
      <c r="T326" s="74"/>
      <c r="U326" s="1" t="s">
        <v>642</v>
      </c>
      <c r="V326" s="60" t="s">
        <v>643</v>
      </c>
      <c r="W326" s="1" t="s">
        <v>644</v>
      </c>
      <c r="X326" s="60" t="s">
        <v>645</v>
      </c>
      <c r="Y326" s="74"/>
      <c r="Z326" s="74"/>
      <c r="AA326" s="74"/>
      <c r="AB326" s="74"/>
      <c r="AC326" s="74"/>
      <c r="AD326" s="74"/>
      <c r="AE326" s="75"/>
      <c r="AF326" s="75"/>
      <c r="AG326" s="75"/>
      <c r="AH326" s="75"/>
      <c r="AI326" s="75"/>
      <c r="AJ326" s="75"/>
      <c r="AK326" s="75"/>
    </row>
    <row r="327" spans="1:37" ht="15" customHeight="1">
      <c r="A327" s="49">
        <v>52</v>
      </c>
      <c r="B327" s="49" t="s">
        <v>101</v>
      </c>
      <c r="C327" s="50" t="s">
        <v>102</v>
      </c>
      <c r="D327" s="60" t="s">
        <v>646</v>
      </c>
      <c r="E327" s="57" t="s">
        <v>647</v>
      </c>
      <c r="F327" s="52" t="s">
        <v>416</v>
      </c>
      <c r="G327" s="57" t="s">
        <v>648</v>
      </c>
      <c r="H327" s="89"/>
      <c r="I327" s="42" t="s">
        <v>416</v>
      </c>
      <c r="J327" s="57" t="s">
        <v>649</v>
      </c>
      <c r="K327" s="89"/>
      <c r="L327" s="70" t="s">
        <v>416</v>
      </c>
      <c r="M327" s="57" t="s">
        <v>650</v>
      </c>
      <c r="N327" s="71"/>
      <c r="O327" s="71"/>
      <c r="P327" s="72" t="s">
        <v>13</v>
      </c>
      <c r="Q327" s="72" t="s">
        <v>14</v>
      </c>
      <c r="R327" s="72"/>
      <c r="S327" s="72"/>
      <c r="T327" s="72"/>
      <c r="U327" s="60" t="s">
        <v>651</v>
      </c>
      <c r="V327" s="90" t="s">
        <v>652</v>
      </c>
      <c r="W327" s="74" t="s">
        <v>653</v>
      </c>
      <c r="X327" s="74" t="s">
        <v>654</v>
      </c>
      <c r="Y327" s="74"/>
      <c r="Z327" s="74"/>
      <c r="AA327" s="74"/>
      <c r="AB327" s="74"/>
      <c r="AC327" s="74"/>
      <c r="AD327" s="74"/>
      <c r="AE327" s="75"/>
      <c r="AF327" s="75"/>
      <c r="AG327" s="75"/>
      <c r="AH327" s="75"/>
      <c r="AI327" s="75"/>
      <c r="AJ327" s="75"/>
      <c r="AK327" s="75"/>
    </row>
    <row r="328" spans="1:37" ht="15" customHeight="1">
      <c r="A328" s="49">
        <v>52</v>
      </c>
      <c r="B328" s="49" t="s">
        <v>101</v>
      </c>
      <c r="C328" s="50" t="s">
        <v>102</v>
      </c>
      <c r="D328" s="60" t="s">
        <v>655</v>
      </c>
      <c r="E328" s="57" t="s">
        <v>656</v>
      </c>
      <c r="F328" s="52" t="s">
        <v>379</v>
      </c>
      <c r="G328" s="57" t="s">
        <v>657</v>
      </c>
      <c r="H328" s="89"/>
      <c r="I328" s="42" t="s">
        <v>377</v>
      </c>
      <c r="J328" s="57" t="s">
        <v>658</v>
      </c>
      <c r="K328" s="89"/>
      <c r="L328" s="70" t="s">
        <v>416</v>
      </c>
      <c r="M328" s="57" t="s">
        <v>911</v>
      </c>
      <c r="N328" s="71"/>
      <c r="O328" s="60" t="s">
        <v>660</v>
      </c>
      <c r="P328" s="72"/>
      <c r="Q328" s="72"/>
      <c r="R328" s="72"/>
      <c r="S328" s="72"/>
      <c r="T328" s="74"/>
      <c r="U328" s="74"/>
      <c r="V328" s="74"/>
      <c r="W328" s="74"/>
      <c r="X328" s="74"/>
      <c r="Y328" s="74"/>
      <c r="Z328" s="74"/>
      <c r="AA328" s="74"/>
      <c r="AB328" s="74"/>
      <c r="AC328" s="74"/>
      <c r="AD328" s="74"/>
      <c r="AE328" s="75"/>
      <c r="AF328" s="75"/>
      <c r="AG328" s="75"/>
      <c r="AH328" s="75"/>
      <c r="AI328" s="75"/>
      <c r="AJ328" s="75"/>
      <c r="AK328" s="75"/>
    </row>
    <row r="329" spans="1:37" ht="15" customHeight="1">
      <c r="A329" s="49">
        <v>52</v>
      </c>
      <c r="B329" s="49" t="s">
        <v>101</v>
      </c>
      <c r="C329" s="50" t="s">
        <v>102</v>
      </c>
      <c r="D329" s="63" t="s">
        <v>547</v>
      </c>
      <c r="E329" s="57" t="s">
        <v>378</v>
      </c>
      <c r="F329" s="52" t="s">
        <v>379</v>
      </c>
      <c r="G329" s="57" t="s">
        <v>548</v>
      </c>
      <c r="H329" s="57"/>
      <c r="I329" s="43" t="s">
        <v>377</v>
      </c>
      <c r="J329" s="57" t="s">
        <v>549</v>
      </c>
      <c r="K329" s="69"/>
      <c r="L329" s="70" t="s">
        <v>416</v>
      </c>
      <c r="M329" s="57" t="s">
        <v>550</v>
      </c>
      <c r="N329" s="71"/>
      <c r="O329" s="71"/>
      <c r="P329" s="72"/>
      <c r="Q329" s="72"/>
      <c r="R329" s="72"/>
      <c r="S329" s="72"/>
      <c r="T329" s="72"/>
      <c r="U329" s="1" t="s">
        <v>551</v>
      </c>
      <c r="V329" s="60" t="s">
        <v>552</v>
      </c>
      <c r="W329" s="1" t="s">
        <v>553</v>
      </c>
      <c r="X329" s="73" t="s">
        <v>554</v>
      </c>
      <c r="Y329" s="1" t="s">
        <v>555</v>
      </c>
      <c r="Z329" s="60" t="s">
        <v>556</v>
      </c>
      <c r="AB329" s="74"/>
      <c r="AC329" s="74"/>
      <c r="AD329" s="74"/>
      <c r="AE329" s="74"/>
      <c r="AF329" s="74"/>
      <c r="AG329" s="75"/>
    </row>
    <row r="330" spans="1:37" ht="15" customHeight="1">
      <c r="A330" s="49">
        <v>53</v>
      </c>
      <c r="B330" s="49" t="s">
        <v>103</v>
      </c>
      <c r="C330" s="50" t="s">
        <v>104</v>
      </c>
      <c r="D330" s="51" t="s">
        <v>912</v>
      </c>
      <c r="E330" s="51" t="s">
        <v>531</v>
      </c>
      <c r="F330" s="42" t="s">
        <v>405</v>
      </c>
      <c r="G330" s="53" t="s">
        <v>532</v>
      </c>
      <c r="H330" s="54"/>
      <c r="I330" s="42" t="s">
        <v>379</v>
      </c>
      <c r="J330" s="53" t="s">
        <v>694</v>
      </c>
      <c r="L330" s="56" t="s">
        <v>377</v>
      </c>
      <c r="M330" s="53" t="s">
        <v>534</v>
      </c>
      <c r="N330" s="53"/>
      <c r="O330" s="71" t="s">
        <v>913</v>
      </c>
      <c r="P330" s="28" t="s">
        <v>13</v>
      </c>
      <c r="Q330" s="28"/>
      <c r="R330" s="28" t="s">
        <v>13</v>
      </c>
      <c r="S330" s="28"/>
      <c r="T330" s="28"/>
      <c r="U330" s="1" t="s">
        <v>536</v>
      </c>
      <c r="V330" s="60" t="s">
        <v>537</v>
      </c>
      <c r="W330" s="1" t="s">
        <v>538</v>
      </c>
      <c r="X330" s="60" t="s">
        <v>539</v>
      </c>
      <c r="Y330" s="1" t="s">
        <v>540</v>
      </c>
      <c r="Z330" s="60" t="s">
        <v>541</v>
      </c>
      <c r="AA330" s="1" t="s">
        <v>542</v>
      </c>
      <c r="AB330" s="60" t="s">
        <v>543</v>
      </c>
      <c r="AC330" s="27" t="s">
        <v>695</v>
      </c>
      <c r="AD330" s="27" t="s">
        <v>696</v>
      </c>
    </row>
    <row r="331" spans="1:37" ht="15" customHeight="1">
      <c r="A331" s="49">
        <v>53</v>
      </c>
      <c r="B331" s="49" t="s">
        <v>103</v>
      </c>
      <c r="C331" s="50" t="s">
        <v>104</v>
      </c>
      <c r="D331" s="51" t="s">
        <v>912</v>
      </c>
      <c r="E331" s="51" t="s">
        <v>544</v>
      </c>
      <c r="F331" s="42" t="s">
        <v>405</v>
      </c>
      <c r="G331" s="53" t="s">
        <v>545</v>
      </c>
      <c r="H331" s="54"/>
      <c r="I331" s="42" t="s">
        <v>379</v>
      </c>
      <c r="J331" s="53" t="s">
        <v>697</v>
      </c>
      <c r="L331" s="56" t="s">
        <v>377</v>
      </c>
      <c r="M331" s="53" t="s">
        <v>534</v>
      </c>
      <c r="N331" s="53"/>
      <c r="O331" s="71" t="s">
        <v>913</v>
      </c>
      <c r="P331" s="28" t="s">
        <v>13</v>
      </c>
      <c r="Q331" s="28"/>
      <c r="R331" s="28" t="s">
        <v>13</v>
      </c>
      <c r="S331" s="28"/>
      <c r="T331" s="28"/>
      <c r="U331" s="1" t="s">
        <v>536</v>
      </c>
      <c r="V331" s="60" t="s">
        <v>537</v>
      </c>
      <c r="W331" s="1" t="s">
        <v>538</v>
      </c>
      <c r="X331" s="60" t="s">
        <v>539</v>
      </c>
      <c r="Y331" s="1" t="s">
        <v>540</v>
      </c>
      <c r="Z331" s="60" t="s">
        <v>541</v>
      </c>
      <c r="AA331" s="1" t="s">
        <v>542</v>
      </c>
      <c r="AB331" s="60" t="s">
        <v>543</v>
      </c>
      <c r="AC331" s="27" t="s">
        <v>695</v>
      </c>
      <c r="AD331" s="27" t="s">
        <v>696</v>
      </c>
    </row>
    <row r="332" spans="1:37" ht="15" customHeight="1">
      <c r="A332" s="49">
        <v>53</v>
      </c>
      <c r="B332" s="49" t="s">
        <v>103</v>
      </c>
      <c r="C332" s="50" t="s">
        <v>104</v>
      </c>
      <c r="D332" s="51" t="s">
        <v>914</v>
      </c>
      <c r="E332" s="57" t="s">
        <v>699</v>
      </c>
      <c r="F332" s="52" t="s">
        <v>416</v>
      </c>
      <c r="G332" s="53" t="s">
        <v>700</v>
      </c>
      <c r="H332" s="92"/>
      <c r="I332" s="93" t="s">
        <v>416</v>
      </c>
      <c r="J332" s="53" t="s">
        <v>701</v>
      </c>
      <c r="K332" s="67"/>
      <c r="L332" s="94" t="s">
        <v>377</v>
      </c>
      <c r="M332" s="53" t="s">
        <v>702</v>
      </c>
      <c r="O332" s="71" t="s">
        <v>913</v>
      </c>
      <c r="P332" s="28" t="s">
        <v>13</v>
      </c>
      <c r="Q332" s="28"/>
      <c r="R332" s="28" t="s">
        <v>13</v>
      </c>
      <c r="S332" s="28"/>
      <c r="T332" s="28"/>
      <c r="U332" s="2" t="s">
        <v>703</v>
      </c>
      <c r="V332" s="95" t="s">
        <v>704</v>
      </c>
      <c r="Y332" s="1"/>
      <c r="AA332" s="1"/>
    </row>
    <row r="333" spans="1:37" ht="15" customHeight="1">
      <c r="A333" s="49">
        <v>53</v>
      </c>
      <c r="B333" s="49" t="s">
        <v>103</v>
      </c>
      <c r="C333" s="50" t="s">
        <v>104</v>
      </c>
      <c r="D333" s="51" t="s">
        <v>915</v>
      </c>
      <c r="E333" s="63" t="s">
        <v>706</v>
      </c>
      <c r="F333" s="42" t="s">
        <v>405</v>
      </c>
      <c r="G333" s="53" t="s">
        <v>707</v>
      </c>
      <c r="I333" s="42" t="s">
        <v>416</v>
      </c>
      <c r="J333" s="53" t="s">
        <v>708</v>
      </c>
      <c r="L333" s="56" t="s">
        <v>416</v>
      </c>
      <c r="M333" s="53" t="s">
        <v>709</v>
      </c>
      <c r="O333" s="71" t="s">
        <v>913</v>
      </c>
      <c r="P333" s="28" t="s">
        <v>13</v>
      </c>
      <c r="Q333" s="28"/>
      <c r="R333" s="28" t="s">
        <v>13</v>
      </c>
      <c r="S333" s="28"/>
      <c r="T333" s="28"/>
      <c r="U333" s="1" t="s">
        <v>710</v>
      </c>
      <c r="V333" s="60" t="s">
        <v>711</v>
      </c>
      <c r="W333" s="1" t="s">
        <v>712</v>
      </c>
      <c r="X333" s="60" t="s">
        <v>713</v>
      </c>
      <c r="Y333" s="1" t="s">
        <v>714</v>
      </c>
      <c r="Z333" s="27" t="s">
        <v>715</v>
      </c>
      <c r="AA333" s="27" t="s">
        <v>695</v>
      </c>
      <c r="AB333" s="27" t="s">
        <v>696</v>
      </c>
    </row>
    <row r="334" spans="1:37" ht="15" customHeight="1">
      <c r="A334" s="49">
        <v>53</v>
      </c>
      <c r="B334" s="49" t="s">
        <v>103</v>
      </c>
      <c r="C334" s="50" t="s">
        <v>104</v>
      </c>
      <c r="D334" s="51" t="s">
        <v>915</v>
      </c>
      <c r="E334" s="63" t="s">
        <v>716</v>
      </c>
      <c r="F334" s="42" t="s">
        <v>379</v>
      </c>
      <c r="G334" s="53" t="s">
        <v>717</v>
      </c>
      <c r="I334" s="42" t="s">
        <v>416</v>
      </c>
      <c r="J334" s="53" t="s">
        <v>708</v>
      </c>
      <c r="L334" s="56" t="s">
        <v>405</v>
      </c>
      <c r="M334" s="53" t="s">
        <v>718</v>
      </c>
      <c r="O334" s="71" t="s">
        <v>913</v>
      </c>
      <c r="P334" s="28" t="s">
        <v>13</v>
      </c>
      <c r="Q334" s="28"/>
      <c r="R334" s="28" t="s">
        <v>13</v>
      </c>
      <c r="S334" s="28"/>
      <c r="T334" s="28"/>
      <c r="U334" s="1" t="s">
        <v>719</v>
      </c>
      <c r="V334" s="60" t="s">
        <v>720</v>
      </c>
      <c r="W334" s="1" t="s">
        <v>712</v>
      </c>
      <c r="X334" s="60" t="s">
        <v>713</v>
      </c>
      <c r="Y334" s="1" t="s">
        <v>721</v>
      </c>
      <c r="Z334" s="27" t="s">
        <v>722</v>
      </c>
    </row>
    <row r="335" spans="1:37" ht="15" customHeight="1">
      <c r="A335" s="49">
        <v>53</v>
      </c>
      <c r="B335" s="49" t="s">
        <v>103</v>
      </c>
      <c r="C335" s="50" t="s">
        <v>104</v>
      </c>
      <c r="D335" s="51" t="s">
        <v>916</v>
      </c>
      <c r="E335" s="51" t="s">
        <v>724</v>
      </c>
      <c r="F335" s="42" t="s">
        <v>379</v>
      </c>
      <c r="G335" s="53" t="s">
        <v>725</v>
      </c>
      <c r="I335" s="56" t="s">
        <v>403</v>
      </c>
      <c r="J335" s="53" t="s">
        <v>726</v>
      </c>
      <c r="L335" s="56" t="s">
        <v>379</v>
      </c>
      <c r="M335" s="53" t="s">
        <v>727</v>
      </c>
      <c r="O335" s="71" t="s">
        <v>913</v>
      </c>
      <c r="P335" s="28" t="s">
        <v>13</v>
      </c>
      <c r="Q335" s="28"/>
      <c r="R335" s="28" t="s">
        <v>13</v>
      </c>
      <c r="S335" s="28"/>
      <c r="T335" s="28"/>
      <c r="U335" s="1" t="s">
        <v>728</v>
      </c>
      <c r="V335" s="60" t="s">
        <v>729</v>
      </c>
      <c r="W335" s="1" t="s">
        <v>730</v>
      </c>
      <c r="Y335" s="1" t="s">
        <v>731</v>
      </c>
      <c r="Z335" s="60" t="s">
        <v>732</v>
      </c>
      <c r="AA335" s="1" t="s">
        <v>733</v>
      </c>
      <c r="AB335" s="60" t="s">
        <v>734</v>
      </c>
    </row>
    <row r="336" spans="1:37" ht="15" customHeight="1">
      <c r="A336" s="49">
        <v>53</v>
      </c>
      <c r="B336" s="49" t="s">
        <v>103</v>
      </c>
      <c r="C336" s="50" t="s">
        <v>104</v>
      </c>
      <c r="D336" s="51" t="s">
        <v>916</v>
      </c>
      <c r="E336" s="51" t="s">
        <v>735</v>
      </c>
      <c r="F336" s="42" t="s">
        <v>379</v>
      </c>
      <c r="G336" s="53" t="s">
        <v>725</v>
      </c>
      <c r="I336" s="42" t="s">
        <v>377</v>
      </c>
      <c r="J336" s="53" t="s">
        <v>736</v>
      </c>
      <c r="L336" s="56" t="s">
        <v>379</v>
      </c>
      <c r="M336" s="53" t="s">
        <v>737</v>
      </c>
      <c r="O336" s="71" t="s">
        <v>913</v>
      </c>
      <c r="P336" s="28" t="s">
        <v>13</v>
      </c>
      <c r="Q336" s="28"/>
      <c r="R336" s="28" t="s">
        <v>13</v>
      </c>
      <c r="S336" s="28"/>
      <c r="T336" s="28"/>
      <c r="U336" s="1" t="s">
        <v>738</v>
      </c>
      <c r="V336" s="60" t="s">
        <v>739</v>
      </c>
      <c r="W336" s="1" t="s">
        <v>728</v>
      </c>
      <c r="X336" s="60" t="s">
        <v>729</v>
      </c>
      <c r="Y336" s="1" t="s">
        <v>731</v>
      </c>
      <c r="Z336" s="60" t="s">
        <v>732</v>
      </c>
      <c r="AA336" s="1" t="s">
        <v>733</v>
      </c>
      <c r="AB336" s="60" t="s">
        <v>734</v>
      </c>
    </row>
    <row r="337" spans="1:30" ht="15" customHeight="1">
      <c r="A337" s="49">
        <v>53</v>
      </c>
      <c r="B337" s="49" t="s">
        <v>103</v>
      </c>
      <c r="C337" s="50" t="s">
        <v>104</v>
      </c>
      <c r="D337" s="51" t="s">
        <v>916</v>
      </c>
      <c r="E337" s="51" t="s">
        <v>740</v>
      </c>
      <c r="F337" s="52" t="s">
        <v>416</v>
      </c>
      <c r="G337" s="53" t="s">
        <v>741</v>
      </c>
      <c r="H337" s="96"/>
      <c r="I337" s="42" t="s">
        <v>416</v>
      </c>
      <c r="J337" s="53" t="s">
        <v>742</v>
      </c>
      <c r="L337" s="56" t="s">
        <v>377</v>
      </c>
      <c r="M337" s="53" t="s">
        <v>743</v>
      </c>
      <c r="O337" s="71" t="s">
        <v>913</v>
      </c>
      <c r="P337" s="28" t="s">
        <v>13</v>
      </c>
      <c r="Q337" s="28"/>
      <c r="R337" s="28" t="s">
        <v>13</v>
      </c>
      <c r="S337" s="28"/>
      <c r="T337" s="28"/>
      <c r="U337" s="1" t="s">
        <v>744</v>
      </c>
      <c r="V337" s="60" t="s">
        <v>745</v>
      </c>
      <c r="W337" s="1" t="s">
        <v>746</v>
      </c>
      <c r="X337" s="60" t="s">
        <v>747</v>
      </c>
      <c r="Y337" s="1"/>
    </row>
    <row r="338" spans="1:30" ht="15" customHeight="1">
      <c r="A338" s="49">
        <v>53</v>
      </c>
      <c r="B338" s="49" t="s">
        <v>103</v>
      </c>
      <c r="C338" s="50" t="s">
        <v>104</v>
      </c>
      <c r="D338" s="51" t="s">
        <v>917</v>
      </c>
      <c r="E338" s="51" t="s">
        <v>749</v>
      </c>
      <c r="F338" s="52" t="s">
        <v>379</v>
      </c>
      <c r="G338" s="53" t="s">
        <v>918</v>
      </c>
      <c r="H338" s="96"/>
      <c r="I338" s="56" t="s">
        <v>403</v>
      </c>
      <c r="J338" s="53" t="s">
        <v>751</v>
      </c>
      <c r="L338" s="56" t="s">
        <v>377</v>
      </c>
      <c r="M338" s="53" t="s">
        <v>752</v>
      </c>
      <c r="O338" s="71" t="s">
        <v>913</v>
      </c>
      <c r="P338" s="28" t="s">
        <v>13</v>
      </c>
      <c r="Q338" s="28"/>
      <c r="R338" s="28" t="s">
        <v>13</v>
      </c>
      <c r="S338" s="28"/>
      <c r="T338" s="28"/>
      <c r="U338" s="27" t="s">
        <v>753</v>
      </c>
      <c r="V338" s="27" t="s">
        <v>754</v>
      </c>
      <c r="W338" s="1"/>
      <c r="Y338" s="1"/>
    </row>
    <row r="339" spans="1:30" ht="15" customHeight="1">
      <c r="A339" s="49">
        <v>53</v>
      </c>
      <c r="B339" s="49" t="s">
        <v>103</v>
      </c>
      <c r="C339" s="50" t="s">
        <v>104</v>
      </c>
      <c r="D339" s="51" t="s">
        <v>919</v>
      </c>
      <c r="E339" s="51" t="s">
        <v>756</v>
      </c>
      <c r="F339" s="56" t="s">
        <v>403</v>
      </c>
      <c r="G339" s="53" t="s">
        <v>757</v>
      </c>
      <c r="H339" s="54"/>
      <c r="I339" s="42" t="s">
        <v>379</v>
      </c>
      <c r="J339" s="53" t="s">
        <v>758</v>
      </c>
      <c r="L339" s="56" t="s">
        <v>377</v>
      </c>
      <c r="M339" s="53" t="s">
        <v>534</v>
      </c>
      <c r="N339" s="53"/>
      <c r="O339" s="71" t="s">
        <v>920</v>
      </c>
      <c r="P339" s="28" t="s">
        <v>13</v>
      </c>
      <c r="Q339" s="28"/>
      <c r="R339" s="28" t="s">
        <v>13</v>
      </c>
      <c r="S339" s="28"/>
      <c r="T339" s="28"/>
      <c r="U339" s="1" t="s">
        <v>759</v>
      </c>
      <c r="V339" s="27" t="s">
        <v>760</v>
      </c>
      <c r="W339" s="40" t="s">
        <v>761</v>
      </c>
      <c r="X339" s="27" t="s">
        <v>762</v>
      </c>
      <c r="Y339" s="27"/>
      <c r="Z339" s="27"/>
      <c r="AA339" s="27"/>
      <c r="AB339" s="27"/>
      <c r="AC339" s="27"/>
      <c r="AD339" s="27"/>
    </row>
    <row r="340" spans="1:30" ht="15" customHeight="1">
      <c r="A340" s="49">
        <v>53</v>
      </c>
      <c r="B340" s="49" t="s">
        <v>103</v>
      </c>
      <c r="C340" s="50" t="s">
        <v>104</v>
      </c>
      <c r="D340" s="51" t="s">
        <v>919</v>
      </c>
      <c r="E340" s="51" t="s">
        <v>769</v>
      </c>
      <c r="F340" s="52" t="s">
        <v>416</v>
      </c>
      <c r="G340" s="57" t="s">
        <v>770</v>
      </c>
      <c r="I340" s="42" t="s">
        <v>379</v>
      </c>
      <c r="J340" s="51" t="s">
        <v>771</v>
      </c>
      <c r="L340" s="56" t="s">
        <v>379</v>
      </c>
      <c r="M340" s="51" t="s">
        <v>772</v>
      </c>
      <c r="O340" s="71" t="s">
        <v>920</v>
      </c>
      <c r="P340" s="28" t="s">
        <v>13</v>
      </c>
      <c r="Q340" s="28"/>
      <c r="R340" s="28" t="s">
        <v>13</v>
      </c>
      <c r="S340" s="28"/>
      <c r="T340" s="28"/>
      <c r="U340" s="27" t="s">
        <v>773</v>
      </c>
      <c r="V340" s="27" t="s">
        <v>774</v>
      </c>
      <c r="W340" s="1"/>
      <c r="Y340" s="1"/>
    </row>
    <row r="341" spans="1:30" ht="15" customHeight="1">
      <c r="A341" s="49">
        <v>53</v>
      </c>
      <c r="B341" s="49" t="s">
        <v>103</v>
      </c>
      <c r="C341" s="50" t="s">
        <v>104</v>
      </c>
      <c r="D341" s="51" t="s">
        <v>921</v>
      </c>
      <c r="E341" s="51" t="s">
        <v>776</v>
      </c>
      <c r="F341" s="52" t="s">
        <v>379</v>
      </c>
      <c r="G341" s="53" t="s">
        <v>777</v>
      </c>
      <c r="H341" s="54"/>
      <c r="I341" s="42" t="s">
        <v>377</v>
      </c>
      <c r="J341" s="51" t="s">
        <v>778</v>
      </c>
      <c r="K341" s="54"/>
      <c r="L341" s="56" t="s">
        <v>416</v>
      </c>
      <c r="M341" s="53" t="s">
        <v>779</v>
      </c>
      <c r="N341" s="58"/>
      <c r="O341" s="71" t="s">
        <v>920</v>
      </c>
      <c r="P341" s="28" t="s">
        <v>13</v>
      </c>
      <c r="Q341" s="28"/>
      <c r="R341" s="28" t="s">
        <v>13</v>
      </c>
      <c r="S341" s="28"/>
      <c r="T341" s="28"/>
      <c r="U341" s="40" t="s">
        <v>761</v>
      </c>
      <c r="V341" s="27" t="s">
        <v>762</v>
      </c>
    </row>
    <row r="342" spans="1:30" ht="15" customHeight="1">
      <c r="A342" s="49">
        <v>53</v>
      </c>
      <c r="B342" s="49" t="s">
        <v>103</v>
      </c>
      <c r="C342" s="50" t="s">
        <v>104</v>
      </c>
      <c r="D342" s="51" t="s">
        <v>921</v>
      </c>
      <c r="E342" s="51" t="s">
        <v>780</v>
      </c>
      <c r="F342" s="52" t="s">
        <v>416</v>
      </c>
      <c r="G342" s="53" t="s">
        <v>781</v>
      </c>
      <c r="H342" s="54"/>
      <c r="I342" s="42" t="s">
        <v>416</v>
      </c>
      <c r="J342" s="51" t="s">
        <v>782</v>
      </c>
      <c r="K342" s="54"/>
      <c r="L342" s="56" t="s">
        <v>377</v>
      </c>
      <c r="M342" s="53" t="s">
        <v>783</v>
      </c>
      <c r="N342" s="58"/>
      <c r="O342" s="71" t="s">
        <v>920</v>
      </c>
      <c r="P342" s="28" t="s">
        <v>13</v>
      </c>
      <c r="Q342" s="28"/>
      <c r="R342" s="28" t="s">
        <v>13</v>
      </c>
      <c r="S342" s="28"/>
      <c r="T342" s="28"/>
      <c r="U342" s="1" t="s">
        <v>784</v>
      </c>
      <c r="V342" s="60" t="s">
        <v>785</v>
      </c>
    </row>
    <row r="343" spans="1:30" ht="15" customHeight="1">
      <c r="A343" s="49">
        <v>53</v>
      </c>
      <c r="B343" s="49" t="s">
        <v>103</v>
      </c>
      <c r="C343" s="50" t="s">
        <v>104</v>
      </c>
      <c r="D343" s="51" t="s">
        <v>922</v>
      </c>
      <c r="E343" s="51" t="s">
        <v>378</v>
      </c>
      <c r="F343" s="93" t="s">
        <v>377</v>
      </c>
      <c r="G343" s="57" t="s">
        <v>923</v>
      </c>
      <c r="I343" s="42" t="s">
        <v>379</v>
      </c>
      <c r="J343" s="67" t="s">
        <v>924</v>
      </c>
      <c r="L343" s="56" t="s">
        <v>377</v>
      </c>
      <c r="M343" s="67" t="s">
        <v>924</v>
      </c>
      <c r="O343" s="90" t="s">
        <v>925</v>
      </c>
      <c r="P343" s="28" t="s">
        <v>13</v>
      </c>
      <c r="Q343" s="28"/>
      <c r="R343" s="28" t="s">
        <v>13</v>
      </c>
      <c r="S343" s="28"/>
      <c r="T343" s="28"/>
      <c r="U343" s="1" t="s">
        <v>926</v>
      </c>
      <c r="V343" s="27" t="s">
        <v>927</v>
      </c>
      <c r="W343" s="1" t="s">
        <v>928</v>
      </c>
      <c r="X343" s="27" t="s">
        <v>929</v>
      </c>
      <c r="Y343" s="1" t="s">
        <v>928</v>
      </c>
      <c r="Z343" s="27" t="s">
        <v>929</v>
      </c>
      <c r="AA343" s="1" t="s">
        <v>930</v>
      </c>
      <c r="AB343" s="60" t="s">
        <v>931</v>
      </c>
    </row>
    <row r="344" spans="1:30" ht="15" customHeight="1">
      <c r="A344" s="49">
        <v>53</v>
      </c>
      <c r="B344" s="49" t="s">
        <v>103</v>
      </c>
      <c r="C344" s="50" t="s">
        <v>104</v>
      </c>
      <c r="D344" s="51" t="s">
        <v>932</v>
      </c>
      <c r="E344" s="51" t="s">
        <v>378</v>
      </c>
      <c r="F344" s="93" t="s">
        <v>416</v>
      </c>
      <c r="G344" s="57" t="s">
        <v>933</v>
      </c>
      <c r="I344" s="42" t="s">
        <v>405</v>
      </c>
      <c r="J344" s="67" t="s">
        <v>934</v>
      </c>
      <c r="L344" s="56" t="s">
        <v>377</v>
      </c>
      <c r="M344" s="67" t="s">
        <v>935</v>
      </c>
      <c r="O344" s="90" t="s">
        <v>925</v>
      </c>
      <c r="P344" s="28" t="s">
        <v>13</v>
      </c>
      <c r="Q344" s="28"/>
      <c r="R344" s="28" t="s">
        <v>13</v>
      </c>
      <c r="S344" s="28"/>
      <c r="T344" s="28"/>
      <c r="U344" s="1" t="s">
        <v>936</v>
      </c>
      <c r="V344" s="27" t="s">
        <v>937</v>
      </c>
      <c r="W344" s="1" t="s">
        <v>928</v>
      </c>
      <c r="X344" s="27" t="s">
        <v>929</v>
      </c>
      <c r="Y344" s="1" t="s">
        <v>928</v>
      </c>
      <c r="Z344" s="27" t="s">
        <v>929</v>
      </c>
      <c r="AA344" s="1" t="s">
        <v>930</v>
      </c>
      <c r="AB344" s="60" t="s">
        <v>931</v>
      </c>
    </row>
    <row r="345" spans="1:30" ht="15" customHeight="1">
      <c r="A345" s="49">
        <v>53</v>
      </c>
      <c r="B345" s="49" t="s">
        <v>103</v>
      </c>
      <c r="C345" s="50" t="s">
        <v>104</v>
      </c>
      <c r="D345" s="51" t="s">
        <v>938</v>
      </c>
      <c r="E345" s="51" t="s">
        <v>378</v>
      </c>
      <c r="F345" s="93" t="s">
        <v>379</v>
      </c>
      <c r="G345" s="57" t="s">
        <v>939</v>
      </c>
      <c r="I345" s="42" t="s">
        <v>405</v>
      </c>
      <c r="J345" s="67" t="s">
        <v>934</v>
      </c>
      <c r="L345" s="56" t="s">
        <v>377</v>
      </c>
      <c r="M345" s="67" t="s">
        <v>935</v>
      </c>
      <c r="O345" s="90" t="s">
        <v>925</v>
      </c>
      <c r="P345" s="28" t="s">
        <v>13</v>
      </c>
      <c r="Q345" s="28"/>
      <c r="R345" s="28" t="s">
        <v>13</v>
      </c>
      <c r="S345" s="28"/>
      <c r="T345" s="28"/>
      <c r="U345" s="1" t="s">
        <v>940</v>
      </c>
      <c r="V345" s="27" t="s">
        <v>941</v>
      </c>
      <c r="W345" s="1" t="s">
        <v>928</v>
      </c>
      <c r="X345" s="27" t="s">
        <v>929</v>
      </c>
      <c r="Y345" s="1" t="s">
        <v>928</v>
      </c>
      <c r="Z345" s="27" t="s">
        <v>929</v>
      </c>
      <c r="AA345" s="1" t="s">
        <v>930</v>
      </c>
      <c r="AB345" s="60" t="s">
        <v>931</v>
      </c>
    </row>
    <row r="346" spans="1:30" ht="15" customHeight="1">
      <c r="A346" s="49">
        <v>53</v>
      </c>
      <c r="B346" s="49" t="s">
        <v>103</v>
      </c>
      <c r="C346" s="50" t="s">
        <v>104</v>
      </c>
      <c r="D346" s="51" t="s">
        <v>942</v>
      </c>
      <c r="E346" s="51" t="s">
        <v>378</v>
      </c>
      <c r="F346" s="93" t="s">
        <v>377</v>
      </c>
      <c r="G346" s="57" t="s">
        <v>943</v>
      </c>
      <c r="I346" s="42" t="s">
        <v>416</v>
      </c>
      <c r="J346" s="67" t="s">
        <v>944</v>
      </c>
      <c r="L346" s="56" t="s">
        <v>377</v>
      </c>
      <c r="M346" s="67" t="s">
        <v>945</v>
      </c>
      <c r="O346" s="90" t="s">
        <v>925</v>
      </c>
      <c r="P346" s="28" t="s">
        <v>13</v>
      </c>
      <c r="Q346" s="28"/>
      <c r="R346" s="28" t="s">
        <v>13</v>
      </c>
      <c r="S346" s="28"/>
      <c r="T346" s="28"/>
      <c r="U346" s="1" t="s">
        <v>946</v>
      </c>
      <c r="V346" s="27" t="s">
        <v>947</v>
      </c>
      <c r="W346" s="1" t="s">
        <v>928</v>
      </c>
      <c r="X346" s="27" t="s">
        <v>929</v>
      </c>
      <c r="Y346" s="1" t="s">
        <v>928</v>
      </c>
      <c r="Z346" s="27" t="s">
        <v>929</v>
      </c>
      <c r="AA346" s="1" t="s">
        <v>930</v>
      </c>
      <c r="AB346" s="60" t="s">
        <v>931</v>
      </c>
    </row>
    <row r="347" spans="1:30" ht="15" customHeight="1">
      <c r="A347" s="49">
        <v>53</v>
      </c>
      <c r="B347" s="49" t="s">
        <v>103</v>
      </c>
      <c r="C347" s="50" t="s">
        <v>104</v>
      </c>
      <c r="D347" s="51" t="s">
        <v>948</v>
      </c>
      <c r="E347" s="51" t="s">
        <v>949</v>
      </c>
      <c r="F347" s="93" t="s">
        <v>416</v>
      </c>
      <c r="G347" s="57" t="s">
        <v>950</v>
      </c>
      <c r="I347" s="42" t="s">
        <v>416</v>
      </c>
      <c r="J347" s="67" t="s">
        <v>951</v>
      </c>
      <c r="L347" s="56" t="s">
        <v>379</v>
      </c>
      <c r="M347" s="99" t="s">
        <v>952</v>
      </c>
      <c r="O347" s="90" t="s">
        <v>925</v>
      </c>
      <c r="P347" s="28" t="s">
        <v>13</v>
      </c>
      <c r="Q347" s="28"/>
      <c r="R347" s="28" t="s">
        <v>13</v>
      </c>
      <c r="U347" s="1" t="s">
        <v>953</v>
      </c>
      <c r="V347" s="27" t="s">
        <v>954</v>
      </c>
      <c r="W347" s="1" t="s">
        <v>928</v>
      </c>
      <c r="X347" s="27" t="s">
        <v>929</v>
      </c>
      <c r="Y347" s="1" t="s">
        <v>928</v>
      </c>
      <c r="Z347" s="27" t="s">
        <v>929</v>
      </c>
      <c r="AA347" s="1" t="s">
        <v>930</v>
      </c>
      <c r="AB347" s="60" t="s">
        <v>931</v>
      </c>
    </row>
    <row r="348" spans="1:30" ht="15" customHeight="1">
      <c r="A348" s="49">
        <v>53</v>
      </c>
      <c r="B348" s="49" t="s">
        <v>103</v>
      </c>
      <c r="C348" s="50" t="s">
        <v>104</v>
      </c>
      <c r="D348" s="51" t="s">
        <v>948</v>
      </c>
      <c r="E348" s="57" t="s">
        <v>955</v>
      </c>
      <c r="F348" s="42" t="s">
        <v>405</v>
      </c>
      <c r="G348" s="57" t="s">
        <v>956</v>
      </c>
      <c r="I348" s="42" t="s">
        <v>405</v>
      </c>
      <c r="J348" s="67" t="s">
        <v>957</v>
      </c>
      <c r="L348" s="56" t="s">
        <v>377</v>
      </c>
      <c r="M348" s="88" t="s">
        <v>958</v>
      </c>
      <c r="O348" s="90" t="s">
        <v>925</v>
      </c>
      <c r="P348" s="28" t="s">
        <v>13</v>
      </c>
      <c r="Q348" s="28"/>
      <c r="R348" s="28" t="s">
        <v>13</v>
      </c>
      <c r="U348" s="1" t="s">
        <v>959</v>
      </c>
      <c r="V348" s="27" t="s">
        <v>960</v>
      </c>
      <c r="W348" s="1" t="s">
        <v>928</v>
      </c>
      <c r="X348" s="27" t="s">
        <v>929</v>
      </c>
      <c r="Y348" s="1" t="s">
        <v>928</v>
      </c>
      <c r="Z348" s="27" t="s">
        <v>929</v>
      </c>
      <c r="AA348" s="1" t="s">
        <v>930</v>
      </c>
      <c r="AB348" s="60" t="s">
        <v>931</v>
      </c>
    </row>
    <row r="349" spans="1:30" ht="15" customHeight="1">
      <c r="A349" s="49">
        <v>54</v>
      </c>
      <c r="B349" s="49" t="s">
        <v>105</v>
      </c>
      <c r="C349" s="50" t="s">
        <v>12</v>
      </c>
      <c r="D349" s="51" t="s">
        <v>698</v>
      </c>
      <c r="E349" s="57" t="s">
        <v>699</v>
      </c>
      <c r="F349" s="52" t="s">
        <v>416</v>
      </c>
      <c r="G349" s="53" t="s">
        <v>700</v>
      </c>
      <c r="H349" s="92"/>
      <c r="I349" s="93" t="s">
        <v>416</v>
      </c>
      <c r="J349" s="53" t="s">
        <v>701</v>
      </c>
      <c r="K349" s="67"/>
      <c r="L349" s="94" t="s">
        <v>377</v>
      </c>
      <c r="M349" s="53" t="s">
        <v>702</v>
      </c>
      <c r="P349" s="28" t="s">
        <v>13</v>
      </c>
      <c r="Q349" s="28"/>
      <c r="R349" s="28" t="s">
        <v>13</v>
      </c>
      <c r="S349" s="28"/>
      <c r="T349" s="28"/>
      <c r="U349" s="2" t="s">
        <v>703</v>
      </c>
      <c r="V349" s="95" t="s">
        <v>704</v>
      </c>
      <c r="W349" s="95"/>
      <c r="X349" s="95"/>
      <c r="Y349" s="95"/>
      <c r="Z349" s="95"/>
      <c r="AA349" s="100"/>
    </row>
    <row r="350" spans="1:30" ht="15" customHeight="1">
      <c r="A350" s="49">
        <v>54</v>
      </c>
      <c r="B350" s="49" t="s">
        <v>105</v>
      </c>
      <c r="C350" s="50" t="s">
        <v>12</v>
      </c>
      <c r="D350" s="51" t="s">
        <v>705</v>
      </c>
      <c r="E350" s="57" t="s">
        <v>716</v>
      </c>
      <c r="F350" s="52" t="s">
        <v>379</v>
      </c>
      <c r="G350" s="53" t="s">
        <v>961</v>
      </c>
      <c r="I350" s="42" t="s">
        <v>416</v>
      </c>
      <c r="J350" s="53" t="s">
        <v>962</v>
      </c>
      <c r="L350" s="56" t="s">
        <v>405</v>
      </c>
      <c r="M350" s="53" t="s">
        <v>718</v>
      </c>
      <c r="O350" s="73"/>
      <c r="P350" s="28" t="s">
        <v>13</v>
      </c>
      <c r="Q350" s="28"/>
      <c r="R350" s="28" t="s">
        <v>13</v>
      </c>
      <c r="S350" s="28"/>
      <c r="T350" s="28"/>
      <c r="U350" s="2" t="s">
        <v>712</v>
      </c>
      <c r="V350" s="95" t="s">
        <v>713</v>
      </c>
      <c r="W350" s="2" t="s">
        <v>703</v>
      </c>
      <c r="X350" s="95" t="s">
        <v>704</v>
      </c>
      <c r="Y350" s="2" t="s">
        <v>963</v>
      </c>
      <c r="Z350" s="95" t="s">
        <v>964</v>
      </c>
      <c r="AA350" s="100"/>
    </row>
    <row r="351" spans="1:30" ht="15" customHeight="1">
      <c r="A351" s="49">
        <v>55</v>
      </c>
      <c r="B351" s="49" t="s">
        <v>106</v>
      </c>
      <c r="C351" s="50" t="s">
        <v>12</v>
      </c>
      <c r="D351" s="51" t="s">
        <v>698</v>
      </c>
      <c r="E351" s="57" t="s">
        <v>699</v>
      </c>
      <c r="F351" s="52" t="s">
        <v>416</v>
      </c>
      <c r="G351" s="53" t="s">
        <v>700</v>
      </c>
      <c r="H351" s="92"/>
      <c r="I351" s="93" t="s">
        <v>416</v>
      </c>
      <c r="J351" s="53" t="s">
        <v>701</v>
      </c>
      <c r="K351" s="67"/>
      <c r="L351" s="94" t="s">
        <v>377</v>
      </c>
      <c r="M351" s="53" t="s">
        <v>702</v>
      </c>
      <c r="P351" s="28" t="s">
        <v>13</v>
      </c>
      <c r="Q351" s="28"/>
      <c r="R351" s="28" t="s">
        <v>13</v>
      </c>
      <c r="S351" s="28"/>
      <c r="T351" s="28"/>
      <c r="U351" s="2" t="s">
        <v>703</v>
      </c>
      <c r="V351" s="95" t="s">
        <v>704</v>
      </c>
    </row>
    <row r="352" spans="1:30" ht="15" customHeight="1">
      <c r="A352" s="49">
        <v>55</v>
      </c>
      <c r="B352" s="49" t="s">
        <v>106</v>
      </c>
      <c r="C352" s="50" t="s">
        <v>12</v>
      </c>
      <c r="D352" s="51" t="s">
        <v>705</v>
      </c>
      <c r="E352" s="57" t="s">
        <v>716</v>
      </c>
      <c r="F352" s="52" t="s">
        <v>379</v>
      </c>
      <c r="G352" s="53" t="s">
        <v>961</v>
      </c>
      <c r="I352" s="42" t="s">
        <v>416</v>
      </c>
      <c r="J352" s="53" t="s">
        <v>962</v>
      </c>
      <c r="L352" s="56" t="s">
        <v>405</v>
      </c>
      <c r="M352" s="53" t="s">
        <v>718</v>
      </c>
      <c r="O352" s="73"/>
      <c r="P352" s="28" t="s">
        <v>13</v>
      </c>
      <c r="Q352" s="28"/>
      <c r="R352" s="28" t="s">
        <v>13</v>
      </c>
      <c r="S352" s="28"/>
      <c r="T352" s="28"/>
      <c r="U352" s="2" t="s">
        <v>712</v>
      </c>
      <c r="V352" s="95" t="s">
        <v>713</v>
      </c>
    </row>
    <row r="353" spans="1:28" ht="15" customHeight="1">
      <c r="A353" s="49">
        <v>56</v>
      </c>
      <c r="B353" s="49" t="s">
        <v>107</v>
      </c>
      <c r="C353" s="50" t="s">
        <v>12</v>
      </c>
      <c r="D353" s="51" t="s">
        <v>698</v>
      </c>
      <c r="E353" s="57" t="s">
        <v>699</v>
      </c>
      <c r="F353" s="52" t="s">
        <v>416</v>
      </c>
      <c r="G353" s="53" t="s">
        <v>700</v>
      </c>
      <c r="H353" s="92"/>
      <c r="I353" s="93" t="s">
        <v>416</v>
      </c>
      <c r="J353" s="53" t="s">
        <v>701</v>
      </c>
      <c r="K353" s="67"/>
      <c r="L353" s="94" t="s">
        <v>377</v>
      </c>
      <c r="M353" s="53" t="s">
        <v>702</v>
      </c>
      <c r="P353" s="28" t="s">
        <v>13</v>
      </c>
      <c r="Q353" s="28"/>
      <c r="R353" s="28" t="s">
        <v>13</v>
      </c>
      <c r="S353" s="28"/>
      <c r="T353" s="28"/>
      <c r="U353" s="2" t="s">
        <v>703</v>
      </c>
      <c r="V353" s="95" t="s">
        <v>704</v>
      </c>
    </row>
    <row r="354" spans="1:28" ht="15" customHeight="1">
      <c r="A354" s="49">
        <v>56</v>
      </c>
      <c r="B354" s="49" t="s">
        <v>107</v>
      </c>
      <c r="C354" s="50" t="s">
        <v>12</v>
      </c>
      <c r="D354" s="51" t="s">
        <v>705</v>
      </c>
      <c r="E354" s="57" t="s">
        <v>716</v>
      </c>
      <c r="F354" s="52" t="s">
        <v>379</v>
      </c>
      <c r="G354" s="53" t="s">
        <v>961</v>
      </c>
      <c r="I354" s="42" t="s">
        <v>416</v>
      </c>
      <c r="J354" s="53" t="s">
        <v>962</v>
      </c>
      <c r="L354" s="56" t="s">
        <v>405</v>
      </c>
      <c r="M354" s="53" t="s">
        <v>718</v>
      </c>
      <c r="O354" s="73"/>
      <c r="P354" s="28" t="s">
        <v>13</v>
      </c>
      <c r="Q354" s="28"/>
      <c r="R354" s="28" t="s">
        <v>13</v>
      </c>
      <c r="S354" s="28"/>
      <c r="T354" s="28"/>
      <c r="U354" s="2" t="s">
        <v>712</v>
      </c>
      <c r="V354" s="95" t="s">
        <v>713</v>
      </c>
    </row>
    <row r="355" spans="1:28" ht="15" customHeight="1">
      <c r="A355" s="49">
        <v>57</v>
      </c>
      <c r="B355" s="49" t="s">
        <v>108</v>
      </c>
      <c r="C355" s="50" t="s">
        <v>12</v>
      </c>
      <c r="D355" s="80" t="s">
        <v>692</v>
      </c>
      <c r="E355" s="61" t="s">
        <v>692</v>
      </c>
      <c r="F355" s="52"/>
      <c r="I355" s="42"/>
      <c r="P355" s="28"/>
      <c r="Q355" s="28"/>
      <c r="R355" s="28" t="s">
        <v>13</v>
      </c>
      <c r="S355" s="28"/>
      <c r="T355" s="28"/>
    </row>
    <row r="356" spans="1:28" ht="15" customHeight="1">
      <c r="A356" s="49">
        <v>58</v>
      </c>
      <c r="B356" s="49" t="s">
        <v>109</v>
      </c>
      <c r="C356" s="50" t="s">
        <v>12</v>
      </c>
      <c r="D356" s="80" t="s">
        <v>692</v>
      </c>
      <c r="E356" s="61" t="s">
        <v>692</v>
      </c>
      <c r="F356" s="52"/>
      <c r="I356" s="42"/>
      <c r="P356" s="28"/>
      <c r="Q356" s="28"/>
      <c r="R356" s="28" t="s">
        <v>13</v>
      </c>
      <c r="S356" s="28"/>
      <c r="T356" s="28"/>
    </row>
    <row r="357" spans="1:28" ht="15" customHeight="1">
      <c r="A357" s="49">
        <v>59</v>
      </c>
      <c r="B357" s="49" t="s">
        <v>110</v>
      </c>
      <c r="C357" s="50" t="s">
        <v>111</v>
      </c>
      <c r="D357" s="51" t="s">
        <v>898</v>
      </c>
      <c r="E357" s="51" t="s">
        <v>378</v>
      </c>
      <c r="F357" s="42" t="s">
        <v>416</v>
      </c>
      <c r="G357" s="53" t="s">
        <v>965</v>
      </c>
      <c r="I357" s="42" t="s">
        <v>379</v>
      </c>
      <c r="J357" s="51" t="s">
        <v>900</v>
      </c>
      <c r="K357" s="51"/>
      <c r="L357" s="94" t="s">
        <v>377</v>
      </c>
      <c r="M357" s="53" t="s">
        <v>901</v>
      </c>
      <c r="P357" s="28"/>
      <c r="Q357" s="28"/>
      <c r="R357" s="28"/>
      <c r="S357" s="28"/>
      <c r="T357" s="28"/>
      <c r="U357" s="1" t="s">
        <v>902</v>
      </c>
      <c r="V357" s="60" t="s">
        <v>903</v>
      </c>
      <c r="W357" s="3" t="s">
        <v>904</v>
      </c>
      <c r="X357" s="60" t="s">
        <v>905</v>
      </c>
      <c r="Y357" s="3" t="s">
        <v>906</v>
      </c>
      <c r="Z357" s="60" t="s">
        <v>907</v>
      </c>
      <c r="AA357" s="3" t="s">
        <v>908</v>
      </c>
      <c r="AB357" s="60" t="s">
        <v>909</v>
      </c>
    </row>
    <row r="358" spans="1:28" ht="15" customHeight="1">
      <c r="A358" s="49">
        <v>59</v>
      </c>
      <c r="B358" s="49" t="s">
        <v>110</v>
      </c>
      <c r="C358" s="50" t="s">
        <v>111</v>
      </c>
      <c r="D358" s="51" t="s">
        <v>705</v>
      </c>
      <c r="E358" s="63" t="s">
        <v>966</v>
      </c>
      <c r="F358" s="42" t="s">
        <v>405</v>
      </c>
      <c r="G358" s="57" t="s">
        <v>967</v>
      </c>
      <c r="I358" s="42" t="s">
        <v>416</v>
      </c>
      <c r="J358" s="51" t="s">
        <v>968</v>
      </c>
      <c r="L358" s="56" t="s">
        <v>416</v>
      </c>
      <c r="M358" s="53" t="s">
        <v>709</v>
      </c>
      <c r="O358" s="71" t="s">
        <v>870</v>
      </c>
      <c r="P358" s="28" t="s">
        <v>13</v>
      </c>
      <c r="Q358" s="28"/>
      <c r="R358" s="28" t="s">
        <v>13</v>
      </c>
      <c r="S358" s="28"/>
      <c r="T358" s="28"/>
      <c r="U358" s="1" t="s">
        <v>712</v>
      </c>
      <c r="V358" s="60" t="s">
        <v>713</v>
      </c>
      <c r="W358" s="1" t="s">
        <v>878</v>
      </c>
      <c r="X358" s="27" t="s">
        <v>879</v>
      </c>
      <c r="Y358" s="1" t="s">
        <v>872</v>
      </c>
      <c r="Z358" s="60" t="s">
        <v>873</v>
      </c>
      <c r="AA358" s="27"/>
      <c r="AB358" s="27"/>
    </row>
    <row r="359" spans="1:28" ht="15" customHeight="1">
      <c r="A359" s="49">
        <v>59</v>
      </c>
      <c r="B359" s="49" t="s">
        <v>110</v>
      </c>
      <c r="C359" s="50" t="s">
        <v>111</v>
      </c>
      <c r="D359" s="51" t="s">
        <v>865</v>
      </c>
      <c r="E359" s="51" t="s">
        <v>866</v>
      </c>
      <c r="F359" s="52" t="s">
        <v>379</v>
      </c>
      <c r="G359" s="57" t="s">
        <v>867</v>
      </c>
      <c r="I359" s="56" t="s">
        <v>403</v>
      </c>
      <c r="J359" s="51" t="s">
        <v>868</v>
      </c>
      <c r="L359" s="56" t="s">
        <v>379</v>
      </c>
      <c r="M359" s="53" t="s">
        <v>869</v>
      </c>
      <c r="O359" s="71" t="s">
        <v>870</v>
      </c>
      <c r="P359" s="28"/>
      <c r="Q359" s="28"/>
      <c r="R359" s="28"/>
      <c r="S359" s="28"/>
      <c r="T359" s="28"/>
      <c r="U359" s="1" t="s">
        <v>871</v>
      </c>
      <c r="V359" s="1" t="s">
        <v>872</v>
      </c>
      <c r="W359" s="60" t="s">
        <v>873</v>
      </c>
    </row>
    <row r="360" spans="1:28" ht="15" customHeight="1">
      <c r="A360" s="49">
        <v>59</v>
      </c>
      <c r="B360" s="49" t="s">
        <v>110</v>
      </c>
      <c r="C360" s="50" t="s">
        <v>111</v>
      </c>
      <c r="D360" s="51" t="s">
        <v>865</v>
      </c>
      <c r="E360" s="51" t="s">
        <v>874</v>
      </c>
      <c r="F360" s="56" t="s">
        <v>416</v>
      </c>
      <c r="G360" s="53" t="s">
        <v>875</v>
      </c>
      <c r="H360" s="67"/>
      <c r="I360" s="42" t="s">
        <v>405</v>
      </c>
      <c r="J360" s="51" t="s">
        <v>876</v>
      </c>
      <c r="K360" s="67"/>
      <c r="L360" s="94" t="s">
        <v>377</v>
      </c>
      <c r="M360" s="53" t="s">
        <v>877</v>
      </c>
      <c r="O360" s="53"/>
      <c r="P360" s="28"/>
      <c r="Q360" s="28"/>
      <c r="R360" s="28"/>
      <c r="S360" s="28"/>
      <c r="T360" s="28"/>
      <c r="U360" s="1" t="s">
        <v>878</v>
      </c>
      <c r="V360" s="27" t="s">
        <v>879</v>
      </c>
      <c r="W360" s="1" t="s">
        <v>880</v>
      </c>
      <c r="X360" s="60" t="s">
        <v>881</v>
      </c>
    </row>
    <row r="361" spans="1:28" ht="15" customHeight="1">
      <c r="A361" s="49">
        <v>60</v>
      </c>
      <c r="B361" s="49" t="s">
        <v>112</v>
      </c>
      <c r="C361" s="50" t="s">
        <v>113</v>
      </c>
      <c r="D361" s="51" t="s">
        <v>575</v>
      </c>
      <c r="E361" s="61" t="s">
        <v>808</v>
      </c>
      <c r="F361" s="52"/>
      <c r="I361" s="42"/>
      <c r="P361" s="28"/>
      <c r="Q361" s="28"/>
      <c r="R361" s="28" t="s">
        <v>13</v>
      </c>
      <c r="S361" s="28"/>
      <c r="T361" s="28"/>
      <c r="U361" s="1" t="s">
        <v>969</v>
      </c>
    </row>
    <row r="362" spans="1:28" ht="15" customHeight="1">
      <c r="A362" s="49">
        <v>61</v>
      </c>
      <c r="B362" s="49" t="s">
        <v>114</v>
      </c>
      <c r="C362" s="50" t="s">
        <v>90</v>
      </c>
      <c r="D362" s="51" t="s">
        <v>970</v>
      </c>
      <c r="E362" s="57" t="s">
        <v>378</v>
      </c>
      <c r="F362" s="42" t="s">
        <v>405</v>
      </c>
      <c r="G362" s="53" t="s">
        <v>971</v>
      </c>
      <c r="I362" s="42" t="s">
        <v>379</v>
      </c>
      <c r="J362" s="53" t="s">
        <v>972</v>
      </c>
      <c r="L362" s="94" t="s">
        <v>377</v>
      </c>
      <c r="M362" s="53" t="s">
        <v>534</v>
      </c>
      <c r="P362" s="28"/>
      <c r="Q362" s="28"/>
      <c r="R362" s="28"/>
      <c r="S362" s="28"/>
      <c r="T362" s="28"/>
      <c r="U362" s="27" t="s">
        <v>973</v>
      </c>
      <c r="V362" s="27" t="s">
        <v>974</v>
      </c>
    </row>
    <row r="363" spans="1:28" ht="15" customHeight="1">
      <c r="A363" s="49">
        <v>61</v>
      </c>
      <c r="B363" s="49" t="s">
        <v>114</v>
      </c>
      <c r="C363" s="50" t="s">
        <v>90</v>
      </c>
      <c r="D363" s="51" t="s">
        <v>698</v>
      </c>
      <c r="E363" s="57" t="s">
        <v>975</v>
      </c>
      <c r="F363" s="52" t="s">
        <v>416</v>
      </c>
      <c r="G363" s="53" t="s">
        <v>875</v>
      </c>
      <c r="I363" s="42" t="s">
        <v>405</v>
      </c>
      <c r="J363" s="53" t="s">
        <v>976</v>
      </c>
      <c r="L363" s="94" t="s">
        <v>377</v>
      </c>
      <c r="M363" s="53" t="s">
        <v>877</v>
      </c>
      <c r="P363" s="28" t="s">
        <v>13</v>
      </c>
      <c r="Q363" s="28"/>
      <c r="R363" s="28" t="s">
        <v>13</v>
      </c>
      <c r="S363" s="28"/>
      <c r="T363" s="28"/>
      <c r="U363" s="1" t="s">
        <v>878</v>
      </c>
      <c r="V363" s="27" t="s">
        <v>879</v>
      </c>
      <c r="W363" s="1" t="s">
        <v>880</v>
      </c>
      <c r="X363" s="60" t="s">
        <v>881</v>
      </c>
    </row>
    <row r="364" spans="1:28" ht="15" customHeight="1">
      <c r="A364" s="49">
        <v>61</v>
      </c>
      <c r="B364" s="49" t="s">
        <v>114</v>
      </c>
      <c r="C364" s="50" t="s">
        <v>90</v>
      </c>
      <c r="D364" s="51" t="s">
        <v>698</v>
      </c>
      <c r="E364" s="57" t="s">
        <v>699</v>
      </c>
      <c r="F364" s="52" t="s">
        <v>416</v>
      </c>
      <c r="G364" s="53" t="s">
        <v>977</v>
      </c>
      <c r="H364" s="92"/>
      <c r="I364" s="93" t="s">
        <v>416</v>
      </c>
      <c r="J364" s="53" t="s">
        <v>978</v>
      </c>
      <c r="K364" s="67"/>
      <c r="L364" s="94" t="s">
        <v>377</v>
      </c>
      <c r="M364" s="53" t="s">
        <v>702</v>
      </c>
      <c r="P364" s="28"/>
      <c r="Q364" s="28"/>
      <c r="R364" s="28" t="s">
        <v>13</v>
      </c>
      <c r="S364" s="28"/>
      <c r="T364" s="28"/>
      <c r="U364" s="2" t="s">
        <v>703</v>
      </c>
      <c r="V364" s="95" t="s">
        <v>704</v>
      </c>
      <c r="W364" s="1" t="s">
        <v>979</v>
      </c>
      <c r="X364" s="60" t="s">
        <v>980</v>
      </c>
    </row>
    <row r="365" spans="1:28" ht="15" customHeight="1">
      <c r="A365" s="49">
        <v>61</v>
      </c>
      <c r="B365" s="49" t="s">
        <v>114</v>
      </c>
      <c r="C365" s="50" t="s">
        <v>90</v>
      </c>
      <c r="D365" s="51" t="s">
        <v>705</v>
      </c>
      <c r="E365" s="63" t="s">
        <v>706</v>
      </c>
      <c r="F365" s="42" t="s">
        <v>405</v>
      </c>
      <c r="G365" s="53" t="s">
        <v>981</v>
      </c>
      <c r="I365" s="42" t="s">
        <v>416</v>
      </c>
      <c r="J365" s="53" t="s">
        <v>708</v>
      </c>
      <c r="L365" s="56" t="s">
        <v>416</v>
      </c>
      <c r="M365" s="53" t="s">
        <v>709</v>
      </c>
      <c r="O365" s="71"/>
      <c r="P365" s="28" t="s">
        <v>13</v>
      </c>
      <c r="Q365" s="28"/>
      <c r="R365" s="28" t="s">
        <v>13</v>
      </c>
      <c r="S365" s="28"/>
      <c r="T365" s="28"/>
      <c r="U365" s="1" t="s">
        <v>712</v>
      </c>
      <c r="V365" s="60" t="s">
        <v>713</v>
      </c>
      <c r="W365" s="1" t="s">
        <v>982</v>
      </c>
      <c r="X365" s="60" t="s">
        <v>983</v>
      </c>
      <c r="Y365" s="1"/>
      <c r="Z365" s="27"/>
      <c r="AA365" s="27"/>
      <c r="AB365" s="27"/>
    </row>
    <row r="366" spans="1:28" ht="15" customHeight="1">
      <c r="A366" s="49">
        <v>61</v>
      </c>
      <c r="B366" s="49" t="s">
        <v>114</v>
      </c>
      <c r="C366" s="50" t="s">
        <v>90</v>
      </c>
      <c r="D366" s="51" t="s">
        <v>705</v>
      </c>
      <c r="E366" s="57" t="s">
        <v>716</v>
      </c>
      <c r="F366" s="52" t="s">
        <v>379</v>
      </c>
      <c r="G366" s="53" t="s">
        <v>961</v>
      </c>
      <c r="I366" s="42" t="s">
        <v>416</v>
      </c>
      <c r="J366" s="53" t="s">
        <v>962</v>
      </c>
      <c r="L366" s="56" t="s">
        <v>405</v>
      </c>
      <c r="M366" s="53" t="s">
        <v>718</v>
      </c>
      <c r="O366" s="73"/>
      <c r="P366" s="28" t="s">
        <v>13</v>
      </c>
      <c r="Q366" s="28"/>
      <c r="R366" s="28" t="s">
        <v>13</v>
      </c>
      <c r="S366" s="28"/>
      <c r="T366" s="28"/>
      <c r="U366" s="2" t="s">
        <v>712</v>
      </c>
      <c r="V366" s="95" t="s">
        <v>713</v>
      </c>
    </row>
    <row r="367" spans="1:28" ht="15" customHeight="1">
      <c r="A367" s="49">
        <v>61</v>
      </c>
      <c r="B367" s="49" t="s">
        <v>114</v>
      </c>
      <c r="C367" s="50" t="s">
        <v>852</v>
      </c>
      <c r="D367" s="51" t="s">
        <v>748</v>
      </c>
      <c r="E367" s="51" t="s">
        <v>749</v>
      </c>
      <c r="F367" s="52" t="s">
        <v>377</v>
      </c>
      <c r="G367" s="53" t="s">
        <v>984</v>
      </c>
      <c r="H367" s="96"/>
      <c r="I367" s="56" t="s">
        <v>403</v>
      </c>
      <c r="J367" s="53" t="s">
        <v>751</v>
      </c>
      <c r="L367" s="56" t="s">
        <v>377</v>
      </c>
      <c r="M367" s="53" t="s">
        <v>752</v>
      </c>
      <c r="O367" s="53"/>
      <c r="P367" s="28"/>
      <c r="Q367" s="28"/>
      <c r="R367" s="28"/>
      <c r="S367" s="28"/>
      <c r="T367" s="28"/>
      <c r="U367" s="27" t="s">
        <v>753</v>
      </c>
      <c r="V367" s="27" t="s">
        <v>754</v>
      </c>
      <c r="W367" s="1" t="s">
        <v>979</v>
      </c>
      <c r="X367" s="60" t="s">
        <v>980</v>
      </c>
      <c r="Y367" s="1"/>
    </row>
    <row r="368" spans="1:28" ht="15" customHeight="1">
      <c r="A368" s="49">
        <v>62</v>
      </c>
      <c r="B368" s="49" t="s">
        <v>115</v>
      </c>
      <c r="C368" s="50" t="s">
        <v>116</v>
      </c>
      <c r="D368" s="51" t="s">
        <v>575</v>
      </c>
      <c r="E368" s="57" t="s">
        <v>985</v>
      </c>
      <c r="F368" s="52"/>
      <c r="I368" s="42"/>
      <c r="P368" s="28" t="s">
        <v>13</v>
      </c>
      <c r="Q368" s="28"/>
      <c r="R368" s="28" t="s">
        <v>13</v>
      </c>
      <c r="S368" s="28"/>
      <c r="T368" s="28"/>
    </row>
    <row r="369" spans="1:29" ht="15" customHeight="1">
      <c r="A369" s="49">
        <v>62</v>
      </c>
      <c r="B369" s="49" t="s">
        <v>115</v>
      </c>
      <c r="C369" s="50" t="s">
        <v>116</v>
      </c>
      <c r="D369" s="51" t="s">
        <v>575</v>
      </c>
      <c r="E369" s="57" t="s">
        <v>986</v>
      </c>
      <c r="F369" s="52"/>
      <c r="I369" s="42"/>
      <c r="P369" s="28"/>
      <c r="Q369" s="28"/>
      <c r="R369" s="28"/>
      <c r="S369" s="28"/>
      <c r="T369" s="28"/>
    </row>
    <row r="370" spans="1:29" ht="15" customHeight="1">
      <c r="A370" s="49">
        <v>63</v>
      </c>
      <c r="B370" s="49" t="s">
        <v>117</v>
      </c>
      <c r="C370" s="50" t="s">
        <v>80</v>
      </c>
      <c r="D370" s="51" t="s">
        <v>812</v>
      </c>
      <c r="E370" s="63" t="s">
        <v>813</v>
      </c>
      <c r="F370" s="52" t="s">
        <v>801</v>
      </c>
      <c r="G370" s="53" t="s">
        <v>848</v>
      </c>
      <c r="H370" s="67"/>
      <c r="I370" s="93" t="s">
        <v>377</v>
      </c>
      <c r="J370" s="53" t="s">
        <v>815</v>
      </c>
      <c r="K370" s="67"/>
      <c r="L370" s="56" t="s">
        <v>416</v>
      </c>
      <c r="M370" s="53" t="s">
        <v>816</v>
      </c>
      <c r="O370" s="53" t="s">
        <v>817</v>
      </c>
      <c r="P370" s="28" t="s">
        <v>13</v>
      </c>
      <c r="Q370" s="28"/>
      <c r="R370" s="28" t="s">
        <v>13</v>
      </c>
      <c r="S370" s="28"/>
      <c r="T370" s="28"/>
      <c r="U370" s="1" t="s">
        <v>818</v>
      </c>
      <c r="V370" s="60" t="s">
        <v>819</v>
      </c>
    </row>
    <row r="371" spans="1:29" ht="15" customHeight="1">
      <c r="A371" s="49">
        <v>63</v>
      </c>
      <c r="B371" s="49" t="s">
        <v>117</v>
      </c>
      <c r="C371" s="50" t="s">
        <v>80</v>
      </c>
      <c r="D371" s="51" t="s">
        <v>698</v>
      </c>
      <c r="E371" s="63" t="s">
        <v>820</v>
      </c>
      <c r="F371" s="56" t="s">
        <v>821</v>
      </c>
      <c r="G371" s="53" t="s">
        <v>822</v>
      </c>
      <c r="H371" s="67"/>
      <c r="I371" s="93" t="s">
        <v>416</v>
      </c>
      <c r="J371" s="53" t="s">
        <v>823</v>
      </c>
      <c r="K371" s="67"/>
      <c r="L371" s="94" t="s">
        <v>377</v>
      </c>
      <c r="M371" s="53" t="s">
        <v>702</v>
      </c>
      <c r="O371" s="53" t="s">
        <v>817</v>
      </c>
      <c r="P371" s="28" t="s">
        <v>13</v>
      </c>
      <c r="Q371" s="28"/>
      <c r="R371" s="28" t="s">
        <v>13</v>
      </c>
      <c r="S371" s="28"/>
      <c r="T371" s="28"/>
      <c r="U371" s="1" t="s">
        <v>824</v>
      </c>
      <c r="V371" s="60" t="s">
        <v>825</v>
      </c>
    </row>
    <row r="372" spans="1:29" ht="15" customHeight="1">
      <c r="A372" s="49">
        <v>63</v>
      </c>
      <c r="B372" s="49" t="s">
        <v>117</v>
      </c>
      <c r="C372" s="50" t="s">
        <v>80</v>
      </c>
      <c r="D372" s="51" t="s">
        <v>705</v>
      </c>
      <c r="E372" s="63" t="s">
        <v>706</v>
      </c>
      <c r="F372" s="42" t="s">
        <v>826</v>
      </c>
      <c r="G372" s="57" t="s">
        <v>987</v>
      </c>
      <c r="I372" s="42" t="s">
        <v>416</v>
      </c>
      <c r="J372" s="53" t="s">
        <v>708</v>
      </c>
      <c r="L372" s="56" t="s">
        <v>416</v>
      </c>
      <c r="M372" s="53" t="s">
        <v>709</v>
      </c>
      <c r="O372" s="53" t="s">
        <v>817</v>
      </c>
      <c r="P372" s="28" t="s">
        <v>13</v>
      </c>
      <c r="Q372" s="28"/>
      <c r="R372" s="28" t="s">
        <v>13</v>
      </c>
      <c r="S372" s="28"/>
      <c r="T372" s="28"/>
      <c r="U372" s="1" t="s">
        <v>710</v>
      </c>
      <c r="V372" s="60" t="s">
        <v>711</v>
      </c>
      <c r="W372" s="1" t="s">
        <v>712</v>
      </c>
      <c r="X372" s="60" t="s">
        <v>713</v>
      </c>
      <c r="Y372" s="1" t="s">
        <v>714</v>
      </c>
      <c r="Z372" s="27" t="s">
        <v>715</v>
      </c>
      <c r="AB372" s="1" t="s">
        <v>988</v>
      </c>
      <c r="AC372" s="60" t="s">
        <v>989</v>
      </c>
    </row>
    <row r="373" spans="1:29" ht="15" customHeight="1">
      <c r="A373" s="49">
        <v>63</v>
      </c>
      <c r="B373" s="49" t="s">
        <v>117</v>
      </c>
      <c r="C373" s="50" t="s">
        <v>80</v>
      </c>
      <c r="D373" s="51" t="s">
        <v>705</v>
      </c>
      <c r="E373" s="63" t="s">
        <v>716</v>
      </c>
      <c r="F373" s="52" t="s">
        <v>801</v>
      </c>
      <c r="G373" s="53" t="s">
        <v>990</v>
      </c>
      <c r="I373" s="42" t="s">
        <v>416</v>
      </c>
      <c r="J373" s="53" t="s">
        <v>708</v>
      </c>
      <c r="L373" s="56" t="s">
        <v>405</v>
      </c>
      <c r="M373" s="53" t="s">
        <v>718</v>
      </c>
      <c r="O373" s="53" t="s">
        <v>817</v>
      </c>
      <c r="P373" s="28" t="s">
        <v>13</v>
      </c>
      <c r="Q373" s="28"/>
      <c r="R373" s="28" t="s">
        <v>13</v>
      </c>
      <c r="S373" s="28"/>
      <c r="T373" s="28"/>
      <c r="U373" s="1" t="s">
        <v>719</v>
      </c>
      <c r="V373" s="60" t="s">
        <v>720</v>
      </c>
      <c r="W373" s="1" t="s">
        <v>712</v>
      </c>
      <c r="X373" s="60" t="s">
        <v>713</v>
      </c>
      <c r="Y373" s="1" t="s">
        <v>721</v>
      </c>
      <c r="Z373" s="27" t="s">
        <v>722</v>
      </c>
    </row>
    <row r="374" spans="1:29" ht="15" customHeight="1">
      <c r="A374" s="49">
        <v>63</v>
      </c>
      <c r="B374" s="49" t="s">
        <v>117</v>
      </c>
      <c r="C374" s="50" t="s">
        <v>80</v>
      </c>
      <c r="D374" s="51" t="s">
        <v>723</v>
      </c>
      <c r="E374" s="51" t="s">
        <v>724</v>
      </c>
      <c r="F374" s="52" t="s">
        <v>801</v>
      </c>
      <c r="G374" s="53" t="s">
        <v>991</v>
      </c>
      <c r="I374" s="56" t="s">
        <v>403</v>
      </c>
      <c r="J374" s="53" t="s">
        <v>726</v>
      </c>
      <c r="L374" s="56" t="s">
        <v>379</v>
      </c>
      <c r="M374" s="53" t="s">
        <v>727</v>
      </c>
      <c r="O374" s="53" t="s">
        <v>817</v>
      </c>
      <c r="P374" s="28" t="s">
        <v>13</v>
      </c>
      <c r="Q374" s="28"/>
      <c r="R374" s="28" t="s">
        <v>13</v>
      </c>
      <c r="S374" s="28"/>
      <c r="T374" s="28"/>
      <c r="U374" s="1" t="s">
        <v>728</v>
      </c>
      <c r="V374" s="60" t="s">
        <v>729</v>
      </c>
      <c r="W374" s="1" t="s">
        <v>730</v>
      </c>
      <c r="Y374" s="1" t="s">
        <v>731</v>
      </c>
      <c r="Z374" s="60" t="s">
        <v>732</v>
      </c>
      <c r="AA374" s="1" t="s">
        <v>992</v>
      </c>
      <c r="AB374" s="60" t="s">
        <v>993</v>
      </c>
    </row>
    <row r="375" spans="1:29" ht="15" customHeight="1">
      <c r="A375" s="49">
        <v>63</v>
      </c>
      <c r="B375" s="49" t="s">
        <v>117</v>
      </c>
      <c r="C375" s="50" t="s">
        <v>80</v>
      </c>
      <c r="D375" s="51" t="s">
        <v>723</v>
      </c>
      <c r="E375" s="51" t="s">
        <v>735</v>
      </c>
      <c r="F375" s="52" t="s">
        <v>801</v>
      </c>
      <c r="G375" s="53" t="s">
        <v>991</v>
      </c>
      <c r="I375" s="42" t="s">
        <v>377</v>
      </c>
      <c r="J375" s="53" t="s">
        <v>830</v>
      </c>
      <c r="L375" s="56" t="s">
        <v>379</v>
      </c>
      <c r="M375" s="53" t="s">
        <v>737</v>
      </c>
      <c r="O375" s="53" t="s">
        <v>817</v>
      </c>
      <c r="P375" s="28" t="s">
        <v>13</v>
      </c>
      <c r="Q375" s="28"/>
      <c r="R375" s="28" t="s">
        <v>13</v>
      </c>
      <c r="S375" s="28"/>
      <c r="T375" s="28"/>
      <c r="U375" s="1" t="s">
        <v>738</v>
      </c>
      <c r="V375" s="60" t="s">
        <v>739</v>
      </c>
      <c r="W375" s="1" t="s">
        <v>728</v>
      </c>
      <c r="X375" s="60" t="s">
        <v>729</v>
      </c>
      <c r="Y375" s="1" t="s">
        <v>731</v>
      </c>
      <c r="Z375" s="60" t="s">
        <v>732</v>
      </c>
      <c r="AA375" s="1" t="s">
        <v>992</v>
      </c>
      <c r="AB375" s="60" t="s">
        <v>993</v>
      </c>
    </row>
    <row r="376" spans="1:29" ht="15" customHeight="1">
      <c r="A376" s="49">
        <v>63</v>
      </c>
      <c r="B376" s="49" t="s">
        <v>117</v>
      </c>
      <c r="C376" s="50" t="s">
        <v>80</v>
      </c>
      <c r="D376" s="51" t="s">
        <v>723</v>
      </c>
      <c r="E376" s="51" t="s">
        <v>740</v>
      </c>
      <c r="F376" s="52" t="s">
        <v>416</v>
      </c>
      <c r="G376" s="53" t="s">
        <v>741</v>
      </c>
      <c r="H376" s="96"/>
      <c r="I376" s="42" t="s">
        <v>416</v>
      </c>
      <c r="J376" s="53" t="s">
        <v>742</v>
      </c>
      <c r="L376" s="56" t="s">
        <v>377</v>
      </c>
      <c r="M376" s="53" t="s">
        <v>743</v>
      </c>
      <c r="O376" s="53" t="s">
        <v>817</v>
      </c>
      <c r="P376" s="28"/>
      <c r="Q376" s="28"/>
      <c r="R376" s="28"/>
      <c r="S376" s="28"/>
      <c r="T376" s="28"/>
      <c r="U376" s="1" t="s">
        <v>744</v>
      </c>
      <c r="V376" s="60" t="s">
        <v>745</v>
      </c>
      <c r="W376" s="1" t="s">
        <v>746</v>
      </c>
      <c r="X376" s="60" t="s">
        <v>747</v>
      </c>
      <c r="Y376" s="1"/>
      <c r="AA376" s="1"/>
    </row>
    <row r="377" spans="1:29" ht="15" customHeight="1">
      <c r="A377" s="49">
        <v>63</v>
      </c>
      <c r="B377" s="49" t="s">
        <v>117</v>
      </c>
      <c r="C377" s="50" t="s">
        <v>80</v>
      </c>
      <c r="D377" s="51" t="s">
        <v>809</v>
      </c>
      <c r="E377" s="51" t="s">
        <v>531</v>
      </c>
      <c r="F377" s="42" t="s">
        <v>826</v>
      </c>
      <c r="G377" s="53" t="s">
        <v>532</v>
      </c>
      <c r="H377" s="54"/>
      <c r="I377" s="42" t="s">
        <v>379</v>
      </c>
      <c r="J377" s="53" t="s">
        <v>831</v>
      </c>
      <c r="L377" s="56" t="s">
        <v>377</v>
      </c>
      <c r="M377" s="53" t="s">
        <v>534</v>
      </c>
      <c r="O377" s="53" t="s">
        <v>535</v>
      </c>
      <c r="P377" s="28" t="s">
        <v>13</v>
      </c>
      <c r="Q377" s="28"/>
      <c r="R377" s="28" t="s">
        <v>13</v>
      </c>
      <c r="S377" s="28"/>
      <c r="T377" s="28"/>
      <c r="U377" s="1" t="s">
        <v>536</v>
      </c>
      <c r="V377" s="60" t="s">
        <v>537</v>
      </c>
      <c r="W377" s="1" t="s">
        <v>538</v>
      </c>
      <c r="X377" s="60" t="s">
        <v>539</v>
      </c>
      <c r="Y377" s="1" t="s">
        <v>540</v>
      </c>
      <c r="Z377" s="60" t="s">
        <v>541</v>
      </c>
      <c r="AA377" s="1" t="s">
        <v>542</v>
      </c>
      <c r="AB377" s="60" t="s">
        <v>543</v>
      </c>
    </row>
    <row r="378" spans="1:29" ht="15" customHeight="1">
      <c r="A378" s="49">
        <v>63</v>
      </c>
      <c r="B378" s="49" t="s">
        <v>117</v>
      </c>
      <c r="C378" s="50" t="s">
        <v>80</v>
      </c>
      <c r="D378" s="51" t="s">
        <v>809</v>
      </c>
      <c r="E378" s="51" t="s">
        <v>544</v>
      </c>
      <c r="F378" s="42" t="s">
        <v>826</v>
      </c>
      <c r="G378" s="53" t="s">
        <v>545</v>
      </c>
      <c r="H378" s="54"/>
      <c r="I378" s="42" t="s">
        <v>379</v>
      </c>
      <c r="J378" s="53" t="s">
        <v>832</v>
      </c>
      <c r="L378" s="56" t="s">
        <v>377</v>
      </c>
      <c r="M378" s="53" t="s">
        <v>534</v>
      </c>
      <c r="N378" s="58"/>
      <c r="O378" s="53" t="s">
        <v>535</v>
      </c>
      <c r="P378" s="28" t="s">
        <v>13</v>
      </c>
      <c r="Q378" s="28"/>
      <c r="R378" s="28" t="s">
        <v>13</v>
      </c>
      <c r="S378" s="28"/>
      <c r="T378" s="28"/>
      <c r="U378" s="1" t="s">
        <v>536</v>
      </c>
      <c r="V378" s="60" t="s">
        <v>537</v>
      </c>
      <c r="W378" s="1" t="s">
        <v>538</v>
      </c>
      <c r="X378" s="60" t="s">
        <v>539</v>
      </c>
      <c r="Y378" s="1" t="s">
        <v>540</v>
      </c>
      <c r="Z378" s="60" t="s">
        <v>541</v>
      </c>
      <c r="AA378" s="1" t="s">
        <v>542</v>
      </c>
      <c r="AB378" s="60" t="s">
        <v>543</v>
      </c>
    </row>
    <row r="379" spans="1:29" ht="15" customHeight="1">
      <c r="A379" s="49">
        <v>64</v>
      </c>
      <c r="B379" s="49" t="s">
        <v>118</v>
      </c>
      <c r="C379" s="50" t="s">
        <v>12</v>
      </c>
      <c r="D379" s="51" t="s">
        <v>575</v>
      </c>
      <c r="E379" s="61" t="s">
        <v>808</v>
      </c>
      <c r="F379" s="52"/>
      <c r="I379" s="42"/>
      <c r="P379" s="28" t="s">
        <v>13</v>
      </c>
      <c r="Q379" s="28"/>
      <c r="R379" s="28" t="s">
        <v>13</v>
      </c>
      <c r="S379" s="28"/>
      <c r="T379" s="28"/>
    </row>
    <row r="380" spans="1:29" ht="15" customHeight="1">
      <c r="A380" s="49">
        <v>65</v>
      </c>
      <c r="B380" s="49" t="s">
        <v>119</v>
      </c>
      <c r="C380" s="50" t="s">
        <v>72</v>
      </c>
      <c r="D380" s="51" t="s">
        <v>812</v>
      </c>
      <c r="E380" s="63" t="s">
        <v>813</v>
      </c>
      <c r="F380" s="52" t="s">
        <v>801</v>
      </c>
      <c r="G380" s="53" t="s">
        <v>814</v>
      </c>
      <c r="H380" s="67"/>
      <c r="I380" s="93" t="s">
        <v>377</v>
      </c>
      <c r="J380" s="53" t="s">
        <v>815</v>
      </c>
      <c r="K380" s="67"/>
      <c r="L380" s="56" t="s">
        <v>416</v>
      </c>
      <c r="M380" s="53" t="s">
        <v>816</v>
      </c>
      <c r="O380" s="53" t="s">
        <v>817</v>
      </c>
      <c r="P380" s="28" t="s">
        <v>13</v>
      </c>
      <c r="Q380" s="28"/>
      <c r="R380" s="28" t="s">
        <v>13</v>
      </c>
      <c r="S380" s="28"/>
      <c r="T380" s="28"/>
      <c r="U380" s="1" t="s">
        <v>818</v>
      </c>
      <c r="V380" s="60" t="s">
        <v>819</v>
      </c>
    </row>
    <row r="381" spans="1:29" ht="15" customHeight="1">
      <c r="A381" s="49">
        <v>65</v>
      </c>
      <c r="B381" s="49" t="s">
        <v>119</v>
      </c>
      <c r="C381" s="50" t="s">
        <v>72</v>
      </c>
      <c r="D381" s="51" t="s">
        <v>698</v>
      </c>
      <c r="E381" s="63" t="s">
        <v>820</v>
      </c>
      <c r="F381" s="56" t="s">
        <v>821</v>
      </c>
      <c r="G381" s="53" t="s">
        <v>822</v>
      </c>
      <c r="H381" s="67"/>
      <c r="I381" s="93" t="s">
        <v>416</v>
      </c>
      <c r="J381" s="53" t="s">
        <v>823</v>
      </c>
      <c r="K381" s="67"/>
      <c r="L381" s="94" t="s">
        <v>377</v>
      </c>
      <c r="M381" s="53" t="s">
        <v>702</v>
      </c>
      <c r="O381" s="53" t="s">
        <v>817</v>
      </c>
      <c r="P381" s="28" t="s">
        <v>13</v>
      </c>
      <c r="Q381" s="28"/>
      <c r="R381" s="28" t="s">
        <v>13</v>
      </c>
      <c r="S381" s="28"/>
      <c r="T381" s="28"/>
      <c r="U381" s="1" t="s">
        <v>824</v>
      </c>
      <c r="V381" s="60" t="s">
        <v>825</v>
      </c>
    </row>
    <row r="382" spans="1:29" ht="15" customHeight="1">
      <c r="A382" s="49">
        <v>65</v>
      </c>
      <c r="B382" s="49" t="s">
        <v>119</v>
      </c>
      <c r="C382" s="50" t="s">
        <v>72</v>
      </c>
      <c r="D382" s="51" t="s">
        <v>705</v>
      </c>
      <c r="E382" s="63" t="s">
        <v>706</v>
      </c>
      <c r="F382" s="42" t="s">
        <v>826</v>
      </c>
      <c r="G382" s="53" t="s">
        <v>827</v>
      </c>
      <c r="I382" s="42" t="s">
        <v>416</v>
      </c>
      <c r="J382" s="53" t="s">
        <v>708</v>
      </c>
      <c r="L382" s="56" t="s">
        <v>416</v>
      </c>
      <c r="M382" s="53" t="s">
        <v>709</v>
      </c>
      <c r="O382" s="53" t="s">
        <v>817</v>
      </c>
      <c r="P382" s="28" t="s">
        <v>13</v>
      </c>
      <c r="Q382" s="28"/>
      <c r="R382" s="28" t="s">
        <v>13</v>
      </c>
      <c r="S382" s="28"/>
      <c r="T382" s="28"/>
      <c r="U382" s="1" t="s">
        <v>710</v>
      </c>
      <c r="V382" s="60" t="s">
        <v>711</v>
      </c>
      <c r="W382" s="1" t="s">
        <v>712</v>
      </c>
      <c r="X382" s="60" t="s">
        <v>713</v>
      </c>
      <c r="Y382" s="1" t="s">
        <v>714</v>
      </c>
      <c r="Z382" s="27" t="s">
        <v>715</v>
      </c>
    </row>
    <row r="383" spans="1:29" ht="15" customHeight="1">
      <c r="A383" s="49">
        <v>65</v>
      </c>
      <c r="B383" s="49" t="s">
        <v>119</v>
      </c>
      <c r="C383" s="50" t="s">
        <v>72</v>
      </c>
      <c r="D383" s="51" t="s">
        <v>705</v>
      </c>
      <c r="E383" s="63" t="s">
        <v>716</v>
      </c>
      <c r="F383" s="52" t="s">
        <v>801</v>
      </c>
      <c r="G383" s="53" t="s">
        <v>717</v>
      </c>
      <c r="I383" s="42" t="s">
        <v>416</v>
      </c>
      <c r="J383" s="53" t="s">
        <v>708</v>
      </c>
      <c r="L383" s="56" t="s">
        <v>405</v>
      </c>
      <c r="M383" s="53" t="s">
        <v>718</v>
      </c>
      <c r="O383" s="53" t="s">
        <v>817</v>
      </c>
      <c r="P383" s="28" t="s">
        <v>13</v>
      </c>
      <c r="Q383" s="28"/>
      <c r="R383" s="28" t="s">
        <v>13</v>
      </c>
      <c r="S383" s="28"/>
      <c r="T383" s="28"/>
      <c r="U383" s="1" t="s">
        <v>719</v>
      </c>
      <c r="V383" s="60" t="s">
        <v>720</v>
      </c>
      <c r="W383" s="1" t="s">
        <v>712</v>
      </c>
      <c r="X383" s="60" t="s">
        <v>713</v>
      </c>
      <c r="Y383" s="1" t="s">
        <v>721</v>
      </c>
      <c r="Z383" s="27" t="s">
        <v>722</v>
      </c>
    </row>
    <row r="384" spans="1:29" ht="15" customHeight="1">
      <c r="A384" s="49">
        <v>65</v>
      </c>
      <c r="B384" s="49" t="s">
        <v>119</v>
      </c>
      <c r="C384" s="50" t="s">
        <v>72</v>
      </c>
      <c r="D384" s="51" t="s">
        <v>723</v>
      </c>
      <c r="E384" s="51" t="s">
        <v>724</v>
      </c>
      <c r="F384" s="52" t="s">
        <v>801</v>
      </c>
      <c r="G384" s="53" t="s">
        <v>828</v>
      </c>
      <c r="I384" s="56" t="s">
        <v>403</v>
      </c>
      <c r="J384" s="53" t="s">
        <v>726</v>
      </c>
      <c r="L384" s="56" t="s">
        <v>379</v>
      </c>
      <c r="M384" s="53" t="s">
        <v>727</v>
      </c>
      <c r="O384" s="53" t="s">
        <v>817</v>
      </c>
      <c r="P384" s="28" t="s">
        <v>13</v>
      </c>
      <c r="Q384" s="28"/>
      <c r="R384" s="28" t="s">
        <v>13</v>
      </c>
      <c r="S384" s="28"/>
      <c r="T384" s="28"/>
      <c r="U384" s="1" t="s">
        <v>728</v>
      </c>
      <c r="V384" s="60" t="s">
        <v>729</v>
      </c>
      <c r="W384" s="1" t="s">
        <v>730</v>
      </c>
      <c r="Y384" s="1" t="s">
        <v>731</v>
      </c>
      <c r="Z384" s="60" t="s">
        <v>732</v>
      </c>
    </row>
    <row r="385" spans="1:34" ht="15" customHeight="1">
      <c r="A385" s="49">
        <v>65</v>
      </c>
      <c r="B385" s="49" t="s">
        <v>119</v>
      </c>
      <c r="C385" s="50" t="s">
        <v>72</v>
      </c>
      <c r="D385" s="51" t="s">
        <v>723</v>
      </c>
      <c r="E385" s="51" t="s">
        <v>735</v>
      </c>
      <c r="F385" s="52" t="s">
        <v>801</v>
      </c>
      <c r="G385" s="53" t="s">
        <v>829</v>
      </c>
      <c r="I385" s="42" t="s">
        <v>377</v>
      </c>
      <c r="J385" s="53" t="s">
        <v>830</v>
      </c>
      <c r="L385" s="56" t="s">
        <v>379</v>
      </c>
      <c r="M385" s="53" t="s">
        <v>737</v>
      </c>
      <c r="O385" s="53" t="s">
        <v>817</v>
      </c>
      <c r="P385" s="28" t="s">
        <v>13</v>
      </c>
      <c r="Q385" s="28"/>
      <c r="R385" s="28" t="s">
        <v>13</v>
      </c>
      <c r="S385" s="28"/>
      <c r="T385" s="28"/>
      <c r="U385" s="1" t="s">
        <v>738</v>
      </c>
      <c r="V385" s="60" t="s">
        <v>739</v>
      </c>
      <c r="W385" s="1" t="s">
        <v>728</v>
      </c>
      <c r="X385" s="60" t="s">
        <v>729</v>
      </c>
      <c r="Y385" s="1" t="s">
        <v>731</v>
      </c>
      <c r="Z385" s="60" t="s">
        <v>732</v>
      </c>
    </row>
    <row r="386" spans="1:34" ht="15" customHeight="1">
      <c r="A386" s="49">
        <v>65</v>
      </c>
      <c r="B386" s="49" t="s">
        <v>119</v>
      </c>
      <c r="C386" s="50"/>
      <c r="D386" s="51" t="s">
        <v>723</v>
      </c>
      <c r="E386" s="51" t="s">
        <v>740</v>
      </c>
      <c r="F386" s="52" t="s">
        <v>416</v>
      </c>
      <c r="G386" s="53" t="s">
        <v>741</v>
      </c>
      <c r="H386" s="96"/>
      <c r="I386" s="42" t="s">
        <v>416</v>
      </c>
      <c r="J386" s="53" t="s">
        <v>742</v>
      </c>
      <c r="L386" s="56" t="s">
        <v>377</v>
      </c>
      <c r="M386" s="53" t="s">
        <v>743</v>
      </c>
      <c r="O386" s="53"/>
      <c r="P386" s="28"/>
      <c r="Q386" s="28"/>
      <c r="R386" s="28"/>
      <c r="S386" s="28"/>
      <c r="T386" s="28"/>
      <c r="U386" s="1" t="s">
        <v>744</v>
      </c>
      <c r="V386" s="60" t="s">
        <v>745</v>
      </c>
      <c r="W386" s="1" t="s">
        <v>746</v>
      </c>
      <c r="X386" s="60" t="s">
        <v>747</v>
      </c>
      <c r="Y386" s="1"/>
    </row>
    <row r="387" spans="1:34" ht="15" customHeight="1">
      <c r="A387" s="49">
        <v>65</v>
      </c>
      <c r="B387" s="49" t="s">
        <v>119</v>
      </c>
      <c r="C387" s="50" t="s">
        <v>72</v>
      </c>
      <c r="D387" s="51" t="s">
        <v>809</v>
      </c>
      <c r="E387" s="51" t="s">
        <v>531</v>
      </c>
      <c r="F387" s="42" t="s">
        <v>826</v>
      </c>
      <c r="G387" s="53" t="s">
        <v>532</v>
      </c>
      <c r="H387" s="54"/>
      <c r="I387" s="42" t="s">
        <v>379</v>
      </c>
      <c r="J387" s="53" t="s">
        <v>831</v>
      </c>
      <c r="L387" s="56" t="s">
        <v>377</v>
      </c>
      <c r="M387" s="53" t="s">
        <v>534</v>
      </c>
      <c r="O387" s="53" t="s">
        <v>535</v>
      </c>
      <c r="P387" s="28" t="s">
        <v>13</v>
      </c>
      <c r="Q387" s="28"/>
      <c r="R387" s="28" t="s">
        <v>13</v>
      </c>
      <c r="S387" s="28"/>
      <c r="T387" s="28"/>
      <c r="U387" s="1" t="s">
        <v>536</v>
      </c>
      <c r="V387" s="60" t="s">
        <v>537</v>
      </c>
      <c r="W387" s="1" t="s">
        <v>538</v>
      </c>
      <c r="X387" s="60" t="s">
        <v>539</v>
      </c>
      <c r="Y387" s="1" t="s">
        <v>540</v>
      </c>
      <c r="Z387" s="60" t="s">
        <v>541</v>
      </c>
      <c r="AA387" s="1" t="s">
        <v>542</v>
      </c>
      <c r="AB387" s="60" t="s">
        <v>543</v>
      </c>
    </row>
    <row r="388" spans="1:34" ht="15" customHeight="1">
      <c r="A388" s="49">
        <v>65</v>
      </c>
      <c r="B388" s="49" t="s">
        <v>119</v>
      </c>
      <c r="C388" s="50" t="s">
        <v>72</v>
      </c>
      <c r="D388" s="51" t="s">
        <v>809</v>
      </c>
      <c r="E388" s="51" t="s">
        <v>544</v>
      </c>
      <c r="F388" s="42" t="s">
        <v>826</v>
      </c>
      <c r="G388" s="53" t="s">
        <v>545</v>
      </c>
      <c r="H388" s="54"/>
      <c r="I388" s="42" t="s">
        <v>379</v>
      </c>
      <c r="J388" s="53" t="s">
        <v>832</v>
      </c>
      <c r="L388" s="56" t="s">
        <v>377</v>
      </c>
      <c r="M388" s="53" t="s">
        <v>534</v>
      </c>
      <c r="N388" s="58"/>
      <c r="O388" s="53" t="s">
        <v>535</v>
      </c>
      <c r="P388" s="28" t="s">
        <v>13</v>
      </c>
      <c r="Q388" s="28"/>
      <c r="R388" s="28" t="s">
        <v>13</v>
      </c>
      <c r="S388" s="28"/>
      <c r="T388" s="28"/>
      <c r="U388" s="1" t="s">
        <v>536</v>
      </c>
      <c r="V388" s="60" t="s">
        <v>537</v>
      </c>
      <c r="W388" s="1" t="s">
        <v>538</v>
      </c>
      <c r="X388" s="60" t="s">
        <v>539</v>
      </c>
      <c r="Y388" s="1" t="s">
        <v>540</v>
      </c>
      <c r="Z388" s="60" t="s">
        <v>541</v>
      </c>
      <c r="AA388" s="1" t="s">
        <v>542</v>
      </c>
      <c r="AB388" s="60" t="s">
        <v>543</v>
      </c>
    </row>
    <row r="389" spans="1:34" ht="15" customHeight="1">
      <c r="A389" s="49">
        <v>66</v>
      </c>
      <c r="B389" s="49" t="s">
        <v>120</v>
      </c>
      <c r="C389" s="50" t="s">
        <v>121</v>
      </c>
      <c r="D389" s="51" t="s">
        <v>812</v>
      </c>
      <c r="E389" s="57" t="s">
        <v>813</v>
      </c>
      <c r="F389" s="52" t="s">
        <v>801</v>
      </c>
      <c r="G389" s="53" t="s">
        <v>814</v>
      </c>
      <c r="H389" s="67"/>
      <c r="I389" s="93" t="s">
        <v>377</v>
      </c>
      <c r="J389" s="53" t="s">
        <v>815</v>
      </c>
      <c r="K389" s="67"/>
      <c r="L389" s="56" t="s">
        <v>416</v>
      </c>
      <c r="M389" s="53" t="s">
        <v>816</v>
      </c>
      <c r="O389" s="53" t="s">
        <v>817</v>
      </c>
      <c r="P389" s="28" t="s">
        <v>13</v>
      </c>
      <c r="Q389" s="28"/>
      <c r="R389" s="28" t="s">
        <v>13</v>
      </c>
      <c r="S389" s="28"/>
      <c r="T389" s="28"/>
      <c r="U389" s="1" t="s">
        <v>818</v>
      </c>
      <c r="V389" s="60" t="s">
        <v>819</v>
      </c>
    </row>
    <row r="390" spans="1:34" ht="15" customHeight="1">
      <c r="A390" s="49">
        <v>66</v>
      </c>
      <c r="B390" s="49" t="s">
        <v>120</v>
      </c>
      <c r="C390" s="50" t="s">
        <v>121</v>
      </c>
      <c r="D390" s="51" t="s">
        <v>698</v>
      </c>
      <c r="E390" s="57" t="s">
        <v>820</v>
      </c>
      <c r="F390" s="56" t="s">
        <v>821</v>
      </c>
      <c r="G390" s="53" t="s">
        <v>822</v>
      </c>
      <c r="H390" s="67"/>
      <c r="I390" s="93" t="s">
        <v>416</v>
      </c>
      <c r="J390" s="53" t="s">
        <v>823</v>
      </c>
      <c r="K390" s="67"/>
      <c r="L390" s="94" t="s">
        <v>377</v>
      </c>
      <c r="M390" s="53" t="s">
        <v>702</v>
      </c>
      <c r="O390" s="53" t="s">
        <v>817</v>
      </c>
      <c r="P390" s="28" t="s">
        <v>13</v>
      </c>
      <c r="Q390" s="28"/>
      <c r="R390" s="28" t="s">
        <v>13</v>
      </c>
      <c r="S390" s="28"/>
      <c r="T390" s="28"/>
      <c r="U390" s="1" t="s">
        <v>824</v>
      </c>
      <c r="V390" s="60" t="s">
        <v>825</v>
      </c>
    </row>
    <row r="391" spans="1:34" ht="15" customHeight="1">
      <c r="A391" s="49">
        <v>67</v>
      </c>
      <c r="B391" s="49" t="s">
        <v>122</v>
      </c>
      <c r="C391" s="50" t="s">
        <v>123</v>
      </c>
      <c r="D391" s="51" t="s">
        <v>812</v>
      </c>
      <c r="E391" s="57" t="s">
        <v>813</v>
      </c>
      <c r="F391" s="52" t="s">
        <v>801</v>
      </c>
      <c r="G391" s="53" t="s">
        <v>814</v>
      </c>
      <c r="H391" s="67"/>
      <c r="I391" s="93" t="s">
        <v>377</v>
      </c>
      <c r="J391" s="53" t="s">
        <v>815</v>
      </c>
      <c r="K391" s="67"/>
      <c r="L391" s="56" t="s">
        <v>416</v>
      </c>
      <c r="M391" s="53" t="s">
        <v>816</v>
      </c>
      <c r="O391" s="53" t="s">
        <v>817</v>
      </c>
      <c r="P391" s="28" t="s">
        <v>13</v>
      </c>
      <c r="Q391" s="28"/>
      <c r="R391" s="28" t="s">
        <v>13</v>
      </c>
      <c r="S391" s="28"/>
      <c r="T391" s="28"/>
      <c r="U391" s="1" t="s">
        <v>818</v>
      </c>
      <c r="V391" s="60" t="s">
        <v>819</v>
      </c>
    </row>
    <row r="392" spans="1:34" ht="15" customHeight="1">
      <c r="A392" s="49">
        <v>67</v>
      </c>
      <c r="B392" s="49" t="s">
        <v>122</v>
      </c>
      <c r="C392" s="50" t="s">
        <v>123</v>
      </c>
      <c r="D392" s="51" t="s">
        <v>698</v>
      </c>
      <c r="E392" s="57" t="s">
        <v>820</v>
      </c>
      <c r="F392" s="56" t="s">
        <v>821</v>
      </c>
      <c r="G392" s="53" t="s">
        <v>822</v>
      </c>
      <c r="H392" s="67"/>
      <c r="I392" s="93" t="s">
        <v>416</v>
      </c>
      <c r="J392" s="53" t="s">
        <v>823</v>
      </c>
      <c r="K392" s="67"/>
      <c r="L392" s="94" t="s">
        <v>377</v>
      </c>
      <c r="M392" s="53" t="s">
        <v>702</v>
      </c>
      <c r="O392" s="53" t="s">
        <v>817</v>
      </c>
      <c r="P392" s="28" t="s">
        <v>13</v>
      </c>
      <c r="Q392" s="28"/>
      <c r="R392" s="28" t="s">
        <v>13</v>
      </c>
      <c r="S392" s="28"/>
      <c r="T392" s="28"/>
      <c r="U392" s="1" t="s">
        <v>824</v>
      </c>
      <c r="V392" s="60" t="s">
        <v>825</v>
      </c>
    </row>
    <row r="393" spans="1:34" ht="15" customHeight="1">
      <c r="A393" s="49">
        <v>68</v>
      </c>
      <c r="B393" s="49" t="s">
        <v>124</v>
      </c>
      <c r="C393" s="50" t="s">
        <v>12</v>
      </c>
      <c r="D393" s="51" t="s">
        <v>812</v>
      </c>
      <c r="E393" s="57" t="s">
        <v>813</v>
      </c>
      <c r="F393" s="52" t="s">
        <v>801</v>
      </c>
      <c r="G393" s="53" t="s">
        <v>814</v>
      </c>
      <c r="H393" s="67"/>
      <c r="I393" s="93" t="s">
        <v>377</v>
      </c>
      <c r="J393" s="53" t="s">
        <v>815</v>
      </c>
      <c r="K393" s="67"/>
      <c r="L393" s="56" t="s">
        <v>416</v>
      </c>
      <c r="M393" s="53" t="s">
        <v>816</v>
      </c>
      <c r="O393" s="53" t="s">
        <v>817</v>
      </c>
      <c r="P393" s="28" t="s">
        <v>13</v>
      </c>
      <c r="Q393" s="28"/>
      <c r="R393" s="28" t="s">
        <v>13</v>
      </c>
      <c r="S393" s="28"/>
      <c r="T393" s="28"/>
      <c r="U393" s="1" t="s">
        <v>818</v>
      </c>
      <c r="V393" s="60" t="s">
        <v>819</v>
      </c>
    </row>
    <row r="394" spans="1:34" ht="15" customHeight="1">
      <c r="A394" s="49">
        <v>68</v>
      </c>
      <c r="B394" s="49" t="s">
        <v>124</v>
      </c>
      <c r="C394" s="50" t="s">
        <v>12</v>
      </c>
      <c r="D394" s="51" t="s">
        <v>698</v>
      </c>
      <c r="E394" s="57" t="s">
        <v>820</v>
      </c>
      <c r="F394" s="56" t="s">
        <v>821</v>
      </c>
      <c r="G394" s="53" t="s">
        <v>822</v>
      </c>
      <c r="H394" s="67"/>
      <c r="I394" s="93" t="s">
        <v>416</v>
      </c>
      <c r="J394" s="53" t="s">
        <v>823</v>
      </c>
      <c r="K394" s="67"/>
      <c r="L394" s="94" t="s">
        <v>377</v>
      </c>
      <c r="M394" s="53" t="s">
        <v>702</v>
      </c>
      <c r="O394" s="53" t="s">
        <v>817</v>
      </c>
      <c r="P394" s="28" t="s">
        <v>13</v>
      </c>
      <c r="Q394" s="28"/>
      <c r="R394" s="28" t="s">
        <v>13</v>
      </c>
      <c r="S394" s="28"/>
      <c r="T394" s="28"/>
      <c r="U394" s="1" t="s">
        <v>824</v>
      </c>
      <c r="V394" s="60" t="s">
        <v>825</v>
      </c>
    </row>
    <row r="395" spans="1:34" ht="15" customHeight="1">
      <c r="A395" s="49">
        <v>69</v>
      </c>
      <c r="B395" s="49" t="s">
        <v>125</v>
      </c>
      <c r="C395" s="50" t="s">
        <v>12</v>
      </c>
      <c r="D395" s="83" t="s">
        <v>994</v>
      </c>
      <c r="E395" s="57" t="s">
        <v>430</v>
      </c>
      <c r="F395" s="52" t="s">
        <v>379</v>
      </c>
      <c r="G395" s="53" t="s">
        <v>581</v>
      </c>
      <c r="H395" s="54"/>
      <c r="I395" s="42" t="s">
        <v>379</v>
      </c>
      <c r="J395" s="53" t="s">
        <v>565</v>
      </c>
      <c r="K395" s="54"/>
      <c r="L395" s="56" t="s">
        <v>405</v>
      </c>
      <c r="M395" s="53" t="s">
        <v>433</v>
      </c>
      <c r="N395" s="58"/>
      <c r="O395" s="59"/>
      <c r="P395" s="28"/>
      <c r="Q395" s="28"/>
      <c r="R395" s="28"/>
      <c r="S395" s="28"/>
      <c r="T395" s="28"/>
      <c r="U395" s="1" t="s">
        <v>436</v>
      </c>
      <c r="V395" s="60" t="s">
        <v>437</v>
      </c>
      <c r="W395" s="1" t="s">
        <v>438</v>
      </c>
      <c r="X395" s="60" t="s">
        <v>439</v>
      </c>
      <c r="Y395" s="1" t="s">
        <v>440</v>
      </c>
      <c r="Z395" s="60" t="s">
        <v>441</v>
      </c>
      <c r="AA395" s="1" t="s">
        <v>442</v>
      </c>
      <c r="AB395" s="60" t="s">
        <v>437</v>
      </c>
      <c r="AE395" s="60"/>
      <c r="AF395" s="60"/>
      <c r="AG395" s="60"/>
    </row>
    <row r="396" spans="1:34" ht="15" customHeight="1">
      <c r="A396" s="49">
        <v>69</v>
      </c>
      <c r="B396" s="49" t="s">
        <v>125</v>
      </c>
      <c r="C396" s="50" t="s">
        <v>12</v>
      </c>
      <c r="D396" s="83" t="s">
        <v>582</v>
      </c>
      <c r="E396" s="57" t="s">
        <v>583</v>
      </c>
      <c r="F396" s="52" t="s">
        <v>379</v>
      </c>
      <c r="G396" s="53" t="s">
        <v>910</v>
      </c>
      <c r="H396" s="54"/>
      <c r="I396" s="56" t="s">
        <v>403</v>
      </c>
      <c r="J396" s="53" t="s">
        <v>585</v>
      </c>
      <c r="K396" s="54"/>
      <c r="L396" s="56" t="s">
        <v>379</v>
      </c>
      <c r="M396" s="53" t="s">
        <v>586</v>
      </c>
      <c r="N396" s="58"/>
      <c r="O396" s="59"/>
      <c r="P396" s="28"/>
      <c r="Q396" s="28"/>
      <c r="R396" s="28"/>
      <c r="S396" s="28"/>
      <c r="T396" s="28"/>
      <c r="U396" s="1" t="s">
        <v>587</v>
      </c>
      <c r="V396" s="74" t="s">
        <v>588</v>
      </c>
      <c r="W396" s="1" t="s">
        <v>589</v>
      </c>
      <c r="X396" s="74" t="s">
        <v>590</v>
      </c>
      <c r="Y396" s="1" t="s">
        <v>591</v>
      </c>
      <c r="Z396" s="74" t="s">
        <v>592</v>
      </c>
      <c r="AA396" s="1" t="s">
        <v>593</v>
      </c>
      <c r="AB396" s="74" t="s">
        <v>594</v>
      </c>
      <c r="AC396" s="74"/>
      <c r="AD396" s="1" t="s">
        <v>595</v>
      </c>
      <c r="AE396" s="60" t="s">
        <v>596</v>
      </c>
      <c r="AF396" s="1" t="s">
        <v>597</v>
      </c>
      <c r="AG396" s="60" t="s">
        <v>598</v>
      </c>
    </row>
    <row r="397" spans="1:34" ht="15" customHeight="1">
      <c r="A397" s="49">
        <v>69</v>
      </c>
      <c r="B397" s="49" t="s">
        <v>125</v>
      </c>
      <c r="C397" s="50" t="s">
        <v>12</v>
      </c>
      <c r="D397" s="83" t="s">
        <v>582</v>
      </c>
      <c r="E397" s="57" t="s">
        <v>599</v>
      </c>
      <c r="F397" s="52" t="s">
        <v>416</v>
      </c>
      <c r="G397" s="53" t="s">
        <v>600</v>
      </c>
      <c r="H397" s="53"/>
      <c r="I397" s="42" t="s">
        <v>377</v>
      </c>
      <c r="J397" s="53" t="s">
        <v>601</v>
      </c>
      <c r="K397" s="53"/>
      <c r="L397" s="56" t="s">
        <v>405</v>
      </c>
      <c r="M397" s="53" t="s">
        <v>602</v>
      </c>
      <c r="N397" s="59"/>
      <c r="O397" s="59"/>
      <c r="P397" s="85"/>
      <c r="Q397" s="85"/>
      <c r="R397" s="85"/>
      <c r="S397" s="85"/>
      <c r="T397" s="85"/>
      <c r="U397" s="1" t="s">
        <v>603</v>
      </c>
      <c r="V397" s="60" t="s">
        <v>604</v>
      </c>
      <c r="AE397" s="60"/>
      <c r="AF397" s="60"/>
      <c r="AG397" s="60"/>
      <c r="AH397" s="60"/>
    </row>
    <row r="398" spans="1:34" ht="15" customHeight="1">
      <c r="A398" s="49">
        <v>69</v>
      </c>
      <c r="B398" s="49" t="s">
        <v>125</v>
      </c>
      <c r="C398" s="50" t="s">
        <v>12</v>
      </c>
      <c r="D398" s="83" t="s">
        <v>582</v>
      </c>
      <c r="E398" s="57" t="s">
        <v>605</v>
      </c>
      <c r="F398" s="52" t="s">
        <v>416</v>
      </c>
      <c r="G398" s="53" t="s">
        <v>606</v>
      </c>
      <c r="H398" s="54"/>
      <c r="I398" s="42" t="s">
        <v>377</v>
      </c>
      <c r="J398" s="53" t="s">
        <v>607</v>
      </c>
      <c r="K398" s="54"/>
      <c r="L398" s="56" t="s">
        <v>405</v>
      </c>
      <c r="M398" s="53" t="s">
        <v>608</v>
      </c>
      <c r="N398" s="58"/>
      <c r="O398" s="59"/>
      <c r="P398" s="28"/>
      <c r="Q398" s="28"/>
      <c r="R398" s="28"/>
      <c r="S398" s="28"/>
      <c r="T398" s="28"/>
      <c r="U398" s="1" t="s">
        <v>609</v>
      </c>
      <c r="V398" s="60" t="s">
        <v>610</v>
      </c>
      <c r="W398" s="1" t="s">
        <v>611</v>
      </c>
      <c r="X398" s="74" t="s">
        <v>612</v>
      </c>
      <c r="Y398" s="1"/>
      <c r="Z398" s="1" t="s">
        <v>613</v>
      </c>
      <c r="AA398" s="60" t="s">
        <v>614</v>
      </c>
      <c r="AB398" s="74"/>
      <c r="AC398" s="74"/>
      <c r="AD398" s="27"/>
      <c r="AG398" s="60"/>
      <c r="AH398" s="60"/>
    </row>
    <row r="399" spans="1:34" ht="15" customHeight="1">
      <c r="A399" s="49">
        <v>69</v>
      </c>
      <c r="B399" s="49" t="s">
        <v>125</v>
      </c>
      <c r="C399" s="50" t="s">
        <v>12</v>
      </c>
      <c r="D399" s="83" t="s">
        <v>582</v>
      </c>
      <c r="E399" s="57" t="s">
        <v>615</v>
      </c>
      <c r="F399" s="52" t="s">
        <v>416</v>
      </c>
      <c r="G399" s="53" t="s">
        <v>616</v>
      </c>
      <c r="H399" s="54"/>
      <c r="I399" s="56" t="s">
        <v>403</v>
      </c>
      <c r="J399" s="53" t="s">
        <v>617</v>
      </c>
      <c r="K399" s="54"/>
      <c r="L399" s="56" t="s">
        <v>379</v>
      </c>
      <c r="M399" s="53" t="s">
        <v>618</v>
      </c>
      <c r="N399" s="58"/>
      <c r="O399" s="59"/>
      <c r="P399" s="28"/>
      <c r="Q399" s="28"/>
      <c r="R399" s="28"/>
      <c r="S399" s="28"/>
      <c r="T399" s="28"/>
      <c r="U399" s="1" t="s">
        <v>609</v>
      </c>
      <c r="V399" s="60" t="s">
        <v>610</v>
      </c>
      <c r="W399" s="1" t="s">
        <v>619</v>
      </c>
      <c r="X399" s="27" t="s">
        <v>620</v>
      </c>
      <c r="Y399" s="1" t="s">
        <v>621</v>
      </c>
      <c r="Z399" s="27" t="s">
        <v>622</v>
      </c>
      <c r="AC399" s="27"/>
      <c r="AD399" s="27"/>
    </row>
    <row r="400" spans="1:34" ht="15" customHeight="1">
      <c r="A400" s="49">
        <v>69</v>
      </c>
      <c r="B400" s="49" t="s">
        <v>125</v>
      </c>
      <c r="C400" s="50" t="s">
        <v>12</v>
      </c>
      <c r="D400" s="83" t="s">
        <v>623</v>
      </c>
      <c r="E400" s="57" t="s">
        <v>624</v>
      </c>
      <c r="F400" s="52" t="s">
        <v>377</v>
      </c>
      <c r="G400" s="53" t="s">
        <v>625</v>
      </c>
      <c r="H400" s="54"/>
      <c r="I400" s="42" t="s">
        <v>416</v>
      </c>
      <c r="J400" s="53" t="s">
        <v>626</v>
      </c>
      <c r="K400" s="54"/>
      <c r="L400" s="56" t="s">
        <v>377</v>
      </c>
      <c r="M400" s="53" t="s">
        <v>627</v>
      </c>
      <c r="N400" s="58"/>
      <c r="O400" s="59"/>
      <c r="P400" s="28"/>
      <c r="Q400" s="28"/>
      <c r="R400" s="28"/>
      <c r="S400" s="28"/>
      <c r="T400" s="28"/>
      <c r="U400" s="1" t="s">
        <v>628</v>
      </c>
      <c r="V400" s="60" t="s">
        <v>629</v>
      </c>
      <c r="AC400" s="27"/>
      <c r="AD400" s="27"/>
    </row>
    <row r="401" spans="1:37" ht="15" customHeight="1">
      <c r="A401" s="49">
        <v>69</v>
      </c>
      <c r="B401" s="49" t="s">
        <v>125</v>
      </c>
      <c r="C401" s="50" t="s">
        <v>12</v>
      </c>
      <c r="D401" s="63" t="s">
        <v>630</v>
      </c>
      <c r="E401" s="57" t="s">
        <v>631</v>
      </c>
      <c r="F401" s="52" t="s">
        <v>416</v>
      </c>
      <c r="G401" s="57" t="s">
        <v>632</v>
      </c>
      <c r="H401" s="88"/>
      <c r="I401" s="42" t="s">
        <v>379</v>
      </c>
      <c r="J401" s="57" t="s">
        <v>633</v>
      </c>
      <c r="K401" s="88"/>
      <c r="L401" s="56" t="s">
        <v>377</v>
      </c>
      <c r="M401" s="57" t="s">
        <v>634</v>
      </c>
      <c r="N401" s="74"/>
      <c r="O401" s="74"/>
      <c r="P401" s="74"/>
      <c r="Q401" s="74"/>
      <c r="R401" s="74"/>
      <c r="S401" s="74"/>
      <c r="T401" s="74"/>
      <c r="U401" s="74" t="s">
        <v>635</v>
      </c>
      <c r="V401" s="60" t="s">
        <v>636</v>
      </c>
      <c r="W401" s="74"/>
      <c r="X401" s="74"/>
      <c r="Y401" s="74"/>
      <c r="Z401" s="74"/>
      <c r="AA401" s="74"/>
      <c r="AB401" s="74"/>
      <c r="AC401" s="74"/>
      <c r="AD401" s="74"/>
      <c r="AE401" s="75"/>
      <c r="AF401" s="75"/>
      <c r="AG401" s="75"/>
      <c r="AH401" s="75"/>
      <c r="AI401" s="75"/>
      <c r="AJ401" s="75"/>
      <c r="AK401" s="75"/>
    </row>
    <row r="402" spans="1:37" ht="15" customHeight="1">
      <c r="A402" s="49">
        <v>69</v>
      </c>
      <c r="B402" s="49" t="s">
        <v>125</v>
      </c>
      <c r="C402" s="50" t="s">
        <v>12</v>
      </c>
      <c r="D402" s="63" t="s">
        <v>630</v>
      </c>
      <c r="E402" s="57" t="s">
        <v>637</v>
      </c>
      <c r="F402" s="52" t="s">
        <v>638</v>
      </c>
      <c r="G402" s="57" t="s">
        <v>639</v>
      </c>
      <c r="H402" s="88"/>
      <c r="I402" s="42" t="s">
        <v>379</v>
      </c>
      <c r="J402" s="57" t="s">
        <v>633</v>
      </c>
      <c r="K402" s="88"/>
      <c r="L402" s="70" t="s">
        <v>377</v>
      </c>
      <c r="M402" s="57" t="s">
        <v>640</v>
      </c>
      <c r="N402" s="74"/>
      <c r="O402" s="74" t="s">
        <v>641</v>
      </c>
      <c r="P402" s="74"/>
      <c r="Q402" s="74"/>
      <c r="R402" s="74"/>
      <c r="S402" s="74"/>
      <c r="T402" s="74"/>
      <c r="U402" s="1" t="s">
        <v>642</v>
      </c>
      <c r="V402" s="60" t="s">
        <v>643</v>
      </c>
      <c r="W402" s="1" t="s">
        <v>644</v>
      </c>
      <c r="X402" s="27" t="s">
        <v>645</v>
      </c>
      <c r="Y402" s="74"/>
      <c r="Z402" s="74"/>
      <c r="AA402" s="74"/>
      <c r="AB402" s="74"/>
      <c r="AC402" s="74"/>
      <c r="AD402" s="74"/>
      <c r="AE402" s="75"/>
      <c r="AF402" s="75"/>
      <c r="AG402" s="75"/>
      <c r="AH402" s="75"/>
      <c r="AI402" s="75"/>
      <c r="AJ402" s="75"/>
      <c r="AK402" s="75"/>
    </row>
    <row r="403" spans="1:37" ht="15" customHeight="1">
      <c r="A403" s="49">
        <v>69</v>
      </c>
      <c r="B403" s="49" t="s">
        <v>125</v>
      </c>
      <c r="C403" s="50" t="s">
        <v>12</v>
      </c>
      <c r="D403" s="60" t="s">
        <v>646</v>
      </c>
      <c r="E403" s="57" t="s">
        <v>647</v>
      </c>
      <c r="F403" s="52" t="s">
        <v>416</v>
      </c>
      <c r="G403" s="57" t="s">
        <v>648</v>
      </c>
      <c r="H403" s="89"/>
      <c r="I403" s="42" t="s">
        <v>416</v>
      </c>
      <c r="J403" s="57" t="s">
        <v>649</v>
      </c>
      <c r="K403" s="89"/>
      <c r="L403" s="70" t="s">
        <v>416</v>
      </c>
      <c r="M403" s="57" t="s">
        <v>650</v>
      </c>
      <c r="N403" s="71"/>
      <c r="O403" s="71"/>
      <c r="P403" s="72" t="s">
        <v>13</v>
      </c>
      <c r="Q403" s="72" t="s">
        <v>14</v>
      </c>
      <c r="R403" s="72"/>
      <c r="S403" s="72"/>
      <c r="T403" s="72"/>
      <c r="U403" s="60" t="s">
        <v>651</v>
      </c>
      <c r="V403" s="90" t="s">
        <v>652</v>
      </c>
      <c r="W403" s="74" t="s">
        <v>653</v>
      </c>
      <c r="X403" s="74" t="s">
        <v>654</v>
      </c>
      <c r="Y403" s="74"/>
      <c r="Z403" s="74"/>
      <c r="AA403" s="74"/>
      <c r="AB403" s="74"/>
      <c r="AC403" s="74"/>
      <c r="AD403" s="74"/>
      <c r="AE403" s="75"/>
      <c r="AF403" s="75"/>
      <c r="AG403" s="75"/>
      <c r="AH403" s="75"/>
      <c r="AI403" s="75"/>
      <c r="AJ403" s="75"/>
      <c r="AK403" s="75"/>
    </row>
    <row r="404" spans="1:37" ht="15" customHeight="1">
      <c r="A404" s="49">
        <v>69</v>
      </c>
      <c r="B404" s="49" t="s">
        <v>125</v>
      </c>
      <c r="C404" s="50" t="s">
        <v>12</v>
      </c>
      <c r="D404" s="60" t="s">
        <v>655</v>
      </c>
      <c r="E404" s="57" t="s">
        <v>656</v>
      </c>
      <c r="F404" s="52" t="s">
        <v>379</v>
      </c>
      <c r="G404" s="57" t="s">
        <v>657</v>
      </c>
      <c r="H404" s="89"/>
      <c r="I404" s="42" t="s">
        <v>377</v>
      </c>
      <c r="J404" s="57" t="s">
        <v>658</v>
      </c>
      <c r="K404" s="89"/>
      <c r="L404" s="70" t="s">
        <v>379</v>
      </c>
      <c r="M404" s="57" t="s">
        <v>659</v>
      </c>
      <c r="N404" s="71"/>
      <c r="O404" s="60" t="s">
        <v>660</v>
      </c>
      <c r="P404" s="72"/>
      <c r="Q404" s="72"/>
      <c r="R404" s="72"/>
      <c r="S404" s="72"/>
      <c r="T404" s="74"/>
      <c r="U404" s="74"/>
      <c r="V404" s="74"/>
      <c r="W404" s="74"/>
      <c r="X404" s="74"/>
      <c r="Y404" s="74"/>
      <c r="Z404" s="74"/>
      <c r="AA404" s="74"/>
      <c r="AB404" s="74"/>
      <c r="AC404" s="74"/>
      <c r="AD404" s="74"/>
      <c r="AE404" s="75"/>
      <c r="AF404" s="75"/>
      <c r="AG404" s="75"/>
      <c r="AH404" s="75"/>
      <c r="AI404" s="75"/>
      <c r="AJ404" s="75"/>
      <c r="AK404" s="75"/>
    </row>
    <row r="405" spans="1:37" ht="15" customHeight="1">
      <c r="A405" s="49">
        <v>69</v>
      </c>
      <c r="B405" s="49" t="s">
        <v>125</v>
      </c>
      <c r="C405" s="50" t="s">
        <v>12</v>
      </c>
      <c r="D405" s="63" t="s">
        <v>547</v>
      </c>
      <c r="E405" s="57" t="s">
        <v>378</v>
      </c>
      <c r="F405" s="52" t="s">
        <v>379</v>
      </c>
      <c r="G405" s="57" t="s">
        <v>548</v>
      </c>
      <c r="H405" s="57"/>
      <c r="I405" s="43" t="s">
        <v>377</v>
      </c>
      <c r="J405" s="57" t="s">
        <v>549</v>
      </c>
      <c r="K405" s="69"/>
      <c r="L405" s="70" t="s">
        <v>416</v>
      </c>
      <c r="M405" s="57" t="s">
        <v>550</v>
      </c>
      <c r="N405" s="71"/>
      <c r="O405" s="71"/>
      <c r="P405" s="72"/>
      <c r="Q405" s="72"/>
      <c r="R405" s="72"/>
      <c r="S405" s="72"/>
      <c r="T405" s="72"/>
      <c r="U405" s="1" t="s">
        <v>551</v>
      </c>
      <c r="V405" s="60" t="s">
        <v>552</v>
      </c>
      <c r="W405" s="1" t="s">
        <v>553</v>
      </c>
      <c r="X405" s="73" t="s">
        <v>554</v>
      </c>
      <c r="Y405" s="1" t="s">
        <v>555</v>
      </c>
      <c r="Z405" s="60" t="s">
        <v>556</v>
      </c>
      <c r="AB405" s="74"/>
      <c r="AC405" s="74"/>
      <c r="AD405" s="74"/>
      <c r="AE405" s="74"/>
      <c r="AF405" s="74"/>
      <c r="AG405" s="75"/>
      <c r="AJ405" s="75"/>
      <c r="AK405" s="75"/>
    </row>
    <row r="406" spans="1:37" ht="15" customHeight="1">
      <c r="A406" s="49">
        <v>70</v>
      </c>
      <c r="B406" s="49" t="s">
        <v>126</v>
      </c>
      <c r="C406" s="50" t="s">
        <v>12</v>
      </c>
      <c r="D406" s="51" t="s">
        <v>812</v>
      </c>
      <c r="E406" s="57" t="s">
        <v>813</v>
      </c>
      <c r="F406" s="52" t="s">
        <v>801</v>
      </c>
      <c r="G406" s="53" t="s">
        <v>814</v>
      </c>
      <c r="H406" s="67"/>
      <c r="I406" s="93" t="s">
        <v>377</v>
      </c>
      <c r="J406" s="53" t="s">
        <v>815</v>
      </c>
      <c r="K406" s="67"/>
      <c r="L406" s="56" t="s">
        <v>416</v>
      </c>
      <c r="M406" s="57" t="s">
        <v>816</v>
      </c>
      <c r="O406" s="53" t="s">
        <v>817</v>
      </c>
      <c r="P406" s="28" t="s">
        <v>13</v>
      </c>
      <c r="Q406" s="28"/>
      <c r="R406" s="28" t="s">
        <v>13</v>
      </c>
      <c r="S406" s="28"/>
      <c r="T406" s="28"/>
      <c r="U406" s="1" t="s">
        <v>818</v>
      </c>
      <c r="V406" s="60" t="s">
        <v>819</v>
      </c>
    </row>
    <row r="407" spans="1:37" ht="15" customHeight="1">
      <c r="A407" s="49">
        <v>70</v>
      </c>
      <c r="B407" s="49" t="s">
        <v>126</v>
      </c>
      <c r="C407" s="50" t="s">
        <v>12</v>
      </c>
      <c r="D407" s="51" t="s">
        <v>698</v>
      </c>
      <c r="E407" s="57" t="s">
        <v>820</v>
      </c>
      <c r="F407" s="56" t="s">
        <v>821</v>
      </c>
      <c r="G407" s="53" t="s">
        <v>822</v>
      </c>
      <c r="H407" s="67"/>
      <c r="I407" s="93" t="s">
        <v>416</v>
      </c>
      <c r="J407" s="53" t="s">
        <v>823</v>
      </c>
      <c r="K407" s="67"/>
      <c r="L407" s="94" t="s">
        <v>377</v>
      </c>
      <c r="M407" s="57" t="s">
        <v>702</v>
      </c>
      <c r="O407" s="53" t="s">
        <v>817</v>
      </c>
      <c r="P407" s="28" t="s">
        <v>13</v>
      </c>
      <c r="Q407" s="28"/>
      <c r="R407" s="28" t="s">
        <v>13</v>
      </c>
      <c r="S407" s="28"/>
      <c r="T407" s="28"/>
      <c r="U407" s="57" t="s">
        <v>824</v>
      </c>
      <c r="V407" s="60" t="s">
        <v>825</v>
      </c>
      <c r="W407" s="57"/>
      <c r="Y407" s="57"/>
    </row>
    <row r="408" spans="1:37" ht="15" customHeight="1">
      <c r="A408" s="49">
        <v>71</v>
      </c>
      <c r="B408" s="49" t="s">
        <v>129</v>
      </c>
      <c r="C408" s="50" t="s">
        <v>130</v>
      </c>
      <c r="D408" s="51" t="s">
        <v>995</v>
      </c>
      <c r="E408" s="51" t="s">
        <v>378</v>
      </c>
      <c r="F408" s="52" t="s">
        <v>379</v>
      </c>
      <c r="G408" s="53" t="s">
        <v>996</v>
      </c>
      <c r="H408" s="27"/>
      <c r="I408" s="42" t="s">
        <v>379</v>
      </c>
      <c r="J408" s="53" t="s">
        <v>997</v>
      </c>
      <c r="L408" s="70" t="s">
        <v>377</v>
      </c>
      <c r="M408" s="57" t="s">
        <v>998</v>
      </c>
      <c r="N408" s="60"/>
      <c r="P408" s="28" t="s">
        <v>13</v>
      </c>
      <c r="Q408" s="28"/>
      <c r="R408" s="28" t="s">
        <v>13</v>
      </c>
      <c r="S408" s="28"/>
      <c r="T408" s="28"/>
      <c r="U408" s="57"/>
      <c r="W408" s="57"/>
      <c r="Y408" s="57"/>
    </row>
    <row r="409" spans="1:37" ht="15" customHeight="1">
      <c r="A409" s="49">
        <v>71</v>
      </c>
      <c r="B409" s="49" t="s">
        <v>129</v>
      </c>
      <c r="C409" s="50" t="s">
        <v>130</v>
      </c>
      <c r="D409" s="51" t="s">
        <v>890</v>
      </c>
      <c r="E409" s="51" t="s">
        <v>378</v>
      </c>
      <c r="F409" s="52" t="s">
        <v>379</v>
      </c>
      <c r="G409" s="53" t="s">
        <v>996</v>
      </c>
      <c r="H409" s="27"/>
      <c r="I409" s="42" t="s">
        <v>416</v>
      </c>
      <c r="J409" s="53" t="s">
        <v>892</v>
      </c>
      <c r="K409" s="27"/>
      <c r="L409" s="56" t="s">
        <v>416</v>
      </c>
      <c r="M409" s="57" t="s">
        <v>999</v>
      </c>
      <c r="P409" s="28" t="s">
        <v>13</v>
      </c>
      <c r="Q409" s="28"/>
      <c r="R409" s="28" t="s">
        <v>13</v>
      </c>
      <c r="S409" s="28"/>
      <c r="T409" s="28"/>
      <c r="U409" s="57" t="s">
        <v>894</v>
      </c>
      <c r="V409" s="60" t="s">
        <v>895</v>
      </c>
      <c r="W409" s="57" t="s">
        <v>896</v>
      </c>
      <c r="X409" s="60" t="s">
        <v>897</v>
      </c>
      <c r="Y409" s="57"/>
    </row>
    <row r="410" spans="1:37" ht="15" customHeight="1">
      <c r="A410" s="49">
        <v>72</v>
      </c>
      <c r="B410" s="49" t="s">
        <v>131</v>
      </c>
      <c r="C410" s="50" t="s">
        <v>132</v>
      </c>
      <c r="D410" s="51" t="s">
        <v>995</v>
      </c>
      <c r="E410" s="51" t="s">
        <v>378</v>
      </c>
      <c r="F410" s="52" t="s">
        <v>379</v>
      </c>
      <c r="G410" s="53" t="s">
        <v>996</v>
      </c>
      <c r="H410" s="27"/>
      <c r="I410" s="42" t="s">
        <v>379</v>
      </c>
      <c r="J410" s="53" t="s">
        <v>997</v>
      </c>
      <c r="L410" s="70" t="s">
        <v>377</v>
      </c>
      <c r="M410" s="57" t="s">
        <v>998</v>
      </c>
      <c r="N410" s="60"/>
      <c r="P410" s="28" t="s">
        <v>13</v>
      </c>
      <c r="Q410" s="28"/>
      <c r="R410" s="28" t="s">
        <v>13</v>
      </c>
      <c r="S410" s="28"/>
      <c r="T410" s="28"/>
      <c r="U410" s="57"/>
      <c r="W410" s="57"/>
      <c r="Y410" s="57"/>
    </row>
    <row r="411" spans="1:37" ht="15" customHeight="1">
      <c r="A411" s="49">
        <v>72</v>
      </c>
      <c r="B411" s="49" t="s">
        <v>131</v>
      </c>
      <c r="C411" s="50" t="s">
        <v>132</v>
      </c>
      <c r="D411" s="51" t="s">
        <v>890</v>
      </c>
      <c r="E411" s="51" t="s">
        <v>378</v>
      </c>
      <c r="F411" s="52" t="s">
        <v>379</v>
      </c>
      <c r="G411" s="53" t="s">
        <v>996</v>
      </c>
      <c r="H411" s="27"/>
      <c r="I411" s="42" t="s">
        <v>416</v>
      </c>
      <c r="J411" s="53" t="s">
        <v>892</v>
      </c>
      <c r="K411" s="27"/>
      <c r="L411" s="56" t="s">
        <v>416</v>
      </c>
      <c r="M411" s="57" t="s">
        <v>1000</v>
      </c>
      <c r="P411" s="28" t="s">
        <v>13</v>
      </c>
      <c r="Q411" s="28"/>
      <c r="R411" s="28" t="s">
        <v>13</v>
      </c>
      <c r="S411" s="28"/>
      <c r="T411" s="28"/>
      <c r="U411" s="57" t="s">
        <v>894</v>
      </c>
      <c r="V411" s="60" t="s">
        <v>895</v>
      </c>
      <c r="W411" s="1" t="s">
        <v>896</v>
      </c>
      <c r="X411" s="60" t="s">
        <v>897</v>
      </c>
      <c r="Y411" s="57"/>
    </row>
    <row r="412" spans="1:37" ht="15" customHeight="1">
      <c r="A412" s="49">
        <v>73</v>
      </c>
      <c r="B412" s="49" t="s">
        <v>133</v>
      </c>
      <c r="C412" s="50" t="s">
        <v>72</v>
      </c>
      <c r="D412" s="51" t="s">
        <v>1001</v>
      </c>
      <c r="E412" s="51" t="s">
        <v>378</v>
      </c>
      <c r="F412" s="52" t="s">
        <v>379</v>
      </c>
      <c r="G412" s="27" t="s">
        <v>1002</v>
      </c>
      <c r="I412" s="42" t="s">
        <v>379</v>
      </c>
      <c r="J412" s="53" t="s">
        <v>997</v>
      </c>
      <c r="L412" s="70" t="s">
        <v>377</v>
      </c>
      <c r="M412" s="57" t="s">
        <v>1003</v>
      </c>
      <c r="P412" s="28" t="s">
        <v>13</v>
      </c>
      <c r="Q412" s="28"/>
      <c r="R412" s="28" t="s">
        <v>13</v>
      </c>
      <c r="S412" s="28"/>
      <c r="T412" s="28"/>
    </row>
    <row r="413" spans="1:37" ht="15" customHeight="1">
      <c r="A413" s="49">
        <v>73</v>
      </c>
      <c r="B413" s="49" t="s">
        <v>133</v>
      </c>
      <c r="C413" s="50" t="s">
        <v>72</v>
      </c>
      <c r="D413" s="51" t="s">
        <v>890</v>
      </c>
      <c r="E413" s="51" t="s">
        <v>378</v>
      </c>
      <c r="F413" s="52" t="s">
        <v>379</v>
      </c>
      <c r="G413" s="27" t="s">
        <v>1002</v>
      </c>
      <c r="H413" s="27"/>
      <c r="I413" s="42" t="s">
        <v>416</v>
      </c>
      <c r="J413" s="53" t="s">
        <v>892</v>
      </c>
      <c r="K413" s="27"/>
      <c r="L413" s="56" t="s">
        <v>416</v>
      </c>
      <c r="M413" s="57" t="s">
        <v>893</v>
      </c>
      <c r="P413" s="28" t="s">
        <v>13</v>
      </c>
      <c r="Q413" s="28"/>
      <c r="R413" s="28" t="s">
        <v>13</v>
      </c>
      <c r="S413" s="28"/>
      <c r="T413" s="28"/>
      <c r="U413" s="57" t="s">
        <v>894</v>
      </c>
      <c r="V413" s="60" t="s">
        <v>895</v>
      </c>
      <c r="W413" s="57" t="s">
        <v>896</v>
      </c>
      <c r="X413" s="60" t="s">
        <v>897</v>
      </c>
      <c r="Y413" s="57"/>
    </row>
    <row r="414" spans="1:37" ht="15" customHeight="1">
      <c r="A414" s="49">
        <v>74</v>
      </c>
      <c r="B414" s="49" t="s">
        <v>134</v>
      </c>
      <c r="C414" s="50" t="s">
        <v>135</v>
      </c>
      <c r="D414" s="80" t="s">
        <v>849</v>
      </c>
      <c r="E414" s="80" t="s">
        <v>849</v>
      </c>
      <c r="F414" s="52"/>
      <c r="I414" s="42"/>
      <c r="P414" s="28" t="s">
        <v>13</v>
      </c>
      <c r="Q414" s="28"/>
      <c r="R414" s="28" t="s">
        <v>13</v>
      </c>
      <c r="S414" s="28"/>
      <c r="T414" s="28"/>
    </row>
    <row r="415" spans="1:37" ht="15" customHeight="1">
      <c r="A415" s="49">
        <v>75</v>
      </c>
      <c r="B415" s="49" t="s">
        <v>136</v>
      </c>
      <c r="C415" s="50" t="s">
        <v>137</v>
      </c>
      <c r="D415" s="80" t="s">
        <v>1004</v>
      </c>
      <c r="F415" s="52"/>
      <c r="G415" s="27"/>
      <c r="I415" s="42"/>
      <c r="P415" s="28" t="s">
        <v>13</v>
      </c>
      <c r="Q415" s="28"/>
      <c r="R415" s="28" t="s">
        <v>13</v>
      </c>
      <c r="S415" s="28"/>
      <c r="T415" s="28"/>
    </row>
    <row r="416" spans="1:37" ht="15" customHeight="1">
      <c r="A416" s="49">
        <v>76</v>
      </c>
      <c r="B416" s="49" t="s">
        <v>138</v>
      </c>
      <c r="C416" s="50" t="s">
        <v>139</v>
      </c>
      <c r="D416" s="51" t="s">
        <v>1005</v>
      </c>
      <c r="E416" s="80" t="s">
        <v>849</v>
      </c>
      <c r="F416" s="52"/>
      <c r="I416" s="42"/>
      <c r="P416" s="28" t="s">
        <v>13</v>
      </c>
      <c r="Q416" s="28"/>
      <c r="R416" s="28" t="s">
        <v>13</v>
      </c>
      <c r="S416" s="28"/>
      <c r="T416" s="28"/>
    </row>
    <row r="417" spans="1:24" s="60" customFormat="1" ht="15" customHeight="1">
      <c r="A417" s="49">
        <v>77</v>
      </c>
      <c r="B417" s="49" t="s">
        <v>140</v>
      </c>
      <c r="C417" s="50" t="s">
        <v>141</v>
      </c>
      <c r="D417" s="51" t="s">
        <v>1006</v>
      </c>
      <c r="E417" s="51" t="s">
        <v>1007</v>
      </c>
      <c r="F417" s="52" t="s">
        <v>416</v>
      </c>
      <c r="G417" s="67" t="s">
        <v>1008</v>
      </c>
      <c r="H417" s="65"/>
      <c r="I417" s="42" t="s">
        <v>379</v>
      </c>
      <c r="J417" s="67" t="s">
        <v>1009</v>
      </c>
      <c r="K417" s="65"/>
      <c r="L417" s="70" t="s">
        <v>416</v>
      </c>
      <c r="M417" s="53" t="s">
        <v>1010</v>
      </c>
      <c r="N417" s="27"/>
      <c r="P417" s="28" t="s">
        <v>13</v>
      </c>
      <c r="Q417" s="28"/>
      <c r="R417" s="28"/>
      <c r="S417" s="27"/>
      <c r="T417" s="28"/>
      <c r="U417" s="60" t="s">
        <v>1011</v>
      </c>
      <c r="V417" s="60" t="s">
        <v>1012</v>
      </c>
    </row>
    <row r="418" spans="1:24" s="60" customFormat="1" ht="15" customHeight="1">
      <c r="A418" s="49">
        <v>77</v>
      </c>
      <c r="B418" s="49" t="s">
        <v>140</v>
      </c>
      <c r="C418" s="50" t="s">
        <v>141</v>
      </c>
      <c r="D418" s="51" t="s">
        <v>1006</v>
      </c>
      <c r="E418" s="51" t="s">
        <v>1013</v>
      </c>
      <c r="F418" s="52" t="s">
        <v>379</v>
      </c>
      <c r="G418" s="67" t="s">
        <v>1014</v>
      </c>
      <c r="H418" s="65"/>
      <c r="I418" s="42" t="s">
        <v>405</v>
      </c>
      <c r="J418" s="67" t="s">
        <v>1015</v>
      </c>
      <c r="K418" s="65"/>
      <c r="L418" s="70" t="s">
        <v>379</v>
      </c>
      <c r="M418" s="53" t="s">
        <v>1016</v>
      </c>
      <c r="N418" s="27"/>
      <c r="P418" s="28"/>
      <c r="Q418" s="28"/>
      <c r="R418" s="28"/>
      <c r="S418" s="28"/>
      <c r="T418" s="28"/>
      <c r="U418" s="60" t="s">
        <v>1011</v>
      </c>
      <c r="V418" s="60" t="s">
        <v>1012</v>
      </c>
    </row>
    <row r="419" spans="1:24" s="60" customFormat="1" ht="15" customHeight="1">
      <c r="A419" s="49">
        <v>78</v>
      </c>
      <c r="B419" s="49" t="s">
        <v>142</v>
      </c>
      <c r="C419" s="50" t="s">
        <v>143</v>
      </c>
      <c r="D419" s="80" t="s">
        <v>692</v>
      </c>
      <c r="E419" s="80" t="s">
        <v>692</v>
      </c>
      <c r="F419" s="52"/>
      <c r="G419" s="67"/>
      <c r="H419" s="65"/>
      <c r="I419" s="42"/>
      <c r="J419" s="67"/>
      <c r="K419" s="65"/>
      <c r="L419" s="27"/>
      <c r="M419" s="53"/>
      <c r="N419" s="27"/>
      <c r="P419" s="28" t="s">
        <v>13</v>
      </c>
      <c r="Q419" s="28"/>
      <c r="R419" s="28" t="s">
        <v>13</v>
      </c>
      <c r="S419" s="28"/>
      <c r="T419" s="28"/>
    </row>
    <row r="420" spans="1:24" s="60" customFormat="1" ht="15" customHeight="1">
      <c r="A420" s="49">
        <v>79</v>
      </c>
      <c r="B420" s="49" t="s">
        <v>144</v>
      </c>
      <c r="C420" s="50" t="s">
        <v>12</v>
      </c>
      <c r="D420" s="80" t="s">
        <v>1017</v>
      </c>
      <c r="E420" s="51"/>
      <c r="F420" s="53"/>
      <c r="G420" s="67"/>
      <c r="H420" s="65"/>
      <c r="I420" s="42"/>
      <c r="J420" s="67"/>
      <c r="K420" s="65"/>
      <c r="L420" s="27"/>
      <c r="M420" s="53"/>
      <c r="N420" s="27"/>
      <c r="P420" s="28" t="s">
        <v>13</v>
      </c>
      <c r="Q420" s="28"/>
      <c r="R420" s="28" t="s">
        <v>13</v>
      </c>
      <c r="S420" s="28"/>
      <c r="T420" s="28"/>
    </row>
    <row r="421" spans="1:24" s="60" customFormat="1" ht="15" customHeight="1">
      <c r="A421" s="49">
        <v>80</v>
      </c>
      <c r="B421" s="49" t="s">
        <v>145</v>
      </c>
      <c r="C421" s="50" t="s">
        <v>12</v>
      </c>
      <c r="D421" s="80" t="s">
        <v>1018</v>
      </c>
      <c r="E421" s="101"/>
      <c r="F421" s="53"/>
      <c r="G421" s="67"/>
      <c r="H421" s="65"/>
      <c r="I421" s="42"/>
      <c r="J421" s="67"/>
      <c r="K421" s="65"/>
      <c r="L421" s="27"/>
      <c r="M421" s="53"/>
      <c r="N421" s="27"/>
      <c r="O421" s="27"/>
      <c r="P421" s="28" t="s">
        <v>13</v>
      </c>
      <c r="Q421" s="28"/>
      <c r="R421" s="28" t="s">
        <v>13</v>
      </c>
      <c r="S421" s="28"/>
      <c r="T421" s="28"/>
    </row>
    <row r="422" spans="1:24" s="60" customFormat="1" ht="15" customHeight="1">
      <c r="A422" s="49">
        <v>81</v>
      </c>
      <c r="B422" s="49" t="s">
        <v>146</v>
      </c>
      <c r="C422" s="50" t="s">
        <v>147</v>
      </c>
      <c r="D422" s="80" t="s">
        <v>1004</v>
      </c>
      <c r="E422" s="51"/>
      <c r="F422" s="52"/>
      <c r="G422" s="67"/>
      <c r="H422" s="65"/>
      <c r="I422" s="42"/>
      <c r="J422" s="67"/>
      <c r="K422" s="65"/>
      <c r="L422" s="27"/>
      <c r="M422" s="67"/>
      <c r="N422" s="27"/>
      <c r="O422" s="27" t="s">
        <v>1019</v>
      </c>
      <c r="P422" s="28" t="s">
        <v>13</v>
      </c>
      <c r="Q422" s="28"/>
      <c r="R422" s="28" t="s">
        <v>13</v>
      </c>
      <c r="S422" s="28"/>
      <c r="T422" s="28"/>
    </row>
    <row r="423" spans="1:24" s="60" customFormat="1" ht="15" customHeight="1">
      <c r="A423" s="49">
        <v>82</v>
      </c>
      <c r="B423" s="49" t="s">
        <v>149</v>
      </c>
      <c r="C423" s="50" t="s">
        <v>12</v>
      </c>
      <c r="D423" s="51" t="s">
        <v>1020</v>
      </c>
      <c r="E423" s="51" t="s">
        <v>378</v>
      </c>
      <c r="F423" s="52" t="s">
        <v>377</v>
      </c>
      <c r="G423" s="53" t="s">
        <v>1021</v>
      </c>
      <c r="H423" s="65"/>
      <c r="I423" s="42" t="s">
        <v>379</v>
      </c>
      <c r="J423" s="53" t="s">
        <v>1022</v>
      </c>
      <c r="K423" s="65"/>
      <c r="L423" s="70" t="s">
        <v>377</v>
      </c>
      <c r="M423" s="53" t="s">
        <v>1023</v>
      </c>
      <c r="N423" s="27"/>
      <c r="P423" s="28" t="s">
        <v>13</v>
      </c>
      <c r="Q423" s="28" t="s">
        <v>14</v>
      </c>
      <c r="R423" s="28"/>
      <c r="S423" s="28"/>
      <c r="T423" s="28"/>
      <c r="U423" s="1" t="s">
        <v>1024</v>
      </c>
      <c r="V423" s="60" t="s">
        <v>1025</v>
      </c>
    </row>
    <row r="424" spans="1:24" s="60" customFormat="1" ht="15" customHeight="1">
      <c r="A424" s="49">
        <v>82</v>
      </c>
      <c r="B424" s="49" t="s">
        <v>149</v>
      </c>
      <c r="C424" s="50" t="s">
        <v>12</v>
      </c>
      <c r="D424" s="51" t="s">
        <v>1026</v>
      </c>
      <c r="E424" s="51" t="s">
        <v>378</v>
      </c>
      <c r="F424" s="52" t="s">
        <v>416</v>
      </c>
      <c r="G424" s="53" t="s">
        <v>1027</v>
      </c>
      <c r="H424" s="65"/>
      <c r="I424" s="42" t="s">
        <v>379</v>
      </c>
      <c r="J424" s="53" t="s">
        <v>1028</v>
      </c>
      <c r="K424" s="65"/>
      <c r="L424" s="70" t="s">
        <v>416</v>
      </c>
      <c r="M424" s="53" t="s">
        <v>1029</v>
      </c>
      <c r="N424" s="27"/>
      <c r="P424" s="28"/>
      <c r="Q424" s="28"/>
      <c r="R424" s="28"/>
      <c r="S424" s="28"/>
      <c r="T424" s="28"/>
      <c r="U424" s="1" t="s">
        <v>1030</v>
      </c>
    </row>
    <row r="425" spans="1:24" s="60" customFormat="1" ht="15" customHeight="1">
      <c r="A425" s="49">
        <v>82</v>
      </c>
      <c r="B425" s="49" t="s">
        <v>149</v>
      </c>
      <c r="C425" s="50" t="s">
        <v>12</v>
      </c>
      <c r="D425" s="51" t="s">
        <v>1031</v>
      </c>
      <c r="E425" s="102" t="s">
        <v>1032</v>
      </c>
      <c r="F425" s="52" t="s">
        <v>379</v>
      </c>
      <c r="G425" s="53" t="s">
        <v>1033</v>
      </c>
      <c r="H425" s="65"/>
      <c r="I425" s="42" t="s">
        <v>416</v>
      </c>
      <c r="J425" s="53" t="s">
        <v>1034</v>
      </c>
      <c r="K425" s="65"/>
      <c r="L425" s="70" t="s">
        <v>379</v>
      </c>
      <c r="M425" s="53" t="s">
        <v>1035</v>
      </c>
      <c r="N425" s="27"/>
      <c r="P425" s="28"/>
      <c r="Q425" s="28"/>
      <c r="R425" s="28"/>
      <c r="S425" s="28"/>
      <c r="T425" s="28"/>
      <c r="U425" s="1" t="s">
        <v>1036</v>
      </c>
      <c r="V425" s="60" t="s">
        <v>1037</v>
      </c>
      <c r="W425" s="1" t="s">
        <v>1038</v>
      </c>
    </row>
    <row r="426" spans="1:24" s="60" customFormat="1" ht="15" customHeight="1">
      <c r="A426" s="49">
        <v>83</v>
      </c>
      <c r="B426" s="49" t="s">
        <v>150</v>
      </c>
      <c r="C426" s="50" t="s">
        <v>130</v>
      </c>
      <c r="D426" s="51" t="s">
        <v>1039</v>
      </c>
      <c r="E426" s="51" t="s">
        <v>378</v>
      </c>
      <c r="F426" s="52" t="s">
        <v>416</v>
      </c>
      <c r="G426" s="53" t="s">
        <v>996</v>
      </c>
      <c r="H426" s="65"/>
      <c r="I426" s="42" t="s">
        <v>379</v>
      </c>
      <c r="J426" s="53" t="s">
        <v>1022</v>
      </c>
      <c r="K426" s="65"/>
      <c r="L426" s="70" t="s">
        <v>377</v>
      </c>
      <c r="M426" s="53" t="s">
        <v>1040</v>
      </c>
      <c r="N426" s="27"/>
      <c r="P426" s="28" t="s">
        <v>13</v>
      </c>
      <c r="Q426" s="28"/>
      <c r="R426" s="28" t="s">
        <v>13</v>
      </c>
      <c r="S426" s="28"/>
      <c r="T426" s="28"/>
    </row>
    <row r="427" spans="1:24" s="60" customFormat="1" ht="15" customHeight="1">
      <c r="A427" s="49">
        <v>83</v>
      </c>
      <c r="B427" s="49" t="s">
        <v>150</v>
      </c>
      <c r="C427" s="50" t="s">
        <v>130</v>
      </c>
      <c r="D427" s="51" t="s">
        <v>1026</v>
      </c>
      <c r="E427" s="51" t="s">
        <v>378</v>
      </c>
      <c r="F427" s="52" t="s">
        <v>416</v>
      </c>
      <c r="G427" s="53" t="s">
        <v>1027</v>
      </c>
      <c r="H427" s="65"/>
      <c r="I427" s="42" t="s">
        <v>379</v>
      </c>
      <c r="J427" s="53" t="s">
        <v>1028</v>
      </c>
      <c r="K427" s="65"/>
      <c r="L427" s="70" t="s">
        <v>416</v>
      </c>
      <c r="M427" s="53" t="s">
        <v>1029</v>
      </c>
      <c r="N427" s="27"/>
      <c r="P427" s="28"/>
      <c r="Q427" s="28"/>
      <c r="R427" s="28"/>
      <c r="S427" s="28"/>
      <c r="T427" s="28"/>
      <c r="U427" s="1" t="s">
        <v>1030</v>
      </c>
    </row>
    <row r="428" spans="1:24" s="60" customFormat="1" ht="15" customHeight="1">
      <c r="A428" s="49">
        <v>83</v>
      </c>
      <c r="B428" s="49" t="s">
        <v>150</v>
      </c>
      <c r="C428" s="50" t="s">
        <v>130</v>
      </c>
      <c r="D428" s="51" t="s">
        <v>1031</v>
      </c>
      <c r="E428" s="102" t="s">
        <v>1032</v>
      </c>
      <c r="F428" s="52" t="s">
        <v>379</v>
      </c>
      <c r="G428" s="53" t="s">
        <v>1033</v>
      </c>
      <c r="H428" s="65"/>
      <c r="I428" s="42" t="s">
        <v>416</v>
      </c>
      <c r="J428" s="53" t="s">
        <v>1034</v>
      </c>
      <c r="K428" s="65"/>
      <c r="L428" s="70" t="s">
        <v>379</v>
      </c>
      <c r="M428" s="53" t="s">
        <v>1035</v>
      </c>
      <c r="N428" s="27"/>
      <c r="P428" s="28"/>
      <c r="Q428" s="28"/>
      <c r="R428" s="28"/>
      <c r="S428" s="28"/>
      <c r="T428" s="28"/>
      <c r="U428" s="1" t="s">
        <v>1036</v>
      </c>
      <c r="V428" s="60" t="s">
        <v>1037</v>
      </c>
      <c r="W428" s="1" t="s">
        <v>1038</v>
      </c>
    </row>
    <row r="429" spans="1:24" s="60" customFormat="1" ht="15" customHeight="1">
      <c r="A429" s="49">
        <v>84</v>
      </c>
      <c r="B429" s="49" t="s">
        <v>151</v>
      </c>
      <c r="C429" s="50" t="s">
        <v>152</v>
      </c>
      <c r="D429" s="51" t="s">
        <v>1041</v>
      </c>
      <c r="E429" s="51" t="s">
        <v>378</v>
      </c>
      <c r="F429" s="52" t="s">
        <v>377</v>
      </c>
      <c r="G429" s="53" t="s">
        <v>1042</v>
      </c>
      <c r="H429" s="65"/>
      <c r="I429" s="42" t="s">
        <v>379</v>
      </c>
      <c r="J429" s="53" t="s">
        <v>1022</v>
      </c>
      <c r="K429" s="65"/>
      <c r="L429" s="70" t="s">
        <v>377</v>
      </c>
      <c r="M429" s="53" t="s">
        <v>1043</v>
      </c>
      <c r="N429" s="27"/>
      <c r="P429" s="28"/>
      <c r="Q429" s="28"/>
      <c r="R429" s="27"/>
      <c r="S429" s="27"/>
      <c r="T429" s="27"/>
    </row>
    <row r="430" spans="1:24" s="60" customFormat="1" ht="15" customHeight="1">
      <c r="A430" s="49">
        <v>84</v>
      </c>
      <c r="B430" s="49" t="s">
        <v>151</v>
      </c>
      <c r="C430" s="50" t="s">
        <v>152</v>
      </c>
      <c r="D430" s="51" t="s">
        <v>1031</v>
      </c>
      <c r="E430" s="51" t="s">
        <v>1044</v>
      </c>
      <c r="F430" s="52" t="s">
        <v>416</v>
      </c>
      <c r="G430" s="53" t="s">
        <v>1045</v>
      </c>
      <c r="H430" s="53"/>
      <c r="I430" s="42" t="s">
        <v>379</v>
      </c>
      <c r="J430" s="53" t="s">
        <v>1046</v>
      </c>
      <c r="K430" s="53"/>
      <c r="L430" s="70" t="s">
        <v>416</v>
      </c>
      <c r="M430" s="53" t="s">
        <v>1047</v>
      </c>
      <c r="N430" s="53"/>
      <c r="O430" s="53" t="s">
        <v>1048</v>
      </c>
      <c r="P430" s="28"/>
      <c r="Q430" s="28"/>
      <c r="R430" s="28"/>
      <c r="S430" s="28"/>
      <c r="T430" s="28"/>
      <c r="U430" s="1" t="s">
        <v>1036</v>
      </c>
      <c r="V430" s="60" t="s">
        <v>1037</v>
      </c>
      <c r="W430" s="1" t="s">
        <v>1049</v>
      </c>
      <c r="X430" s="27" t="s">
        <v>1050</v>
      </c>
    </row>
    <row r="431" spans="1:24" s="60" customFormat="1" ht="15" customHeight="1">
      <c r="A431" s="49">
        <v>84</v>
      </c>
      <c r="B431" s="49" t="s">
        <v>151</v>
      </c>
      <c r="C431" s="50" t="s">
        <v>152</v>
      </c>
      <c r="D431" s="51" t="s">
        <v>1031</v>
      </c>
      <c r="E431" s="51" t="s">
        <v>1051</v>
      </c>
      <c r="F431" s="52" t="s">
        <v>379</v>
      </c>
      <c r="G431" s="53" t="s">
        <v>1052</v>
      </c>
      <c r="H431" s="53"/>
      <c r="I431" s="42" t="s">
        <v>416</v>
      </c>
      <c r="J431" s="53" t="s">
        <v>1053</v>
      </c>
      <c r="K431" s="53"/>
      <c r="L431" s="70" t="s">
        <v>379</v>
      </c>
      <c r="M431" s="53" t="s">
        <v>1054</v>
      </c>
      <c r="N431" s="53"/>
      <c r="O431" s="53" t="s">
        <v>1055</v>
      </c>
      <c r="P431" s="28"/>
      <c r="Q431" s="28"/>
      <c r="R431" s="28"/>
      <c r="S431" s="28"/>
      <c r="T431" s="28"/>
      <c r="U431" s="1"/>
      <c r="W431" s="1"/>
      <c r="X431" s="27"/>
    </row>
    <row r="432" spans="1:24" s="60" customFormat="1" ht="15" customHeight="1">
      <c r="A432" s="49">
        <v>84</v>
      </c>
      <c r="B432" s="49" t="s">
        <v>151</v>
      </c>
      <c r="C432" s="50" t="s">
        <v>152</v>
      </c>
      <c r="D432" s="51" t="s">
        <v>1031</v>
      </c>
      <c r="E432" s="51" t="s">
        <v>1056</v>
      </c>
      <c r="F432" s="52" t="s">
        <v>379</v>
      </c>
      <c r="G432" s="53" t="s">
        <v>1052</v>
      </c>
      <c r="H432" s="53"/>
      <c r="I432" s="42" t="s">
        <v>379</v>
      </c>
      <c r="J432" s="53" t="s">
        <v>1057</v>
      </c>
      <c r="K432" s="53"/>
      <c r="L432" s="70" t="s">
        <v>379</v>
      </c>
      <c r="M432" s="53" t="s">
        <v>1058</v>
      </c>
      <c r="N432" s="53"/>
      <c r="O432" s="53" t="s">
        <v>1059</v>
      </c>
      <c r="P432" s="28"/>
      <c r="Q432" s="28"/>
      <c r="R432" s="28"/>
      <c r="S432" s="28"/>
      <c r="T432" s="28"/>
      <c r="U432" s="40" t="s">
        <v>1060</v>
      </c>
      <c r="V432" s="60" t="s">
        <v>1061</v>
      </c>
      <c r="W432" s="1"/>
      <c r="X432" s="27"/>
    </row>
    <row r="433" spans="1:32" ht="15" customHeight="1">
      <c r="A433" s="49">
        <v>84</v>
      </c>
      <c r="B433" s="49" t="s">
        <v>151</v>
      </c>
      <c r="C433" s="50" t="s">
        <v>152</v>
      </c>
      <c r="D433" s="51" t="s">
        <v>1062</v>
      </c>
      <c r="E433" s="51" t="s">
        <v>378</v>
      </c>
      <c r="F433" s="52" t="s">
        <v>379</v>
      </c>
      <c r="G433" s="57" t="s">
        <v>1063</v>
      </c>
      <c r="H433" s="103"/>
      <c r="I433" s="52" t="s">
        <v>377</v>
      </c>
      <c r="J433" s="53" t="s">
        <v>1064</v>
      </c>
      <c r="K433" s="53"/>
      <c r="L433" s="70" t="s">
        <v>416</v>
      </c>
      <c r="M433" s="53" t="s">
        <v>1065</v>
      </c>
      <c r="P433" s="28"/>
      <c r="Q433" s="28"/>
      <c r="R433" s="28"/>
      <c r="S433" s="28"/>
      <c r="T433" s="28"/>
      <c r="U433" s="1" t="s">
        <v>1049</v>
      </c>
      <c r="V433" s="27" t="s">
        <v>1050</v>
      </c>
      <c r="W433" s="1" t="s">
        <v>1066</v>
      </c>
    </row>
    <row r="434" spans="1:32" ht="15" customHeight="1">
      <c r="A434" s="49">
        <v>85</v>
      </c>
      <c r="B434" s="104" t="s">
        <v>153</v>
      </c>
      <c r="C434" s="105" t="s">
        <v>154</v>
      </c>
      <c r="D434" s="106" t="s">
        <v>1062</v>
      </c>
      <c r="E434" s="102" t="s">
        <v>1067</v>
      </c>
      <c r="F434" s="42" t="s">
        <v>405</v>
      </c>
      <c r="G434" s="53" t="s">
        <v>1068</v>
      </c>
      <c r="H434" s="53"/>
      <c r="I434" s="42" t="s">
        <v>416</v>
      </c>
      <c r="J434" s="102" t="s">
        <v>1069</v>
      </c>
      <c r="L434" s="56" t="s">
        <v>638</v>
      </c>
      <c r="M434" s="102" t="s">
        <v>1070</v>
      </c>
      <c r="P434" s="28"/>
      <c r="Q434" s="28"/>
      <c r="R434" s="28"/>
      <c r="S434" s="28"/>
      <c r="T434" s="28"/>
      <c r="U434" s="1" t="s">
        <v>1071</v>
      </c>
      <c r="V434" s="27" t="s">
        <v>1072</v>
      </c>
      <c r="W434" s="1" t="s">
        <v>1073</v>
      </c>
      <c r="Y434" s="40" t="s">
        <v>1074</v>
      </c>
      <c r="Z434" s="27" t="s">
        <v>1075</v>
      </c>
    </row>
    <row r="435" spans="1:32" ht="15" customHeight="1">
      <c r="A435" s="49">
        <v>85</v>
      </c>
      <c r="B435" s="104" t="s">
        <v>153</v>
      </c>
      <c r="C435" s="105" t="s">
        <v>154</v>
      </c>
      <c r="D435" s="106" t="s">
        <v>1062</v>
      </c>
      <c r="E435" s="102" t="s">
        <v>1076</v>
      </c>
      <c r="F435" s="42" t="s">
        <v>405</v>
      </c>
      <c r="G435" s="53" t="s">
        <v>1077</v>
      </c>
      <c r="H435" s="53"/>
      <c r="I435" s="42" t="s">
        <v>416</v>
      </c>
      <c r="J435" s="102" t="s">
        <v>1078</v>
      </c>
      <c r="L435" s="70" t="s">
        <v>416</v>
      </c>
      <c r="M435" s="102" t="s">
        <v>1079</v>
      </c>
      <c r="P435" s="28"/>
      <c r="Q435" s="28"/>
      <c r="R435" s="28"/>
      <c r="S435" s="28"/>
      <c r="T435" s="28"/>
      <c r="U435" s="1" t="s">
        <v>1080</v>
      </c>
      <c r="V435" s="60" t="s">
        <v>1081</v>
      </c>
      <c r="W435" s="1" t="s">
        <v>1073</v>
      </c>
      <c r="Y435" s="40" t="s">
        <v>1074</v>
      </c>
      <c r="Z435" s="27" t="s">
        <v>1075</v>
      </c>
    </row>
    <row r="436" spans="1:32" ht="15" customHeight="1">
      <c r="A436" s="49">
        <v>85</v>
      </c>
      <c r="B436" s="104" t="s">
        <v>153</v>
      </c>
      <c r="C436" s="105" t="s">
        <v>154</v>
      </c>
      <c r="D436" s="106" t="s">
        <v>1062</v>
      </c>
      <c r="E436" s="102" t="s">
        <v>1082</v>
      </c>
      <c r="F436" s="107" t="s">
        <v>379</v>
      </c>
      <c r="G436" s="53" t="s">
        <v>1083</v>
      </c>
      <c r="H436" s="53"/>
      <c r="I436" s="42" t="s">
        <v>377</v>
      </c>
      <c r="J436" s="102" t="s">
        <v>1084</v>
      </c>
      <c r="L436" s="56" t="s">
        <v>405</v>
      </c>
      <c r="M436" s="102" t="s">
        <v>1085</v>
      </c>
      <c r="P436" s="28"/>
      <c r="Q436" s="28"/>
      <c r="R436" s="28"/>
      <c r="S436" s="28"/>
      <c r="T436" s="28"/>
      <c r="U436" s="1" t="s">
        <v>1071</v>
      </c>
      <c r="V436" s="27" t="s">
        <v>1072</v>
      </c>
      <c r="W436" s="1" t="s">
        <v>1086</v>
      </c>
      <c r="X436" s="60" t="s">
        <v>1087</v>
      </c>
      <c r="Y436" s="1" t="s">
        <v>1088</v>
      </c>
      <c r="Z436" s="60" t="s">
        <v>1089</v>
      </c>
      <c r="AA436" s="40" t="s">
        <v>1074</v>
      </c>
      <c r="AB436" s="27" t="s">
        <v>1075</v>
      </c>
    </row>
    <row r="437" spans="1:32" ht="15" customHeight="1">
      <c r="A437" s="49">
        <v>85</v>
      </c>
      <c r="B437" s="104" t="s">
        <v>153</v>
      </c>
      <c r="C437" s="105" t="s">
        <v>154</v>
      </c>
      <c r="D437" s="106" t="s">
        <v>1031</v>
      </c>
      <c r="E437" s="108" t="s">
        <v>1090</v>
      </c>
      <c r="F437" s="42" t="s">
        <v>405</v>
      </c>
      <c r="G437" s="53" t="s">
        <v>1091</v>
      </c>
      <c r="H437" s="53"/>
      <c r="I437" s="42" t="s">
        <v>405</v>
      </c>
      <c r="J437" s="102" t="s">
        <v>1092</v>
      </c>
      <c r="L437" s="70" t="s">
        <v>379</v>
      </c>
      <c r="M437" s="102" t="s">
        <v>1093</v>
      </c>
      <c r="P437" s="28" t="s">
        <v>13</v>
      </c>
      <c r="Q437" s="28" t="s">
        <v>14</v>
      </c>
      <c r="R437" s="28" t="s">
        <v>13</v>
      </c>
      <c r="S437" s="28"/>
      <c r="T437" s="28"/>
      <c r="U437" s="1" t="s">
        <v>1073</v>
      </c>
    </row>
    <row r="438" spans="1:32" ht="15" customHeight="1">
      <c r="A438" s="49">
        <v>85</v>
      </c>
      <c r="B438" s="104" t="s">
        <v>153</v>
      </c>
      <c r="C438" s="105" t="s">
        <v>154</v>
      </c>
      <c r="D438" s="106" t="s">
        <v>1031</v>
      </c>
      <c r="E438" s="108" t="s">
        <v>1032</v>
      </c>
      <c r="F438" s="42" t="s">
        <v>405</v>
      </c>
      <c r="G438" s="57" t="s">
        <v>1091</v>
      </c>
      <c r="H438" s="53"/>
      <c r="I438" s="42" t="s">
        <v>405</v>
      </c>
      <c r="J438" s="102" t="s">
        <v>1092</v>
      </c>
      <c r="L438" s="70" t="s">
        <v>379</v>
      </c>
      <c r="M438" s="102" t="s">
        <v>1094</v>
      </c>
      <c r="P438" s="28"/>
      <c r="Q438" s="28"/>
      <c r="R438" s="28"/>
      <c r="S438" s="28"/>
      <c r="T438" s="28"/>
      <c r="U438" s="1" t="s">
        <v>1038</v>
      </c>
    </row>
    <row r="439" spans="1:32" ht="15" customHeight="1">
      <c r="A439" s="49">
        <v>85</v>
      </c>
      <c r="B439" s="104" t="s">
        <v>153</v>
      </c>
      <c r="C439" s="105" t="s">
        <v>154</v>
      </c>
      <c r="D439" s="106" t="s">
        <v>1095</v>
      </c>
      <c r="E439" s="57" t="s">
        <v>699</v>
      </c>
      <c r="F439" s="107" t="s">
        <v>377</v>
      </c>
      <c r="G439" s="57" t="s">
        <v>1096</v>
      </c>
      <c r="H439" s="53"/>
      <c r="I439" s="42" t="s">
        <v>416</v>
      </c>
      <c r="J439" s="53" t="s">
        <v>701</v>
      </c>
      <c r="L439" s="94" t="s">
        <v>377</v>
      </c>
      <c r="M439" s="53" t="s">
        <v>702</v>
      </c>
      <c r="P439" s="28"/>
      <c r="Q439" s="28"/>
      <c r="R439" s="28"/>
      <c r="S439" s="28"/>
      <c r="T439" s="28"/>
      <c r="U439" s="1" t="s">
        <v>1080</v>
      </c>
      <c r="V439" s="60" t="s">
        <v>1081</v>
      </c>
      <c r="W439" s="1" t="s">
        <v>1097</v>
      </c>
      <c r="X439" s="60" t="s">
        <v>1098</v>
      </c>
    </row>
    <row r="440" spans="1:32" ht="15" customHeight="1">
      <c r="A440" s="49">
        <v>85</v>
      </c>
      <c r="B440" s="104" t="s">
        <v>153</v>
      </c>
      <c r="C440" s="105" t="s">
        <v>154</v>
      </c>
      <c r="D440" s="51" t="s">
        <v>705</v>
      </c>
      <c r="E440" s="57" t="s">
        <v>716</v>
      </c>
      <c r="F440" s="107" t="s">
        <v>416</v>
      </c>
      <c r="G440" s="57" t="s">
        <v>1099</v>
      </c>
      <c r="I440" s="42" t="s">
        <v>416</v>
      </c>
      <c r="J440" s="53" t="s">
        <v>962</v>
      </c>
      <c r="L440" s="56" t="s">
        <v>379</v>
      </c>
      <c r="M440" s="53" t="s">
        <v>718</v>
      </c>
      <c r="P440" s="28"/>
      <c r="Q440" s="28"/>
      <c r="R440" s="28"/>
      <c r="S440" s="28"/>
      <c r="T440" s="28"/>
      <c r="U440" s="1" t="s">
        <v>1100</v>
      </c>
      <c r="V440" s="27" t="s">
        <v>1101</v>
      </c>
      <c r="W440" s="1" t="s">
        <v>1102</v>
      </c>
      <c r="X440" s="27" t="s">
        <v>1103</v>
      </c>
    </row>
    <row r="441" spans="1:32" ht="15" customHeight="1">
      <c r="A441" s="49">
        <v>86</v>
      </c>
      <c r="B441" s="49" t="s">
        <v>155</v>
      </c>
      <c r="C441" s="50" t="s">
        <v>152</v>
      </c>
      <c r="D441" s="51" t="s">
        <v>1104</v>
      </c>
      <c r="E441" s="51" t="s">
        <v>378</v>
      </c>
      <c r="F441" s="52" t="s">
        <v>377</v>
      </c>
      <c r="G441" s="57" t="s">
        <v>1105</v>
      </c>
      <c r="I441" s="42" t="s">
        <v>379</v>
      </c>
      <c r="J441" s="102" t="s">
        <v>1106</v>
      </c>
      <c r="L441" s="94" t="s">
        <v>377</v>
      </c>
      <c r="M441" s="102" t="s">
        <v>1107</v>
      </c>
      <c r="P441" s="28" t="s">
        <v>13</v>
      </c>
      <c r="Q441" s="28" t="s">
        <v>14</v>
      </c>
      <c r="R441" s="28"/>
      <c r="S441" s="28"/>
      <c r="T441" s="28"/>
      <c r="U441" s="1" t="s">
        <v>1108</v>
      </c>
      <c r="V441" s="60" t="s">
        <v>1109</v>
      </c>
      <c r="W441" s="1" t="s">
        <v>1110</v>
      </c>
      <c r="X441" s="60" t="s">
        <v>1111</v>
      </c>
    </row>
    <row r="442" spans="1:32" ht="15" customHeight="1">
      <c r="A442" s="49">
        <v>86</v>
      </c>
      <c r="B442" s="49" t="s">
        <v>155</v>
      </c>
      <c r="C442" s="50" t="s">
        <v>152</v>
      </c>
      <c r="D442" s="106" t="s">
        <v>1062</v>
      </c>
      <c r="E442" s="51" t="s">
        <v>1112</v>
      </c>
      <c r="F442" s="52" t="s">
        <v>379</v>
      </c>
      <c r="G442" s="57" t="s">
        <v>1113</v>
      </c>
      <c r="I442" s="42" t="s">
        <v>416</v>
      </c>
      <c r="J442" s="102" t="s">
        <v>1114</v>
      </c>
      <c r="L442" s="94" t="s">
        <v>416</v>
      </c>
      <c r="M442" s="102" t="s">
        <v>1115</v>
      </c>
      <c r="P442" s="28"/>
      <c r="Q442" s="28"/>
      <c r="R442" s="28"/>
      <c r="S442" s="28"/>
      <c r="T442" s="28"/>
      <c r="U442" s="1" t="s">
        <v>1116</v>
      </c>
      <c r="V442" s="60" t="s">
        <v>1117</v>
      </c>
      <c r="W442" s="1" t="s">
        <v>1118</v>
      </c>
      <c r="X442" s="27" t="s">
        <v>1119</v>
      </c>
      <c r="Y442" s="1" t="s">
        <v>1120</v>
      </c>
    </row>
    <row r="443" spans="1:32" ht="15" customHeight="1">
      <c r="A443" s="49">
        <v>86</v>
      </c>
      <c r="B443" s="49" t="s">
        <v>155</v>
      </c>
      <c r="C443" s="50" t="s">
        <v>152</v>
      </c>
      <c r="D443" s="106" t="s">
        <v>1031</v>
      </c>
      <c r="E443" s="57" t="s">
        <v>1121</v>
      </c>
      <c r="F443" s="42" t="s">
        <v>826</v>
      </c>
      <c r="G443" s="57" t="s">
        <v>1122</v>
      </c>
      <c r="I443" s="42" t="s">
        <v>405</v>
      </c>
      <c r="J443" s="102" t="s">
        <v>1092</v>
      </c>
      <c r="L443" s="56" t="s">
        <v>405</v>
      </c>
      <c r="M443" s="102" t="s">
        <v>1123</v>
      </c>
      <c r="O443" s="60" t="s">
        <v>1124</v>
      </c>
      <c r="P443" s="28"/>
      <c r="Q443" s="28"/>
      <c r="R443" s="28"/>
      <c r="S443" s="28"/>
      <c r="T443" s="28"/>
      <c r="U443" s="1" t="s">
        <v>1125</v>
      </c>
      <c r="W443" s="1" t="s">
        <v>1126</v>
      </c>
      <c r="X443" s="60" t="s">
        <v>1127</v>
      </c>
      <c r="Y443" s="60" t="s">
        <v>1128</v>
      </c>
      <c r="Z443" s="1" t="s">
        <v>1110</v>
      </c>
      <c r="AA443" s="1" t="s">
        <v>1129</v>
      </c>
      <c r="AB443" s="60" t="s">
        <v>1130</v>
      </c>
    </row>
    <row r="444" spans="1:32" ht="15" customHeight="1">
      <c r="A444" s="49">
        <v>86</v>
      </c>
      <c r="B444" s="49" t="s">
        <v>155</v>
      </c>
      <c r="C444" s="50" t="s">
        <v>152</v>
      </c>
      <c r="D444" s="106" t="s">
        <v>1031</v>
      </c>
      <c r="E444" s="57" t="s">
        <v>1131</v>
      </c>
      <c r="F444" s="42" t="s">
        <v>826</v>
      </c>
      <c r="G444" s="57" t="s">
        <v>1132</v>
      </c>
      <c r="I444" s="42" t="s">
        <v>416</v>
      </c>
      <c r="J444" s="102" t="s">
        <v>1133</v>
      </c>
      <c r="L444" s="70" t="s">
        <v>801</v>
      </c>
      <c r="M444" s="102" t="s">
        <v>1134</v>
      </c>
      <c r="O444" s="60" t="s">
        <v>1135</v>
      </c>
      <c r="P444" s="28"/>
      <c r="Q444" s="28"/>
      <c r="R444" s="28"/>
      <c r="S444" s="28"/>
      <c r="T444" s="28"/>
      <c r="U444" s="1" t="s">
        <v>1125</v>
      </c>
      <c r="W444" s="1" t="s">
        <v>1136</v>
      </c>
      <c r="X444" s="60" t="s">
        <v>1128</v>
      </c>
      <c r="Y444" s="1" t="s">
        <v>1110</v>
      </c>
      <c r="Z444" s="60" t="s">
        <v>1137</v>
      </c>
    </row>
    <row r="445" spans="1:32" ht="15" customHeight="1">
      <c r="A445" s="49">
        <v>86</v>
      </c>
      <c r="B445" s="49" t="s">
        <v>155</v>
      </c>
      <c r="C445" s="50" t="s">
        <v>152</v>
      </c>
      <c r="D445" s="106" t="s">
        <v>1031</v>
      </c>
      <c r="E445" s="57" t="s">
        <v>1032</v>
      </c>
      <c r="F445" s="42" t="s">
        <v>826</v>
      </c>
      <c r="G445" s="57" t="s">
        <v>1122</v>
      </c>
      <c r="H445" s="53"/>
      <c r="I445" s="42" t="s">
        <v>405</v>
      </c>
      <c r="J445" s="102" t="s">
        <v>1092</v>
      </c>
      <c r="L445" s="70" t="s">
        <v>379</v>
      </c>
      <c r="M445" s="102" t="s">
        <v>1094</v>
      </c>
      <c r="O445" s="60" t="s">
        <v>1138</v>
      </c>
      <c r="P445" s="28"/>
      <c r="Q445" s="28"/>
      <c r="R445" s="28"/>
      <c r="S445" s="28"/>
      <c r="T445" s="28"/>
      <c r="U445" s="1" t="s">
        <v>1038</v>
      </c>
    </row>
    <row r="446" spans="1:32" ht="15" customHeight="1">
      <c r="A446" s="49">
        <v>86</v>
      </c>
      <c r="B446" s="49" t="s">
        <v>155</v>
      </c>
      <c r="C446" s="50" t="s">
        <v>152</v>
      </c>
      <c r="D446" s="106" t="s">
        <v>1095</v>
      </c>
      <c r="E446" s="57" t="s">
        <v>699</v>
      </c>
      <c r="F446" s="56" t="s">
        <v>403</v>
      </c>
      <c r="G446" s="57" t="s">
        <v>1139</v>
      </c>
      <c r="H446" s="92"/>
      <c r="I446" s="93" t="s">
        <v>416</v>
      </c>
      <c r="J446" s="53" t="s">
        <v>701</v>
      </c>
      <c r="K446" s="67"/>
      <c r="L446" s="94" t="s">
        <v>377</v>
      </c>
      <c r="M446" s="53" t="s">
        <v>702</v>
      </c>
      <c r="P446" s="28"/>
      <c r="Q446" s="28"/>
      <c r="R446" s="28"/>
      <c r="S446" s="28"/>
      <c r="T446" s="28"/>
      <c r="U446" s="1" t="s">
        <v>1108</v>
      </c>
      <c r="V446" s="60" t="s">
        <v>1109</v>
      </c>
    </row>
    <row r="447" spans="1:32" ht="15" customHeight="1">
      <c r="A447" s="49">
        <v>86</v>
      </c>
      <c r="B447" s="49" t="s">
        <v>155</v>
      </c>
      <c r="C447" s="50" t="s">
        <v>152</v>
      </c>
      <c r="D447" s="51" t="s">
        <v>705</v>
      </c>
      <c r="E447" s="57" t="s">
        <v>716</v>
      </c>
      <c r="F447" s="42" t="s">
        <v>405</v>
      </c>
      <c r="G447" s="53" t="s">
        <v>1140</v>
      </c>
      <c r="H447" s="92"/>
      <c r="I447" s="42" t="s">
        <v>416</v>
      </c>
      <c r="J447" s="53" t="s">
        <v>962</v>
      </c>
      <c r="L447" s="56" t="s">
        <v>379</v>
      </c>
      <c r="M447" s="53" t="s">
        <v>718</v>
      </c>
      <c r="P447" s="28"/>
      <c r="Q447" s="28"/>
      <c r="R447" s="28"/>
      <c r="S447" s="28"/>
      <c r="T447" s="28"/>
      <c r="U447" s="1" t="s">
        <v>1141</v>
      </c>
      <c r="V447" s="60" t="s">
        <v>1142</v>
      </c>
      <c r="W447" s="1" t="s">
        <v>1143</v>
      </c>
      <c r="X447" s="60" t="s">
        <v>1144</v>
      </c>
      <c r="AE447" s="60"/>
      <c r="AF447" s="60"/>
    </row>
    <row r="448" spans="1:32" ht="15" customHeight="1">
      <c r="A448" s="49">
        <v>87</v>
      </c>
      <c r="B448" s="49" t="s">
        <v>156</v>
      </c>
      <c r="C448" s="76" t="s">
        <v>157</v>
      </c>
      <c r="D448" s="106" t="s">
        <v>1062</v>
      </c>
      <c r="E448" s="51" t="s">
        <v>1112</v>
      </c>
      <c r="F448" s="42" t="s">
        <v>405</v>
      </c>
      <c r="G448" s="57" t="s">
        <v>1145</v>
      </c>
      <c r="I448" s="42" t="s">
        <v>416</v>
      </c>
      <c r="J448" s="102" t="s">
        <v>1146</v>
      </c>
      <c r="L448" s="94" t="s">
        <v>416</v>
      </c>
      <c r="M448" s="102" t="s">
        <v>1115</v>
      </c>
      <c r="P448" s="28"/>
      <c r="Q448" s="28"/>
      <c r="R448" s="28"/>
      <c r="S448" s="28"/>
      <c r="T448" s="28"/>
      <c r="U448" s="1" t="s">
        <v>1147</v>
      </c>
      <c r="V448" s="60" t="s">
        <v>1148</v>
      </c>
      <c r="W448" s="1" t="s">
        <v>1120</v>
      </c>
      <c r="X448" s="27"/>
      <c r="Y448" s="27"/>
    </row>
    <row r="449" spans="1:30" ht="15" customHeight="1">
      <c r="A449" s="49">
        <v>87</v>
      </c>
      <c r="B449" s="49" t="s">
        <v>156</v>
      </c>
      <c r="C449" s="76" t="s">
        <v>157</v>
      </c>
      <c r="D449" s="106" t="s">
        <v>1031</v>
      </c>
      <c r="E449" s="51" t="s">
        <v>1149</v>
      </c>
      <c r="F449" s="52" t="s">
        <v>379</v>
      </c>
      <c r="G449" s="57" t="s">
        <v>1150</v>
      </c>
      <c r="I449" s="42" t="s">
        <v>416</v>
      </c>
      <c r="J449" s="27" t="s">
        <v>1151</v>
      </c>
      <c r="L449" s="56" t="s">
        <v>416</v>
      </c>
      <c r="M449" s="102" t="s">
        <v>1152</v>
      </c>
      <c r="P449" s="28" t="s">
        <v>13</v>
      </c>
      <c r="Q449" s="28" t="s">
        <v>14</v>
      </c>
      <c r="R449" s="28" t="s">
        <v>13</v>
      </c>
      <c r="S449" s="28"/>
      <c r="T449" s="28"/>
      <c r="U449" s="1" t="s">
        <v>1153</v>
      </c>
      <c r="W449" s="27" t="s">
        <v>1154</v>
      </c>
      <c r="X449" s="60" t="s">
        <v>1155</v>
      </c>
      <c r="Y449" s="1" t="s">
        <v>1156</v>
      </c>
      <c r="Z449" s="27" t="s">
        <v>1157</v>
      </c>
      <c r="AB449" s="1" t="s">
        <v>1158</v>
      </c>
      <c r="AC449" s="60" t="s">
        <v>1159</v>
      </c>
    </row>
    <row r="450" spans="1:30" ht="15" customHeight="1">
      <c r="A450" s="49">
        <v>87</v>
      </c>
      <c r="B450" s="49" t="s">
        <v>156</v>
      </c>
      <c r="C450" s="76" t="s">
        <v>157</v>
      </c>
      <c r="D450" s="106" t="s">
        <v>1031</v>
      </c>
      <c r="E450" s="57" t="s">
        <v>1032</v>
      </c>
      <c r="F450" s="52" t="s">
        <v>379</v>
      </c>
      <c r="G450" s="57" t="s">
        <v>1160</v>
      </c>
      <c r="I450" s="42" t="s">
        <v>405</v>
      </c>
      <c r="J450" s="102" t="s">
        <v>1092</v>
      </c>
      <c r="L450" s="70" t="s">
        <v>379</v>
      </c>
      <c r="M450" s="102" t="s">
        <v>1161</v>
      </c>
      <c r="O450" s="60" t="s">
        <v>1138</v>
      </c>
      <c r="P450" s="28"/>
      <c r="Q450" s="28"/>
      <c r="R450" s="28"/>
      <c r="S450" s="28"/>
      <c r="T450" s="28"/>
      <c r="U450" s="1" t="s">
        <v>1162</v>
      </c>
      <c r="V450" s="60" t="s">
        <v>1163</v>
      </c>
      <c r="W450" s="1" t="s">
        <v>1164</v>
      </c>
      <c r="X450" s="60" t="s">
        <v>1165</v>
      </c>
      <c r="Y450" s="1" t="s">
        <v>1038</v>
      </c>
    </row>
    <row r="451" spans="1:30" ht="15" customHeight="1">
      <c r="A451" s="49">
        <v>87</v>
      </c>
      <c r="B451" s="49" t="s">
        <v>156</v>
      </c>
      <c r="C451" s="76" t="s">
        <v>157</v>
      </c>
      <c r="D451" s="51" t="s">
        <v>1026</v>
      </c>
      <c r="E451" s="51" t="s">
        <v>1166</v>
      </c>
      <c r="F451" s="52" t="s">
        <v>416</v>
      </c>
      <c r="G451" s="57" t="s">
        <v>1167</v>
      </c>
      <c r="I451" s="42" t="s">
        <v>379</v>
      </c>
      <c r="J451" s="27" t="s">
        <v>1168</v>
      </c>
      <c r="L451" s="56" t="s">
        <v>416</v>
      </c>
      <c r="M451" s="102" t="s">
        <v>1169</v>
      </c>
      <c r="P451" s="28"/>
      <c r="Q451" s="28"/>
      <c r="R451" s="28"/>
      <c r="S451" s="28"/>
      <c r="T451" s="28"/>
      <c r="U451" s="1" t="s">
        <v>1158</v>
      </c>
      <c r="V451" s="60" t="s">
        <v>1159</v>
      </c>
      <c r="W451" s="27" t="s">
        <v>1170</v>
      </c>
      <c r="Y451" s="1" t="s">
        <v>1171</v>
      </c>
    </row>
    <row r="452" spans="1:30" ht="15" customHeight="1">
      <c r="A452" s="49">
        <v>87</v>
      </c>
      <c r="B452" s="49" t="s">
        <v>156</v>
      </c>
      <c r="C452" s="76" t="s">
        <v>157</v>
      </c>
      <c r="D452" s="51" t="s">
        <v>1026</v>
      </c>
      <c r="E452" s="51" t="s">
        <v>1172</v>
      </c>
      <c r="F452" s="52" t="s">
        <v>377</v>
      </c>
      <c r="G452" s="57" t="s">
        <v>1173</v>
      </c>
      <c r="I452" s="42" t="s">
        <v>405</v>
      </c>
      <c r="J452" s="27" t="s">
        <v>1174</v>
      </c>
      <c r="L452" s="56" t="s">
        <v>377</v>
      </c>
      <c r="M452" s="102" t="s">
        <v>1175</v>
      </c>
      <c r="P452" s="28"/>
      <c r="Q452" s="28"/>
      <c r="R452" s="28"/>
      <c r="S452" s="28"/>
      <c r="T452" s="28"/>
      <c r="U452" s="1" t="s">
        <v>1158</v>
      </c>
      <c r="V452" s="60" t="s">
        <v>1159</v>
      </c>
      <c r="W452" s="1" t="s">
        <v>1176</v>
      </c>
      <c r="Y452" s="1" t="s">
        <v>1171</v>
      </c>
    </row>
    <row r="453" spans="1:30" ht="15" customHeight="1">
      <c r="A453" s="49">
        <v>88</v>
      </c>
      <c r="B453" s="49" t="s">
        <v>158</v>
      </c>
      <c r="C453" s="76" t="s">
        <v>159</v>
      </c>
      <c r="D453" s="53" t="s">
        <v>1177</v>
      </c>
      <c r="E453" s="51" t="s">
        <v>1178</v>
      </c>
      <c r="F453" s="42" t="s">
        <v>405</v>
      </c>
      <c r="G453" s="57" t="s">
        <v>1179</v>
      </c>
      <c r="I453" s="42" t="s">
        <v>377</v>
      </c>
      <c r="J453" s="57" t="s">
        <v>1180</v>
      </c>
      <c r="L453" s="109" t="s">
        <v>379</v>
      </c>
      <c r="M453" s="53" t="s">
        <v>1181</v>
      </c>
      <c r="P453" s="28"/>
      <c r="Q453" s="28"/>
      <c r="R453" s="28"/>
      <c r="S453" s="28"/>
      <c r="T453" s="28"/>
      <c r="U453" s="40" t="s">
        <v>1182</v>
      </c>
      <c r="V453" s="27" t="s">
        <v>1183</v>
      </c>
    </row>
    <row r="454" spans="1:30" ht="15" customHeight="1">
      <c r="A454" s="49">
        <v>88</v>
      </c>
      <c r="B454" s="49" t="s">
        <v>158</v>
      </c>
      <c r="C454" s="76" t="s">
        <v>159</v>
      </c>
      <c r="D454" s="53" t="s">
        <v>1177</v>
      </c>
      <c r="E454" s="51" t="s">
        <v>1082</v>
      </c>
      <c r="F454" s="52" t="s">
        <v>379</v>
      </c>
      <c r="G454" s="57" t="s">
        <v>1184</v>
      </c>
      <c r="I454" s="42" t="s">
        <v>377</v>
      </c>
      <c r="J454" s="57" t="s">
        <v>1185</v>
      </c>
      <c r="L454" s="56" t="s">
        <v>379</v>
      </c>
      <c r="M454" s="53" t="s">
        <v>1186</v>
      </c>
      <c r="P454" s="28"/>
      <c r="Q454" s="28"/>
      <c r="R454" s="28"/>
      <c r="S454" s="28"/>
      <c r="T454" s="28"/>
      <c r="U454" s="1" t="s">
        <v>1187</v>
      </c>
      <c r="V454" s="27" t="s">
        <v>1188</v>
      </c>
      <c r="W454" s="1" t="s">
        <v>1189</v>
      </c>
      <c r="X454" s="27" t="s">
        <v>1190</v>
      </c>
      <c r="Y454" s="40" t="s">
        <v>1182</v>
      </c>
      <c r="Z454" s="27" t="s">
        <v>1183</v>
      </c>
    </row>
    <row r="455" spans="1:30" ht="15" customHeight="1">
      <c r="A455" s="49">
        <v>88</v>
      </c>
      <c r="B455" s="49" t="s">
        <v>158</v>
      </c>
      <c r="C455" s="76" t="s">
        <v>159</v>
      </c>
      <c r="D455" s="53" t="s">
        <v>1191</v>
      </c>
      <c r="E455" s="53" t="s">
        <v>1192</v>
      </c>
      <c r="F455" s="52" t="s">
        <v>379</v>
      </c>
      <c r="G455" s="53" t="s">
        <v>1193</v>
      </c>
      <c r="I455" s="42" t="s">
        <v>377</v>
      </c>
      <c r="J455" s="53" t="s">
        <v>1194</v>
      </c>
      <c r="L455" s="109" t="s">
        <v>405</v>
      </c>
      <c r="M455" s="53" t="s">
        <v>1195</v>
      </c>
      <c r="P455" s="28"/>
      <c r="Q455" s="28"/>
      <c r="R455" s="28"/>
      <c r="S455" s="28"/>
      <c r="T455" s="28"/>
      <c r="U455" s="60" t="s">
        <v>1196</v>
      </c>
      <c r="V455" s="1" t="s">
        <v>1120</v>
      </c>
      <c r="W455" s="1" t="s">
        <v>1197</v>
      </c>
      <c r="X455" s="27" t="s">
        <v>1198</v>
      </c>
      <c r="Y455" s="40" t="s">
        <v>1199</v>
      </c>
      <c r="Z455" s="27" t="s">
        <v>1200</v>
      </c>
    </row>
    <row r="456" spans="1:30" ht="15" customHeight="1">
      <c r="A456" s="49">
        <v>88</v>
      </c>
      <c r="B456" s="49" t="s">
        <v>158</v>
      </c>
      <c r="C456" s="76" t="s">
        <v>159</v>
      </c>
      <c r="D456" s="27" t="s">
        <v>1191</v>
      </c>
      <c r="E456" s="53" t="s">
        <v>1201</v>
      </c>
      <c r="F456" s="52" t="s">
        <v>379</v>
      </c>
      <c r="G456" s="53" t="s">
        <v>1202</v>
      </c>
      <c r="I456" s="42" t="s">
        <v>377</v>
      </c>
      <c r="J456" s="53" t="s">
        <v>1194</v>
      </c>
      <c r="L456" s="109" t="s">
        <v>379</v>
      </c>
      <c r="M456" s="53" t="s">
        <v>1203</v>
      </c>
      <c r="P456" s="28"/>
      <c r="Q456" s="28"/>
      <c r="R456" s="28"/>
      <c r="S456" s="28"/>
      <c r="T456" s="28"/>
      <c r="U456" s="1" t="s">
        <v>1204</v>
      </c>
      <c r="V456" s="60" t="s">
        <v>1205</v>
      </c>
      <c r="W456" s="27" t="s">
        <v>1206</v>
      </c>
      <c r="X456" s="27" t="s">
        <v>1183</v>
      </c>
      <c r="Y456" s="1" t="s">
        <v>1207</v>
      </c>
      <c r="Z456" s="60" t="s">
        <v>1208</v>
      </c>
      <c r="AA456" s="40" t="s">
        <v>1209</v>
      </c>
      <c r="AB456" s="60" t="s">
        <v>1210</v>
      </c>
    </row>
    <row r="457" spans="1:30" ht="15" customHeight="1">
      <c r="A457" s="49">
        <v>88</v>
      </c>
      <c r="B457" s="49" t="s">
        <v>158</v>
      </c>
      <c r="C457" s="76" t="s">
        <v>159</v>
      </c>
      <c r="D457" s="53" t="s">
        <v>1211</v>
      </c>
      <c r="E457" s="53" t="s">
        <v>1212</v>
      </c>
      <c r="F457" s="52" t="s">
        <v>416</v>
      </c>
      <c r="G457" s="57" t="s">
        <v>1213</v>
      </c>
      <c r="I457" s="42" t="s">
        <v>416</v>
      </c>
      <c r="J457" s="57" t="s">
        <v>1214</v>
      </c>
      <c r="L457" s="109" t="s">
        <v>405</v>
      </c>
      <c r="M457" s="57" t="s">
        <v>1215</v>
      </c>
      <c r="P457" s="28"/>
      <c r="Q457" s="28"/>
      <c r="R457" s="28"/>
      <c r="S457" s="28"/>
      <c r="T457" s="28"/>
      <c r="U457" s="1" t="s">
        <v>1216</v>
      </c>
      <c r="W457" s="1" t="s">
        <v>1217</v>
      </c>
      <c r="X457" s="60" t="s">
        <v>1218</v>
      </c>
      <c r="Y457" s="60" t="s">
        <v>1219</v>
      </c>
      <c r="Z457" s="1" t="s">
        <v>1220</v>
      </c>
      <c r="AA457" s="60" t="s">
        <v>1221</v>
      </c>
      <c r="AB457" s="1" t="s">
        <v>1222</v>
      </c>
      <c r="AC457" s="60" t="s">
        <v>1223</v>
      </c>
      <c r="AD457" s="1" t="s">
        <v>1224</v>
      </c>
    </row>
    <row r="458" spans="1:30" ht="15" customHeight="1">
      <c r="A458" s="49">
        <v>89</v>
      </c>
      <c r="B458" s="49" t="s">
        <v>160</v>
      </c>
      <c r="C458" s="76" t="s">
        <v>152</v>
      </c>
      <c r="D458" s="80" t="s">
        <v>849</v>
      </c>
      <c r="E458" s="80" t="s">
        <v>849</v>
      </c>
      <c r="F458" s="52"/>
      <c r="I458" s="42"/>
      <c r="J458" s="53"/>
      <c r="P458" s="28" t="s">
        <v>13</v>
      </c>
      <c r="Q458" s="28" t="s">
        <v>14</v>
      </c>
      <c r="R458" s="28"/>
      <c r="S458" s="28"/>
      <c r="T458" s="28"/>
    </row>
    <row r="459" spans="1:30" ht="15" customHeight="1">
      <c r="A459" s="49">
        <v>90</v>
      </c>
      <c r="B459" s="49" t="s">
        <v>161</v>
      </c>
      <c r="C459" s="76" t="s">
        <v>162</v>
      </c>
      <c r="D459" s="80" t="s">
        <v>692</v>
      </c>
      <c r="E459" s="80" t="s">
        <v>692</v>
      </c>
      <c r="F459" s="52"/>
      <c r="I459" s="42"/>
      <c r="J459" s="53"/>
      <c r="P459" s="28" t="s">
        <v>13</v>
      </c>
      <c r="Q459" s="28" t="s">
        <v>14</v>
      </c>
      <c r="R459" s="28"/>
      <c r="S459" s="28"/>
      <c r="T459" s="28"/>
    </row>
    <row r="460" spans="1:30" ht="15" customHeight="1">
      <c r="A460" s="49">
        <v>91</v>
      </c>
      <c r="B460" s="49" t="s">
        <v>163</v>
      </c>
      <c r="C460" s="76" t="s">
        <v>12</v>
      </c>
      <c r="D460" s="51" t="s">
        <v>1225</v>
      </c>
      <c r="E460" s="51" t="s">
        <v>378</v>
      </c>
      <c r="F460" s="52" t="s">
        <v>416</v>
      </c>
      <c r="G460" s="57" t="s">
        <v>1226</v>
      </c>
      <c r="I460" s="42" t="s">
        <v>379</v>
      </c>
      <c r="J460" s="53" t="s">
        <v>1227</v>
      </c>
      <c r="L460" s="56" t="s">
        <v>377</v>
      </c>
      <c r="M460" s="102" t="s">
        <v>1228</v>
      </c>
      <c r="P460" s="28" t="s">
        <v>13</v>
      </c>
      <c r="Q460" s="28" t="s">
        <v>14</v>
      </c>
      <c r="R460" s="28"/>
      <c r="S460" s="28"/>
      <c r="T460" s="28"/>
      <c r="U460" s="1" t="s">
        <v>1229</v>
      </c>
      <c r="V460" s="27" t="s">
        <v>1230</v>
      </c>
      <c r="X460" s="27"/>
    </row>
    <row r="461" spans="1:30" ht="15" customHeight="1">
      <c r="A461" s="49">
        <v>91</v>
      </c>
      <c r="B461" s="49" t="s">
        <v>163</v>
      </c>
      <c r="C461" s="76" t="s">
        <v>12</v>
      </c>
      <c r="D461" s="106" t="s">
        <v>1031</v>
      </c>
      <c r="E461" s="57" t="s">
        <v>1121</v>
      </c>
      <c r="F461" s="42" t="s">
        <v>826</v>
      </c>
      <c r="G461" s="57" t="s">
        <v>1122</v>
      </c>
      <c r="I461" s="42" t="s">
        <v>405</v>
      </c>
      <c r="J461" s="102" t="s">
        <v>1092</v>
      </c>
      <c r="L461" s="56" t="s">
        <v>405</v>
      </c>
      <c r="M461" s="102" t="s">
        <v>1123</v>
      </c>
      <c r="O461" s="60" t="s">
        <v>1124</v>
      </c>
      <c r="P461" s="28"/>
      <c r="Q461" s="28"/>
      <c r="R461" s="28"/>
      <c r="S461" s="28"/>
      <c r="T461" s="28"/>
      <c r="U461" s="1" t="s">
        <v>1125</v>
      </c>
      <c r="W461" s="1" t="s">
        <v>1126</v>
      </c>
      <c r="X461" s="60" t="s">
        <v>1127</v>
      </c>
      <c r="Y461" s="60" t="s">
        <v>1128</v>
      </c>
      <c r="Z461" s="1" t="s">
        <v>1110</v>
      </c>
      <c r="AA461" s="1" t="s">
        <v>1129</v>
      </c>
      <c r="AB461" s="60" t="s">
        <v>1130</v>
      </c>
    </row>
    <row r="462" spans="1:30" ht="15" customHeight="1">
      <c r="A462" s="49">
        <v>91</v>
      </c>
      <c r="B462" s="49" t="s">
        <v>163</v>
      </c>
      <c r="C462" s="76" t="s">
        <v>12</v>
      </c>
      <c r="D462" s="106" t="s">
        <v>1031</v>
      </c>
      <c r="E462" s="57" t="s">
        <v>1131</v>
      </c>
      <c r="F462" s="42" t="s">
        <v>826</v>
      </c>
      <c r="G462" s="57" t="s">
        <v>1132</v>
      </c>
      <c r="I462" s="42" t="s">
        <v>416</v>
      </c>
      <c r="J462" s="102" t="s">
        <v>1133</v>
      </c>
      <c r="L462" s="70" t="s">
        <v>801</v>
      </c>
      <c r="M462" s="102" t="s">
        <v>1134</v>
      </c>
      <c r="O462" s="60" t="s">
        <v>1135</v>
      </c>
      <c r="P462" s="28"/>
      <c r="Q462" s="28"/>
      <c r="R462" s="28"/>
      <c r="S462" s="28"/>
      <c r="T462" s="28"/>
      <c r="U462" s="1" t="s">
        <v>1125</v>
      </c>
      <c r="W462" s="1" t="s">
        <v>1136</v>
      </c>
      <c r="X462" s="60" t="s">
        <v>1128</v>
      </c>
      <c r="Y462" s="1" t="s">
        <v>1110</v>
      </c>
      <c r="Z462" s="60" t="s">
        <v>1137</v>
      </c>
    </row>
    <row r="463" spans="1:30" ht="15" customHeight="1">
      <c r="A463" s="49">
        <v>91</v>
      </c>
      <c r="B463" s="49" t="s">
        <v>163</v>
      </c>
      <c r="C463" s="76" t="s">
        <v>12</v>
      </c>
      <c r="D463" s="106" t="s">
        <v>1031</v>
      </c>
      <c r="E463" s="57" t="s">
        <v>1032</v>
      </c>
      <c r="F463" s="42" t="s">
        <v>826</v>
      </c>
      <c r="G463" s="57" t="s">
        <v>1122</v>
      </c>
      <c r="H463" s="53"/>
      <c r="I463" s="42" t="s">
        <v>405</v>
      </c>
      <c r="J463" s="102" t="s">
        <v>1092</v>
      </c>
      <c r="L463" s="70" t="s">
        <v>379</v>
      </c>
      <c r="M463" s="102" t="s">
        <v>1094</v>
      </c>
      <c r="O463" s="60" t="s">
        <v>1138</v>
      </c>
      <c r="P463" s="28"/>
      <c r="Q463" s="28"/>
      <c r="R463" s="28"/>
      <c r="S463" s="28"/>
      <c r="T463" s="28"/>
      <c r="U463" s="1" t="s">
        <v>1038</v>
      </c>
    </row>
    <row r="464" spans="1:30" ht="15" customHeight="1">
      <c r="A464" s="49">
        <v>92</v>
      </c>
      <c r="B464" s="49" t="s">
        <v>165</v>
      </c>
      <c r="C464" s="76" t="s">
        <v>166</v>
      </c>
      <c r="D464" s="80" t="s">
        <v>849</v>
      </c>
      <c r="E464" s="80" t="s">
        <v>849</v>
      </c>
      <c r="F464" s="52"/>
      <c r="G464" s="53"/>
      <c r="H464" s="53"/>
      <c r="I464" s="53"/>
      <c r="J464" s="53" t="s">
        <v>1231</v>
      </c>
      <c r="K464" s="53"/>
      <c r="L464" s="53"/>
      <c r="M464" s="53"/>
      <c r="N464" s="101" t="s">
        <v>1232</v>
      </c>
      <c r="P464" s="28" t="s">
        <v>13</v>
      </c>
      <c r="Q464" s="28"/>
      <c r="R464" s="28"/>
      <c r="S464" s="28"/>
      <c r="T464" s="28"/>
    </row>
    <row r="465" spans="1:30" ht="15" customHeight="1">
      <c r="A465" s="49">
        <v>93</v>
      </c>
      <c r="B465" s="49" t="s">
        <v>167</v>
      </c>
      <c r="C465" s="50" t="s">
        <v>68</v>
      </c>
      <c r="D465" s="63" t="s">
        <v>1233</v>
      </c>
      <c r="E465" s="27" t="s">
        <v>378</v>
      </c>
      <c r="F465" s="52" t="s">
        <v>379</v>
      </c>
      <c r="G465" s="27" t="s">
        <v>1234</v>
      </c>
      <c r="I465" s="42" t="s">
        <v>379</v>
      </c>
      <c r="J465" s="67" t="s">
        <v>1227</v>
      </c>
      <c r="L465" s="56" t="s">
        <v>377</v>
      </c>
      <c r="M465" s="67" t="s">
        <v>1235</v>
      </c>
      <c r="O465" s="60" t="s">
        <v>1236</v>
      </c>
      <c r="P465" s="28" t="s">
        <v>13</v>
      </c>
      <c r="Q465" s="28"/>
      <c r="R465" s="28" t="s">
        <v>13</v>
      </c>
      <c r="S465" s="28"/>
      <c r="T465" s="28"/>
    </row>
    <row r="466" spans="1:30" ht="15" customHeight="1">
      <c r="A466" s="49">
        <v>93</v>
      </c>
      <c r="B466" s="49" t="s">
        <v>167</v>
      </c>
      <c r="C466" s="50" t="s">
        <v>68</v>
      </c>
      <c r="D466" s="63" t="s">
        <v>1237</v>
      </c>
      <c r="E466" s="27" t="s">
        <v>378</v>
      </c>
      <c r="F466" s="52" t="s">
        <v>416</v>
      </c>
      <c r="G466" s="53" t="s">
        <v>1238</v>
      </c>
      <c r="I466" s="42" t="s">
        <v>379</v>
      </c>
      <c r="J466" s="67" t="s">
        <v>1227</v>
      </c>
      <c r="L466" s="56" t="s">
        <v>377</v>
      </c>
      <c r="M466" s="67" t="s">
        <v>1239</v>
      </c>
      <c r="P466" s="28"/>
      <c r="Q466" s="28"/>
      <c r="R466" s="28"/>
      <c r="S466" s="28"/>
      <c r="T466" s="28"/>
      <c r="U466" s="1" t="s">
        <v>1240</v>
      </c>
    </row>
    <row r="467" spans="1:30" ht="15" customHeight="1">
      <c r="A467" s="49">
        <v>93</v>
      </c>
      <c r="B467" s="49" t="s">
        <v>167</v>
      </c>
      <c r="C467" s="50" t="s">
        <v>68</v>
      </c>
      <c r="D467" s="63" t="s">
        <v>1241</v>
      </c>
      <c r="E467" s="27" t="s">
        <v>378</v>
      </c>
      <c r="F467" s="52" t="s">
        <v>379</v>
      </c>
      <c r="G467" s="53" t="s">
        <v>1242</v>
      </c>
      <c r="I467" s="42" t="s">
        <v>405</v>
      </c>
      <c r="J467" s="67" t="s">
        <v>1243</v>
      </c>
      <c r="L467" s="42" t="s">
        <v>416</v>
      </c>
      <c r="M467" s="67" t="s">
        <v>1244</v>
      </c>
      <c r="P467" s="28"/>
      <c r="Q467" s="28"/>
      <c r="R467" s="28"/>
      <c r="S467" s="28"/>
      <c r="T467" s="28"/>
      <c r="U467" s="1" t="s">
        <v>1245</v>
      </c>
    </row>
    <row r="468" spans="1:30" ht="15" customHeight="1">
      <c r="A468" s="49">
        <v>94</v>
      </c>
      <c r="B468" s="49" t="s">
        <v>168</v>
      </c>
      <c r="C468" s="50" t="s">
        <v>166</v>
      </c>
      <c r="D468" s="61" t="s">
        <v>692</v>
      </c>
      <c r="E468" s="80" t="s">
        <v>692</v>
      </c>
      <c r="F468" s="52"/>
      <c r="I468" s="42"/>
      <c r="P468" s="28" t="s">
        <v>13</v>
      </c>
      <c r="Q468" s="28"/>
      <c r="R468" s="28"/>
      <c r="S468" s="28"/>
      <c r="T468" s="28"/>
    </row>
    <row r="469" spans="1:30" ht="15" customHeight="1">
      <c r="A469" s="49">
        <v>95</v>
      </c>
      <c r="B469" s="49" t="s">
        <v>169</v>
      </c>
      <c r="C469" s="50" t="s">
        <v>166</v>
      </c>
      <c r="D469" s="53" t="s">
        <v>1246</v>
      </c>
      <c r="E469" s="51" t="s">
        <v>378</v>
      </c>
      <c r="F469" s="52" t="s">
        <v>379</v>
      </c>
      <c r="G469" s="51" t="s">
        <v>1247</v>
      </c>
      <c r="I469" s="42" t="s">
        <v>377</v>
      </c>
      <c r="J469" s="51" t="s">
        <v>1248</v>
      </c>
      <c r="L469" s="56" t="s">
        <v>379</v>
      </c>
      <c r="M469" s="51" t="s">
        <v>1249</v>
      </c>
      <c r="P469" s="28" t="s">
        <v>13</v>
      </c>
      <c r="Q469" s="28"/>
      <c r="R469" s="28"/>
      <c r="S469" s="28"/>
      <c r="T469" s="28"/>
      <c r="U469" s="1" t="s">
        <v>1250</v>
      </c>
      <c r="V469" s="60" t="s">
        <v>1251</v>
      </c>
      <c r="W469" s="60" t="s">
        <v>1252</v>
      </c>
      <c r="X469" s="60" t="s">
        <v>1253</v>
      </c>
      <c r="Y469" s="1" t="s">
        <v>1254</v>
      </c>
      <c r="Z469" s="60" t="s">
        <v>1255</v>
      </c>
    </row>
    <row r="470" spans="1:30" ht="15" customHeight="1">
      <c r="A470" s="49">
        <v>95</v>
      </c>
      <c r="B470" s="49" t="s">
        <v>169</v>
      </c>
      <c r="C470" s="50" t="s">
        <v>166</v>
      </c>
      <c r="D470" s="53" t="s">
        <v>1256</v>
      </c>
      <c r="E470" s="27" t="s">
        <v>378</v>
      </c>
      <c r="F470" s="52" t="s">
        <v>416</v>
      </c>
      <c r="G470" s="51" t="s">
        <v>1257</v>
      </c>
      <c r="I470" s="42" t="s">
        <v>405</v>
      </c>
      <c r="J470" s="51" t="s">
        <v>1258</v>
      </c>
      <c r="L470" s="56" t="s">
        <v>377</v>
      </c>
      <c r="M470" s="51" t="s">
        <v>1259</v>
      </c>
      <c r="P470" s="28"/>
      <c r="Q470" s="28"/>
      <c r="R470" s="28"/>
      <c r="S470" s="28"/>
      <c r="T470" s="28"/>
      <c r="U470" s="1" t="s">
        <v>1254</v>
      </c>
      <c r="V470" s="60" t="s">
        <v>1255</v>
      </c>
      <c r="W470" s="1"/>
    </row>
    <row r="471" spans="1:30" ht="15" customHeight="1">
      <c r="A471" s="49">
        <v>95</v>
      </c>
      <c r="B471" s="49" t="s">
        <v>169</v>
      </c>
      <c r="C471" s="50" t="s">
        <v>166</v>
      </c>
      <c r="D471" s="53" t="s">
        <v>1260</v>
      </c>
      <c r="E471" s="53" t="s">
        <v>1261</v>
      </c>
      <c r="F471" s="52" t="s">
        <v>379</v>
      </c>
      <c r="G471" s="51" t="s">
        <v>1262</v>
      </c>
      <c r="I471" s="42" t="s">
        <v>379</v>
      </c>
      <c r="J471" s="51" t="s">
        <v>1263</v>
      </c>
      <c r="L471" s="56" t="s">
        <v>416</v>
      </c>
      <c r="M471" s="51" t="s">
        <v>1264</v>
      </c>
      <c r="P471" s="28" t="s">
        <v>13</v>
      </c>
      <c r="Q471" s="28"/>
      <c r="R471" s="28"/>
      <c r="S471" s="28"/>
      <c r="T471" s="28"/>
      <c r="U471" s="1" t="s">
        <v>1254</v>
      </c>
      <c r="V471" s="60" t="s">
        <v>1255</v>
      </c>
      <c r="W471" s="1" t="s">
        <v>1265</v>
      </c>
      <c r="Y471" s="1" t="s">
        <v>1266</v>
      </c>
      <c r="AA471" s="27"/>
      <c r="AB471" s="27"/>
    </row>
    <row r="472" spans="1:30" ht="15" customHeight="1">
      <c r="A472" s="49">
        <v>95</v>
      </c>
      <c r="B472" s="49" t="s">
        <v>169</v>
      </c>
      <c r="C472" s="50" t="s">
        <v>166</v>
      </c>
      <c r="D472" s="53" t="s">
        <v>1260</v>
      </c>
      <c r="E472" s="53" t="s">
        <v>1267</v>
      </c>
      <c r="F472" s="52" t="s">
        <v>416</v>
      </c>
      <c r="G472" s="51" t="s">
        <v>1268</v>
      </c>
      <c r="I472" s="42" t="s">
        <v>379</v>
      </c>
      <c r="J472" s="51" t="s">
        <v>1269</v>
      </c>
      <c r="L472" s="56" t="s">
        <v>377</v>
      </c>
      <c r="M472" s="51" t="s">
        <v>1270</v>
      </c>
      <c r="P472" s="28"/>
      <c r="Q472" s="28"/>
      <c r="R472" s="28"/>
      <c r="S472" s="28"/>
      <c r="T472" s="28"/>
      <c r="U472" s="1" t="s">
        <v>1271</v>
      </c>
      <c r="V472" s="60" t="s">
        <v>1272</v>
      </c>
      <c r="W472" s="1" t="s">
        <v>1254</v>
      </c>
      <c r="X472" s="60" t="s">
        <v>1255</v>
      </c>
    </row>
    <row r="473" spans="1:30" ht="15" customHeight="1">
      <c r="A473" s="49">
        <v>95</v>
      </c>
      <c r="B473" s="49" t="s">
        <v>169</v>
      </c>
      <c r="C473" s="50" t="s">
        <v>166</v>
      </c>
      <c r="D473" s="53" t="s">
        <v>1273</v>
      </c>
      <c r="E473" s="27" t="s">
        <v>378</v>
      </c>
      <c r="F473" s="110" t="s">
        <v>403</v>
      </c>
      <c r="G473" s="51" t="s">
        <v>1274</v>
      </c>
      <c r="I473" s="56" t="s">
        <v>403</v>
      </c>
      <c r="J473" s="51" t="s">
        <v>1275</v>
      </c>
      <c r="L473" s="56" t="s">
        <v>403</v>
      </c>
      <c r="M473" s="51" t="s">
        <v>1276</v>
      </c>
      <c r="P473" s="28"/>
      <c r="Q473" s="28"/>
      <c r="R473" s="28"/>
      <c r="S473" s="28"/>
      <c r="T473" s="28"/>
      <c r="U473" s="1" t="s">
        <v>1254</v>
      </c>
      <c r="V473" s="60" t="s">
        <v>1255</v>
      </c>
      <c r="W473" s="1"/>
      <c r="AA473" s="27"/>
      <c r="AB473" s="27"/>
      <c r="AC473" s="27"/>
      <c r="AD473" s="27"/>
    </row>
    <row r="474" spans="1:30" ht="15" customHeight="1">
      <c r="A474" s="49">
        <v>95</v>
      </c>
      <c r="B474" s="49" t="s">
        <v>169</v>
      </c>
      <c r="C474" s="50" t="s">
        <v>166</v>
      </c>
      <c r="D474" s="53" t="s">
        <v>1277</v>
      </c>
      <c r="E474" s="27" t="s">
        <v>378</v>
      </c>
      <c r="F474" s="52" t="s">
        <v>416</v>
      </c>
      <c r="G474" s="51" t="s">
        <v>1278</v>
      </c>
      <c r="H474" s="42"/>
      <c r="I474" s="56" t="s">
        <v>403</v>
      </c>
      <c r="J474" s="51" t="s">
        <v>1279</v>
      </c>
      <c r="K474" s="56"/>
      <c r="L474" s="109" t="s">
        <v>405</v>
      </c>
      <c r="M474" s="51" t="s">
        <v>1280</v>
      </c>
      <c r="N474" s="60"/>
      <c r="O474" s="28"/>
      <c r="P474" s="28"/>
      <c r="Q474" s="28"/>
      <c r="R474" s="28"/>
      <c r="S474" s="28"/>
      <c r="T474" s="1"/>
      <c r="U474" s="1" t="s">
        <v>1281</v>
      </c>
      <c r="V474" s="60" t="s">
        <v>1282</v>
      </c>
    </row>
    <row r="475" spans="1:30" ht="15" customHeight="1">
      <c r="A475" s="49">
        <v>95</v>
      </c>
      <c r="B475" s="49" t="s">
        <v>169</v>
      </c>
      <c r="C475" s="50" t="s">
        <v>166</v>
      </c>
      <c r="D475" s="53" t="s">
        <v>1283</v>
      </c>
      <c r="E475" s="27" t="s">
        <v>378</v>
      </c>
      <c r="F475" s="52" t="s">
        <v>416</v>
      </c>
      <c r="G475" s="51" t="s">
        <v>1284</v>
      </c>
      <c r="H475" s="1"/>
      <c r="I475" s="42" t="s">
        <v>416</v>
      </c>
      <c r="J475" s="63" t="s">
        <v>1285</v>
      </c>
      <c r="K475" s="56"/>
      <c r="L475" s="56" t="s">
        <v>416</v>
      </c>
      <c r="M475" s="51" t="s">
        <v>1286</v>
      </c>
      <c r="N475" s="60"/>
      <c r="O475" s="28"/>
      <c r="P475" s="28"/>
      <c r="Q475" s="28"/>
      <c r="R475" s="28"/>
      <c r="S475" s="28"/>
      <c r="T475" s="1"/>
      <c r="U475" s="1" t="s">
        <v>1287</v>
      </c>
      <c r="V475" s="60" t="s">
        <v>1288</v>
      </c>
      <c r="W475" s="1" t="s">
        <v>1120</v>
      </c>
    </row>
    <row r="476" spans="1:30" ht="15" customHeight="1">
      <c r="A476" s="49">
        <v>96</v>
      </c>
      <c r="B476" s="49" t="s">
        <v>170</v>
      </c>
      <c r="C476" s="50" t="s">
        <v>141</v>
      </c>
      <c r="D476" s="53" t="s">
        <v>1289</v>
      </c>
      <c r="E476" s="53" t="s">
        <v>1290</v>
      </c>
      <c r="F476" s="52" t="s">
        <v>377</v>
      </c>
      <c r="G476" s="53" t="s">
        <v>1291</v>
      </c>
      <c r="H476" s="53"/>
      <c r="I476" s="42" t="s">
        <v>379</v>
      </c>
      <c r="J476" s="53" t="s">
        <v>1292</v>
      </c>
      <c r="K476" s="53"/>
      <c r="L476" s="56" t="s">
        <v>377</v>
      </c>
      <c r="M476" s="51" t="s">
        <v>1293</v>
      </c>
      <c r="N476" s="53" t="s">
        <v>1294</v>
      </c>
      <c r="P476" s="28" t="s">
        <v>13</v>
      </c>
      <c r="Q476" s="28"/>
      <c r="R476" s="28"/>
      <c r="S476" s="28"/>
      <c r="T476" s="28"/>
      <c r="U476" s="40" t="s">
        <v>1295</v>
      </c>
      <c r="V476" s="27" t="s">
        <v>1296</v>
      </c>
      <c r="W476" s="1" t="s">
        <v>1297</v>
      </c>
      <c r="X476" s="60" t="s">
        <v>1298</v>
      </c>
    </row>
    <row r="477" spans="1:30" ht="15" customHeight="1">
      <c r="A477" s="49">
        <v>96</v>
      </c>
      <c r="B477" s="49" t="s">
        <v>170</v>
      </c>
      <c r="C477" s="50" t="s">
        <v>141</v>
      </c>
      <c r="D477" s="53" t="s">
        <v>1289</v>
      </c>
      <c r="E477" s="53" t="s">
        <v>1299</v>
      </c>
      <c r="F477" s="52" t="s">
        <v>377</v>
      </c>
      <c r="G477" s="53" t="s">
        <v>1300</v>
      </c>
      <c r="H477" s="53"/>
      <c r="I477" s="42" t="s">
        <v>379</v>
      </c>
      <c r="J477" s="53" t="s">
        <v>1292</v>
      </c>
      <c r="K477" s="53"/>
      <c r="L477" s="56" t="s">
        <v>377</v>
      </c>
      <c r="M477" s="51" t="s">
        <v>1293</v>
      </c>
      <c r="N477" s="101"/>
      <c r="P477" s="28"/>
      <c r="Q477" s="28"/>
      <c r="R477" s="28"/>
      <c r="S477" s="28"/>
      <c r="T477" s="28"/>
      <c r="U477" s="40" t="s">
        <v>1301</v>
      </c>
      <c r="V477" s="60" t="s">
        <v>1302</v>
      </c>
      <c r="W477" s="1" t="s">
        <v>1297</v>
      </c>
      <c r="X477" s="60" t="s">
        <v>1298</v>
      </c>
    </row>
    <row r="478" spans="1:30" ht="15" customHeight="1">
      <c r="A478" s="49">
        <v>96</v>
      </c>
      <c r="B478" s="49" t="s">
        <v>170</v>
      </c>
      <c r="C478" s="50" t="s">
        <v>141</v>
      </c>
      <c r="D478" s="53" t="s">
        <v>1289</v>
      </c>
      <c r="E478" s="53" t="s">
        <v>1303</v>
      </c>
      <c r="F478" s="52" t="s">
        <v>405</v>
      </c>
      <c r="G478" s="53" t="s">
        <v>1304</v>
      </c>
      <c r="H478" s="53"/>
      <c r="I478" s="42" t="s">
        <v>379</v>
      </c>
      <c r="J478" s="53" t="s">
        <v>1305</v>
      </c>
      <c r="K478" s="53"/>
      <c r="L478" s="109" t="s">
        <v>405</v>
      </c>
      <c r="M478" s="51" t="s">
        <v>1306</v>
      </c>
      <c r="P478" s="28"/>
      <c r="Q478" s="28"/>
      <c r="R478" s="28"/>
      <c r="S478" s="28"/>
      <c r="T478" s="28"/>
      <c r="U478" s="40" t="s">
        <v>1307</v>
      </c>
      <c r="V478" s="27"/>
    </row>
    <row r="479" spans="1:30" ht="15" customHeight="1">
      <c r="A479" s="49">
        <v>96</v>
      </c>
      <c r="B479" s="49" t="s">
        <v>170</v>
      </c>
      <c r="C479" s="50" t="s">
        <v>141</v>
      </c>
      <c r="D479" s="53" t="s">
        <v>1308</v>
      </c>
      <c r="E479" s="53" t="s">
        <v>1309</v>
      </c>
      <c r="F479" s="52" t="s">
        <v>405</v>
      </c>
      <c r="G479" s="53" t="s">
        <v>1310</v>
      </c>
      <c r="H479" s="53"/>
      <c r="I479" s="42" t="s">
        <v>416</v>
      </c>
      <c r="J479" s="53" t="s">
        <v>1248</v>
      </c>
      <c r="K479" s="53"/>
      <c r="L479" s="56" t="s">
        <v>416</v>
      </c>
      <c r="M479" s="51" t="s">
        <v>1311</v>
      </c>
      <c r="P479" s="28"/>
      <c r="Q479" s="28"/>
      <c r="R479" s="28"/>
      <c r="S479" s="28"/>
      <c r="T479" s="28"/>
      <c r="U479" s="1" t="s">
        <v>1297</v>
      </c>
      <c r="V479" s="60" t="s">
        <v>1298</v>
      </c>
    </row>
    <row r="480" spans="1:30" ht="15" customHeight="1">
      <c r="A480" s="49">
        <v>96</v>
      </c>
      <c r="B480" s="49" t="s">
        <v>170</v>
      </c>
      <c r="C480" s="50" t="s">
        <v>141</v>
      </c>
      <c r="D480" s="53" t="s">
        <v>1308</v>
      </c>
      <c r="E480" s="53" t="s">
        <v>1312</v>
      </c>
      <c r="F480" s="52" t="s">
        <v>379</v>
      </c>
      <c r="G480" s="53" t="s">
        <v>1313</v>
      </c>
      <c r="H480" s="53"/>
      <c r="I480" s="42" t="s">
        <v>379</v>
      </c>
      <c r="J480" s="53" t="s">
        <v>1314</v>
      </c>
      <c r="K480" s="53"/>
      <c r="L480" s="109" t="s">
        <v>405</v>
      </c>
      <c r="M480" s="51" t="s">
        <v>1315</v>
      </c>
      <c r="P480" s="28"/>
      <c r="Q480" s="28"/>
      <c r="R480" s="28"/>
      <c r="S480" s="28"/>
      <c r="T480" s="28"/>
      <c r="U480" s="1" t="s">
        <v>1316</v>
      </c>
      <c r="V480" s="27" t="s">
        <v>1317</v>
      </c>
      <c r="W480" s="40" t="s">
        <v>1318</v>
      </c>
      <c r="X480" s="27" t="s">
        <v>1319</v>
      </c>
    </row>
    <row r="481" spans="1:31" ht="15" customHeight="1">
      <c r="A481" s="49">
        <v>96</v>
      </c>
      <c r="B481" s="49" t="s">
        <v>170</v>
      </c>
      <c r="C481" s="50" t="s">
        <v>141</v>
      </c>
      <c r="D481" s="53" t="s">
        <v>1320</v>
      </c>
      <c r="E481" s="53" t="s">
        <v>1321</v>
      </c>
      <c r="F481" s="52" t="s">
        <v>379</v>
      </c>
      <c r="G481" s="53" t="s">
        <v>1322</v>
      </c>
      <c r="H481" s="53"/>
      <c r="I481" s="42" t="s">
        <v>416</v>
      </c>
      <c r="J481" s="53" t="s">
        <v>1248</v>
      </c>
      <c r="K481" s="53"/>
      <c r="L481" s="109" t="s">
        <v>405</v>
      </c>
      <c r="M481" s="51" t="s">
        <v>1323</v>
      </c>
      <c r="P481" s="28"/>
      <c r="Q481" s="28"/>
      <c r="R481" s="28"/>
      <c r="S481" s="28"/>
      <c r="T481" s="28"/>
      <c r="U481" s="1" t="s">
        <v>1324</v>
      </c>
      <c r="V481" s="60" t="s">
        <v>1325</v>
      </c>
      <c r="W481" s="1" t="s">
        <v>1295</v>
      </c>
      <c r="X481" s="27" t="s">
        <v>1296</v>
      </c>
      <c r="Y481" s="1"/>
    </row>
    <row r="482" spans="1:31" ht="15" customHeight="1">
      <c r="A482" s="49">
        <v>96</v>
      </c>
      <c r="B482" s="49" t="s">
        <v>170</v>
      </c>
      <c r="C482" s="50" t="s">
        <v>141</v>
      </c>
      <c r="D482" s="53" t="s">
        <v>1326</v>
      </c>
      <c r="E482" s="53" t="s">
        <v>1327</v>
      </c>
      <c r="F482" s="52" t="s">
        <v>379</v>
      </c>
      <c r="G482" s="53" t="s">
        <v>1328</v>
      </c>
      <c r="I482" s="42" t="s">
        <v>416</v>
      </c>
      <c r="J482" s="53" t="s">
        <v>1248</v>
      </c>
      <c r="L482" s="56" t="s">
        <v>379</v>
      </c>
      <c r="M482" s="51" t="s">
        <v>1329</v>
      </c>
      <c r="P482" s="28"/>
      <c r="Q482" s="28"/>
      <c r="R482" s="28"/>
      <c r="S482" s="28"/>
      <c r="T482" s="28"/>
      <c r="U482" s="1" t="s">
        <v>1324</v>
      </c>
      <c r="V482" s="60" t="s">
        <v>1325</v>
      </c>
      <c r="W482" s="1" t="s">
        <v>1297</v>
      </c>
      <c r="X482" s="60" t="s">
        <v>1298</v>
      </c>
    </row>
    <row r="483" spans="1:31" ht="15" customHeight="1">
      <c r="A483" s="49">
        <v>96</v>
      </c>
      <c r="B483" s="49" t="s">
        <v>170</v>
      </c>
      <c r="C483" s="50" t="s">
        <v>68</v>
      </c>
      <c r="D483" s="53" t="s">
        <v>1330</v>
      </c>
      <c r="E483" s="53" t="s">
        <v>1267</v>
      </c>
      <c r="F483" s="52" t="s">
        <v>416</v>
      </c>
      <c r="G483" s="53" t="s">
        <v>1331</v>
      </c>
      <c r="I483" s="42" t="s">
        <v>379</v>
      </c>
      <c r="J483" s="53" t="s">
        <v>1269</v>
      </c>
      <c r="L483" s="56" t="s">
        <v>377</v>
      </c>
      <c r="M483" s="51" t="s">
        <v>1270</v>
      </c>
      <c r="P483" s="28"/>
      <c r="Q483" s="28"/>
      <c r="R483" s="28"/>
      <c r="S483" s="28"/>
      <c r="T483" s="28"/>
      <c r="U483" s="1" t="s">
        <v>1271</v>
      </c>
      <c r="V483" s="27" t="s">
        <v>1272</v>
      </c>
      <c r="W483" s="1"/>
    </row>
    <row r="484" spans="1:31" ht="15" customHeight="1">
      <c r="A484" s="49">
        <v>97</v>
      </c>
      <c r="B484" s="49" t="s">
        <v>171</v>
      </c>
      <c r="C484" s="50" t="s">
        <v>68</v>
      </c>
      <c r="D484" s="53" t="s">
        <v>1330</v>
      </c>
      <c r="E484" s="53" t="s">
        <v>1261</v>
      </c>
      <c r="F484" s="52" t="s">
        <v>379</v>
      </c>
      <c r="G484" s="53" t="s">
        <v>1242</v>
      </c>
      <c r="I484" s="42" t="s">
        <v>379</v>
      </c>
      <c r="J484" s="53" t="s">
        <v>1269</v>
      </c>
      <c r="L484" s="56" t="s">
        <v>416</v>
      </c>
      <c r="M484" s="51" t="s">
        <v>1264</v>
      </c>
      <c r="P484" s="28" t="s">
        <v>13</v>
      </c>
      <c r="Q484" s="28"/>
      <c r="R484" s="28"/>
      <c r="S484" s="28"/>
      <c r="T484" s="28"/>
      <c r="U484" s="1" t="s">
        <v>1265</v>
      </c>
      <c r="W484" s="1" t="s">
        <v>1266</v>
      </c>
    </row>
    <row r="485" spans="1:31" ht="15" customHeight="1">
      <c r="A485" s="49">
        <v>97</v>
      </c>
      <c r="B485" s="49" t="s">
        <v>171</v>
      </c>
      <c r="C485" s="50" t="s">
        <v>68</v>
      </c>
      <c r="D485" s="53" t="s">
        <v>1332</v>
      </c>
      <c r="E485" s="53" t="s">
        <v>378</v>
      </c>
      <c r="F485" s="52" t="s">
        <v>379</v>
      </c>
      <c r="G485" s="53" t="s">
        <v>1333</v>
      </c>
      <c r="I485" s="42" t="s">
        <v>379</v>
      </c>
      <c r="J485" s="51" t="s">
        <v>771</v>
      </c>
      <c r="L485" s="56" t="s">
        <v>379</v>
      </c>
      <c r="M485" s="51" t="s">
        <v>772</v>
      </c>
      <c r="P485" s="28"/>
      <c r="Q485" s="28"/>
      <c r="R485" s="28"/>
      <c r="S485" s="28"/>
      <c r="T485" s="28"/>
      <c r="U485" s="1" t="s">
        <v>1334</v>
      </c>
      <c r="V485" s="60" t="s">
        <v>1335</v>
      </c>
      <c r="W485" s="1" t="s">
        <v>1336</v>
      </c>
      <c r="X485" s="60" t="s">
        <v>1337</v>
      </c>
      <c r="Y485" s="1" t="s">
        <v>1338</v>
      </c>
      <c r="Z485" s="60" t="s">
        <v>1339</v>
      </c>
    </row>
    <row r="486" spans="1:31" ht="15" customHeight="1">
      <c r="A486" s="49">
        <v>98</v>
      </c>
      <c r="B486" s="49" t="s">
        <v>173</v>
      </c>
      <c r="C486" s="84" t="s">
        <v>174</v>
      </c>
      <c r="D486" s="53" t="s">
        <v>1340</v>
      </c>
      <c r="E486" s="53" t="s">
        <v>378</v>
      </c>
      <c r="F486" s="52" t="s">
        <v>377</v>
      </c>
      <c r="G486" s="53" t="s">
        <v>1341</v>
      </c>
      <c r="I486" s="42" t="s">
        <v>379</v>
      </c>
      <c r="J486" s="53" t="s">
        <v>1342</v>
      </c>
      <c r="L486" s="56" t="s">
        <v>377</v>
      </c>
      <c r="M486" s="51" t="s">
        <v>1343</v>
      </c>
      <c r="P486" s="28"/>
      <c r="Q486" s="28"/>
      <c r="R486" s="28"/>
      <c r="S486" s="28"/>
      <c r="T486" s="28"/>
      <c r="U486" s="1" t="s">
        <v>1344</v>
      </c>
      <c r="V486" s="60" t="s">
        <v>1345</v>
      </c>
      <c r="W486" s="1" t="s">
        <v>1346</v>
      </c>
      <c r="Z486" s="1"/>
      <c r="AB486" s="1"/>
      <c r="AE486" s="1"/>
    </row>
    <row r="487" spans="1:31" ht="15" customHeight="1">
      <c r="A487" s="49">
        <v>98</v>
      </c>
      <c r="B487" s="49" t="s">
        <v>173</v>
      </c>
      <c r="C487" s="84" t="s">
        <v>174</v>
      </c>
      <c r="D487" s="53" t="s">
        <v>1211</v>
      </c>
      <c r="E487" s="53" t="s">
        <v>1212</v>
      </c>
      <c r="F487" s="52" t="s">
        <v>416</v>
      </c>
      <c r="G487" s="53" t="s">
        <v>1213</v>
      </c>
      <c r="I487" s="42" t="s">
        <v>416</v>
      </c>
      <c r="J487" s="53" t="s">
        <v>1347</v>
      </c>
      <c r="L487" s="109" t="s">
        <v>405</v>
      </c>
      <c r="M487" s="53" t="s">
        <v>1348</v>
      </c>
      <c r="P487" s="28"/>
      <c r="Q487" s="28"/>
      <c r="R487" s="28"/>
      <c r="S487" s="28"/>
      <c r="T487" s="28"/>
      <c r="U487" s="1" t="s">
        <v>1216</v>
      </c>
      <c r="W487" s="1" t="s">
        <v>1217</v>
      </c>
      <c r="X487" s="60" t="s">
        <v>1218</v>
      </c>
      <c r="Y487" s="60" t="s">
        <v>1219</v>
      </c>
      <c r="Z487" s="1" t="s">
        <v>1220</v>
      </c>
      <c r="AA487" s="60" t="s">
        <v>1221</v>
      </c>
      <c r="AB487" s="1"/>
      <c r="AE487" s="1"/>
    </row>
    <row r="488" spans="1:31" ht="15" customHeight="1">
      <c r="A488" s="49">
        <v>98</v>
      </c>
      <c r="B488" s="49" t="s">
        <v>173</v>
      </c>
      <c r="C488" s="84" t="s">
        <v>174</v>
      </c>
      <c r="D488" s="53" t="s">
        <v>1211</v>
      </c>
      <c r="E488" s="53" t="s">
        <v>1349</v>
      </c>
      <c r="F488" s="52" t="s">
        <v>416</v>
      </c>
      <c r="G488" s="53" t="s">
        <v>1350</v>
      </c>
      <c r="I488" s="42" t="s">
        <v>416</v>
      </c>
      <c r="J488" s="53" t="s">
        <v>1351</v>
      </c>
      <c r="L488" s="56" t="s">
        <v>379</v>
      </c>
      <c r="M488" s="51" t="s">
        <v>1352</v>
      </c>
      <c r="P488" s="28" t="s">
        <v>13</v>
      </c>
      <c r="Q488" s="28" t="s">
        <v>13</v>
      </c>
      <c r="R488" s="28"/>
      <c r="S488" s="28"/>
      <c r="T488" s="28"/>
      <c r="U488" s="1" t="s">
        <v>1344</v>
      </c>
      <c r="V488" s="60" t="s">
        <v>1345</v>
      </c>
      <c r="W488" s="1" t="s">
        <v>1353</v>
      </c>
      <c r="Z488" s="1"/>
      <c r="AB488" s="1"/>
      <c r="AE488" s="1"/>
    </row>
    <row r="489" spans="1:31" ht="15" customHeight="1">
      <c r="A489" s="49">
        <v>98</v>
      </c>
      <c r="B489" s="49" t="s">
        <v>173</v>
      </c>
      <c r="C489" s="84" t="s">
        <v>174</v>
      </c>
      <c r="D489" s="53" t="s">
        <v>1062</v>
      </c>
      <c r="E489" s="53" t="s">
        <v>1354</v>
      </c>
      <c r="F489" s="52" t="s">
        <v>416</v>
      </c>
      <c r="G489" s="53" t="s">
        <v>1355</v>
      </c>
      <c r="H489" s="27"/>
      <c r="I489" s="56" t="s">
        <v>403</v>
      </c>
      <c r="J489" s="53" t="s">
        <v>1194</v>
      </c>
      <c r="L489" s="56" t="s">
        <v>416</v>
      </c>
      <c r="M489" s="53" t="s">
        <v>1356</v>
      </c>
      <c r="P489" s="28"/>
      <c r="Q489" s="28"/>
      <c r="R489" s="28"/>
      <c r="S489" s="28"/>
      <c r="T489" s="28"/>
      <c r="U489" s="1" t="s">
        <v>1344</v>
      </c>
      <c r="V489" s="60" t="s">
        <v>1345</v>
      </c>
      <c r="W489" s="1" t="s">
        <v>1357</v>
      </c>
      <c r="X489" s="60" t="s">
        <v>1358</v>
      </c>
      <c r="Y489" s="60" t="s">
        <v>1359</v>
      </c>
      <c r="Z489" s="1" t="s">
        <v>1360</v>
      </c>
      <c r="AA489" s="1" t="s">
        <v>1361</v>
      </c>
      <c r="AB489" s="60" t="s">
        <v>1196</v>
      </c>
      <c r="AC489" s="1" t="s">
        <v>1120</v>
      </c>
      <c r="AE489" s="1"/>
    </row>
    <row r="490" spans="1:31" ht="15" customHeight="1">
      <c r="A490" s="49">
        <v>98</v>
      </c>
      <c r="B490" s="49" t="s">
        <v>173</v>
      </c>
      <c r="C490" s="84" t="s">
        <v>174</v>
      </c>
      <c r="D490" s="53" t="s">
        <v>1062</v>
      </c>
      <c r="E490" s="53" t="s">
        <v>1362</v>
      </c>
      <c r="F490" s="42" t="s">
        <v>405</v>
      </c>
      <c r="G490" s="53" t="s">
        <v>1363</v>
      </c>
      <c r="I490" s="56" t="s">
        <v>403</v>
      </c>
      <c r="J490" s="53" t="s">
        <v>1194</v>
      </c>
      <c r="L490" s="56" t="s">
        <v>416</v>
      </c>
      <c r="M490" s="53" t="s">
        <v>1364</v>
      </c>
      <c r="P490" s="28"/>
      <c r="Q490" s="28"/>
      <c r="R490" s="28"/>
      <c r="S490" s="28"/>
      <c r="T490" s="28"/>
      <c r="U490" s="1" t="s">
        <v>1120</v>
      </c>
      <c r="W490" s="1" t="s">
        <v>1365</v>
      </c>
      <c r="X490" s="60" t="s">
        <v>1358</v>
      </c>
      <c r="Y490" s="1" t="s">
        <v>1366</v>
      </c>
      <c r="Z490" s="1"/>
      <c r="AB490" s="1"/>
      <c r="AE490" s="1"/>
    </row>
    <row r="491" spans="1:31" ht="15" customHeight="1">
      <c r="A491" s="49">
        <v>98</v>
      </c>
      <c r="B491" s="49" t="s">
        <v>173</v>
      </c>
      <c r="C491" s="84" t="s">
        <v>174</v>
      </c>
      <c r="D491" s="53" t="s">
        <v>1062</v>
      </c>
      <c r="E491" s="53" t="s">
        <v>1192</v>
      </c>
      <c r="F491" s="52" t="s">
        <v>379</v>
      </c>
      <c r="G491" s="53" t="s">
        <v>1367</v>
      </c>
      <c r="I491" s="42" t="s">
        <v>377</v>
      </c>
      <c r="J491" s="53" t="s">
        <v>1194</v>
      </c>
      <c r="L491" s="109" t="s">
        <v>405</v>
      </c>
      <c r="M491" s="53" t="s">
        <v>1195</v>
      </c>
      <c r="P491" s="28"/>
      <c r="Q491" s="28"/>
      <c r="R491" s="28"/>
      <c r="S491" s="28"/>
      <c r="T491" s="28"/>
      <c r="U491" s="60" t="s">
        <v>1196</v>
      </c>
      <c r="V491" s="1" t="s">
        <v>1120</v>
      </c>
      <c r="W491" s="1"/>
    </row>
    <row r="492" spans="1:31" ht="15" customHeight="1">
      <c r="A492" s="49">
        <v>99</v>
      </c>
      <c r="B492" s="49" t="s">
        <v>175</v>
      </c>
      <c r="C492" s="50" t="s">
        <v>176</v>
      </c>
      <c r="D492" s="51" t="s">
        <v>1368</v>
      </c>
      <c r="E492" s="51" t="s">
        <v>1112</v>
      </c>
      <c r="F492" s="111" t="s">
        <v>379</v>
      </c>
      <c r="G492" s="51" t="s">
        <v>1369</v>
      </c>
      <c r="I492" s="42" t="s">
        <v>416</v>
      </c>
      <c r="J492" s="51" t="s">
        <v>1370</v>
      </c>
      <c r="L492" s="56" t="s">
        <v>377</v>
      </c>
      <c r="M492" s="51" t="s">
        <v>1371</v>
      </c>
      <c r="P492" s="28"/>
      <c r="Q492" s="28"/>
      <c r="R492" s="28"/>
      <c r="S492" s="28"/>
      <c r="T492" s="28"/>
      <c r="U492" s="1" t="s">
        <v>1334</v>
      </c>
      <c r="V492" s="27" t="s">
        <v>1335</v>
      </c>
      <c r="W492" s="1" t="s">
        <v>1372</v>
      </c>
      <c r="X492" s="60" t="s">
        <v>1337</v>
      </c>
      <c r="Z492" s="40" t="s">
        <v>1120</v>
      </c>
    </row>
    <row r="493" spans="1:31" ht="15" customHeight="1">
      <c r="A493" s="49">
        <v>99</v>
      </c>
      <c r="B493" s="49" t="s">
        <v>175</v>
      </c>
      <c r="C493" s="50" t="s">
        <v>176</v>
      </c>
      <c r="D493" s="51" t="s">
        <v>1373</v>
      </c>
      <c r="E493" s="51" t="s">
        <v>1374</v>
      </c>
      <c r="F493" s="111" t="s">
        <v>377</v>
      </c>
      <c r="G493" s="51" t="s">
        <v>1375</v>
      </c>
      <c r="I493" s="42" t="s">
        <v>379</v>
      </c>
      <c r="J493" s="51" t="s">
        <v>1376</v>
      </c>
      <c r="L493" s="56" t="s">
        <v>377</v>
      </c>
      <c r="M493" s="51" t="s">
        <v>1377</v>
      </c>
      <c r="N493" s="40"/>
      <c r="P493" s="28"/>
      <c r="Q493" s="28"/>
      <c r="R493" s="28"/>
      <c r="S493" s="28"/>
      <c r="T493" s="28"/>
      <c r="U493" s="1" t="s">
        <v>1334</v>
      </c>
      <c r="V493" s="27" t="s">
        <v>1378</v>
      </c>
      <c r="W493" s="1" t="s">
        <v>1379</v>
      </c>
      <c r="X493" s="60" t="s">
        <v>1337</v>
      </c>
    </row>
    <row r="494" spans="1:31" ht="15" customHeight="1">
      <c r="A494" s="49">
        <v>99</v>
      </c>
      <c r="B494" s="49" t="s">
        <v>175</v>
      </c>
      <c r="C494" s="50" t="s">
        <v>176</v>
      </c>
      <c r="D494" s="51" t="s">
        <v>1373</v>
      </c>
      <c r="E494" s="51" t="s">
        <v>1380</v>
      </c>
      <c r="F494" s="111" t="s">
        <v>416</v>
      </c>
      <c r="G494" s="51" t="s">
        <v>1381</v>
      </c>
      <c r="I494" s="42" t="s">
        <v>416</v>
      </c>
      <c r="J494" s="51" t="s">
        <v>1382</v>
      </c>
      <c r="L494" s="56" t="s">
        <v>416</v>
      </c>
      <c r="M494" s="51" t="s">
        <v>1383</v>
      </c>
      <c r="N494" s="40"/>
      <c r="P494" s="28"/>
      <c r="Q494" s="28"/>
      <c r="R494" s="28"/>
      <c r="S494" s="28"/>
      <c r="T494" s="28"/>
      <c r="U494" s="1" t="s">
        <v>1384</v>
      </c>
      <c r="V494" s="27" t="s">
        <v>1378</v>
      </c>
      <c r="W494" s="1" t="s">
        <v>1385</v>
      </c>
      <c r="X494" s="60" t="s">
        <v>1337</v>
      </c>
    </row>
    <row r="495" spans="1:31" ht="15" customHeight="1">
      <c r="A495" s="49">
        <v>99</v>
      </c>
      <c r="B495" s="49" t="s">
        <v>175</v>
      </c>
      <c r="C495" s="50" t="s">
        <v>176</v>
      </c>
      <c r="D495" s="51" t="s">
        <v>1373</v>
      </c>
      <c r="E495" s="51" t="s">
        <v>1386</v>
      </c>
      <c r="F495" s="111" t="s">
        <v>379</v>
      </c>
      <c r="G495" s="51" t="s">
        <v>1387</v>
      </c>
      <c r="I495" s="42" t="s">
        <v>379</v>
      </c>
      <c r="J495" s="51" t="s">
        <v>1388</v>
      </c>
      <c r="L495" s="109" t="s">
        <v>405</v>
      </c>
      <c r="M495" s="51" t="s">
        <v>1389</v>
      </c>
      <c r="O495" s="27"/>
      <c r="P495" s="28" t="s">
        <v>13</v>
      </c>
      <c r="Q495" s="28"/>
      <c r="R495" s="28"/>
      <c r="S495" s="28"/>
      <c r="T495" s="28"/>
      <c r="U495" s="1" t="s">
        <v>1384</v>
      </c>
      <c r="V495" s="27" t="s">
        <v>1335</v>
      </c>
      <c r="W495" s="1" t="s">
        <v>1390</v>
      </c>
      <c r="X495" s="60" t="s">
        <v>1337</v>
      </c>
    </row>
    <row r="496" spans="1:31" ht="15" customHeight="1">
      <c r="A496" s="49">
        <v>99</v>
      </c>
      <c r="B496" s="49" t="s">
        <v>175</v>
      </c>
      <c r="C496" s="50" t="s">
        <v>176</v>
      </c>
      <c r="D496" s="51" t="s">
        <v>1373</v>
      </c>
      <c r="E496" s="51" t="s">
        <v>1391</v>
      </c>
      <c r="F496" s="111" t="s">
        <v>416</v>
      </c>
      <c r="G496" s="51" t="s">
        <v>1392</v>
      </c>
      <c r="H496" s="27"/>
      <c r="I496" s="42" t="s">
        <v>379</v>
      </c>
      <c r="J496" s="51" t="s">
        <v>1393</v>
      </c>
      <c r="K496" s="27"/>
      <c r="L496" s="56" t="s">
        <v>416</v>
      </c>
      <c r="M496" s="51" t="s">
        <v>1394</v>
      </c>
      <c r="O496" s="27"/>
      <c r="U496" s="1" t="s">
        <v>1334</v>
      </c>
      <c r="V496" s="27" t="s">
        <v>1335</v>
      </c>
      <c r="W496" s="1" t="s">
        <v>1395</v>
      </c>
      <c r="X496" s="60" t="s">
        <v>1337</v>
      </c>
      <c r="Y496" s="27"/>
      <c r="Z496" s="27"/>
      <c r="AA496" s="27"/>
      <c r="AB496" s="27"/>
      <c r="AC496" s="27"/>
      <c r="AD496" s="27"/>
    </row>
    <row r="497" spans="1:30" ht="15" customHeight="1">
      <c r="A497" s="49">
        <v>99</v>
      </c>
      <c r="B497" s="49" t="s">
        <v>175</v>
      </c>
      <c r="C497" s="50" t="s">
        <v>176</v>
      </c>
      <c r="D497" s="51" t="s">
        <v>1373</v>
      </c>
      <c r="E497" s="51" t="s">
        <v>1396</v>
      </c>
      <c r="F497" s="111" t="s">
        <v>379</v>
      </c>
      <c r="G497" s="51" t="s">
        <v>1397</v>
      </c>
      <c r="H497" s="27"/>
      <c r="I497" s="111" t="s">
        <v>377</v>
      </c>
      <c r="J497" s="51" t="s">
        <v>1398</v>
      </c>
      <c r="K497" s="27"/>
      <c r="L497" s="56" t="s">
        <v>379</v>
      </c>
      <c r="M497" s="51" t="s">
        <v>1399</v>
      </c>
      <c r="O497" s="27"/>
      <c r="U497" s="1" t="s">
        <v>1384</v>
      </c>
      <c r="V497" s="27" t="s">
        <v>1335</v>
      </c>
      <c r="W497" s="1" t="s">
        <v>1400</v>
      </c>
      <c r="X497" s="60" t="s">
        <v>1337</v>
      </c>
      <c r="Y497" s="27"/>
      <c r="Z497" s="27"/>
      <c r="AA497" s="27"/>
      <c r="AB497" s="27"/>
      <c r="AC497" s="27"/>
      <c r="AD497" s="27"/>
    </row>
    <row r="498" spans="1:30" ht="15" customHeight="1">
      <c r="A498" s="49">
        <v>99</v>
      </c>
      <c r="B498" s="49" t="s">
        <v>175</v>
      </c>
      <c r="C498" s="50" t="s">
        <v>176</v>
      </c>
      <c r="D498" s="51" t="s">
        <v>1332</v>
      </c>
      <c r="E498" s="51" t="s">
        <v>378</v>
      </c>
      <c r="F498" s="111" t="s">
        <v>379</v>
      </c>
      <c r="G498" s="51" t="s">
        <v>1401</v>
      </c>
      <c r="I498" s="42" t="s">
        <v>379</v>
      </c>
      <c r="J498" s="51" t="s">
        <v>771</v>
      </c>
      <c r="L498" s="56" t="s">
        <v>379</v>
      </c>
      <c r="M498" s="51" t="s">
        <v>772</v>
      </c>
      <c r="P498" s="28"/>
      <c r="Q498" s="28"/>
      <c r="R498" s="28"/>
      <c r="S498" s="28"/>
      <c r="T498" s="28"/>
      <c r="U498" s="1" t="s">
        <v>1334</v>
      </c>
      <c r="V498" s="27" t="s">
        <v>1335</v>
      </c>
      <c r="W498" s="1" t="s">
        <v>1336</v>
      </c>
      <c r="X498" s="60" t="s">
        <v>1337</v>
      </c>
    </row>
    <row r="499" spans="1:30" ht="15" customHeight="1">
      <c r="A499" s="49">
        <v>99</v>
      </c>
      <c r="B499" s="49" t="s">
        <v>175</v>
      </c>
      <c r="C499" s="50" t="s">
        <v>176</v>
      </c>
      <c r="D499" s="51" t="s">
        <v>698</v>
      </c>
      <c r="E499" s="51" t="s">
        <v>820</v>
      </c>
      <c r="F499" s="111" t="s">
        <v>377</v>
      </c>
      <c r="G499" s="51" t="s">
        <v>1402</v>
      </c>
      <c r="I499" s="93" t="s">
        <v>416</v>
      </c>
      <c r="J499" s="51" t="s">
        <v>823</v>
      </c>
      <c r="K499" s="67"/>
      <c r="L499" s="94" t="s">
        <v>377</v>
      </c>
      <c r="M499" s="51" t="s">
        <v>702</v>
      </c>
      <c r="P499" s="28"/>
      <c r="Q499" s="28"/>
      <c r="R499" s="28"/>
      <c r="S499" s="28"/>
      <c r="T499" s="28"/>
      <c r="U499" s="1" t="s">
        <v>1384</v>
      </c>
      <c r="V499" s="27" t="s">
        <v>1335</v>
      </c>
      <c r="W499" s="1" t="s">
        <v>1403</v>
      </c>
      <c r="X499" s="60" t="s">
        <v>1337</v>
      </c>
    </row>
    <row r="500" spans="1:30" ht="15" customHeight="1">
      <c r="A500" s="49">
        <v>100</v>
      </c>
      <c r="B500" s="49" t="s">
        <v>177</v>
      </c>
      <c r="C500" s="50" t="s">
        <v>178</v>
      </c>
      <c r="D500" s="51" t="s">
        <v>1404</v>
      </c>
      <c r="E500" s="51" t="s">
        <v>378</v>
      </c>
      <c r="F500" s="93" t="s">
        <v>377</v>
      </c>
      <c r="G500" s="57" t="s">
        <v>923</v>
      </c>
      <c r="H500" s="57"/>
      <c r="I500" s="42" t="s">
        <v>379</v>
      </c>
      <c r="J500" s="57" t="s">
        <v>924</v>
      </c>
      <c r="K500" s="57"/>
      <c r="L500" s="56" t="s">
        <v>377</v>
      </c>
      <c r="M500" s="57" t="s">
        <v>924</v>
      </c>
      <c r="P500" s="28" t="s">
        <v>13</v>
      </c>
      <c r="Q500" s="28" t="s">
        <v>13</v>
      </c>
      <c r="R500" s="28"/>
      <c r="S500" s="28"/>
      <c r="T500" s="28"/>
      <c r="U500" s="1" t="s">
        <v>926</v>
      </c>
      <c r="V500" s="57" t="s">
        <v>927</v>
      </c>
      <c r="W500" s="1" t="s">
        <v>928</v>
      </c>
      <c r="X500" s="57" t="s">
        <v>929</v>
      </c>
      <c r="Y500" s="1" t="s">
        <v>928</v>
      </c>
      <c r="Z500" s="57" t="s">
        <v>929</v>
      </c>
      <c r="AA500" s="1" t="s">
        <v>930</v>
      </c>
      <c r="AB500" s="57" t="s">
        <v>931</v>
      </c>
    </row>
    <row r="501" spans="1:30" ht="15" customHeight="1">
      <c r="A501" s="49">
        <v>100</v>
      </c>
      <c r="B501" s="49" t="s">
        <v>177</v>
      </c>
      <c r="C501" s="50" t="s">
        <v>178</v>
      </c>
      <c r="D501" s="51" t="s">
        <v>1405</v>
      </c>
      <c r="E501" s="51" t="s">
        <v>378</v>
      </c>
      <c r="F501" s="93" t="s">
        <v>416</v>
      </c>
      <c r="G501" s="57" t="s">
        <v>933</v>
      </c>
      <c r="H501" s="57"/>
      <c r="I501" s="42" t="s">
        <v>405</v>
      </c>
      <c r="J501" s="57" t="s">
        <v>934</v>
      </c>
      <c r="K501" s="57"/>
      <c r="L501" s="56" t="s">
        <v>377</v>
      </c>
      <c r="M501" s="57" t="s">
        <v>935</v>
      </c>
      <c r="P501" s="28" t="s">
        <v>13</v>
      </c>
      <c r="Q501" s="28" t="s">
        <v>13</v>
      </c>
      <c r="R501" s="28"/>
      <c r="S501" s="28"/>
      <c r="T501" s="28"/>
      <c r="U501" s="1" t="s">
        <v>936</v>
      </c>
      <c r="V501" s="57" t="s">
        <v>937</v>
      </c>
      <c r="W501" s="1" t="s">
        <v>928</v>
      </c>
      <c r="X501" s="57" t="s">
        <v>929</v>
      </c>
      <c r="Y501" s="1" t="s">
        <v>928</v>
      </c>
      <c r="Z501" s="57" t="s">
        <v>929</v>
      </c>
      <c r="AA501" s="1" t="s">
        <v>930</v>
      </c>
      <c r="AB501" s="57" t="s">
        <v>931</v>
      </c>
    </row>
    <row r="502" spans="1:30" ht="15" customHeight="1">
      <c r="A502" s="49">
        <v>100</v>
      </c>
      <c r="B502" s="49" t="s">
        <v>177</v>
      </c>
      <c r="C502" s="50" t="s">
        <v>178</v>
      </c>
      <c r="D502" s="51" t="s">
        <v>1191</v>
      </c>
      <c r="E502" s="51" t="s">
        <v>949</v>
      </c>
      <c r="F502" s="93" t="s">
        <v>416</v>
      </c>
      <c r="G502" s="57" t="s">
        <v>950</v>
      </c>
      <c r="H502" s="57"/>
      <c r="I502" s="42" t="s">
        <v>416</v>
      </c>
      <c r="J502" s="57" t="s">
        <v>951</v>
      </c>
      <c r="K502" s="57"/>
      <c r="L502" s="56" t="s">
        <v>379</v>
      </c>
      <c r="M502" s="57" t="s">
        <v>952</v>
      </c>
      <c r="O502" s="112"/>
      <c r="P502" s="28" t="s">
        <v>13</v>
      </c>
      <c r="Q502" s="28" t="s">
        <v>13</v>
      </c>
      <c r="U502" s="1" t="s">
        <v>953</v>
      </c>
      <c r="V502" s="57" t="s">
        <v>954</v>
      </c>
      <c r="W502" s="1" t="s">
        <v>928</v>
      </c>
      <c r="X502" s="57" t="s">
        <v>929</v>
      </c>
      <c r="Y502" s="1" t="s">
        <v>928</v>
      </c>
      <c r="Z502" s="57" t="s">
        <v>929</v>
      </c>
      <c r="AA502" s="1" t="s">
        <v>930</v>
      </c>
      <c r="AB502" s="57" t="s">
        <v>931</v>
      </c>
    </row>
    <row r="503" spans="1:30" ht="15" customHeight="1">
      <c r="A503" s="49">
        <v>100</v>
      </c>
      <c r="B503" s="49" t="s">
        <v>177</v>
      </c>
      <c r="C503" s="50" t="s">
        <v>178</v>
      </c>
      <c r="D503" s="51" t="s">
        <v>1191</v>
      </c>
      <c r="E503" s="57" t="s">
        <v>955</v>
      </c>
      <c r="F503" s="42" t="s">
        <v>405</v>
      </c>
      <c r="G503" s="57" t="s">
        <v>956</v>
      </c>
      <c r="H503" s="57"/>
      <c r="I503" s="42" t="s">
        <v>405</v>
      </c>
      <c r="J503" s="57" t="s">
        <v>957</v>
      </c>
      <c r="K503" s="57"/>
      <c r="L503" s="56" t="s">
        <v>377</v>
      </c>
      <c r="M503" s="57" t="s">
        <v>958</v>
      </c>
      <c r="P503" s="28" t="s">
        <v>13</v>
      </c>
      <c r="Q503" s="28" t="s">
        <v>13</v>
      </c>
      <c r="U503" s="1" t="s">
        <v>959</v>
      </c>
      <c r="V503" s="57" t="s">
        <v>960</v>
      </c>
      <c r="W503" s="1" t="s">
        <v>928</v>
      </c>
      <c r="X503" s="57" t="s">
        <v>929</v>
      </c>
      <c r="Y503" s="1" t="s">
        <v>928</v>
      </c>
      <c r="Z503" s="57" t="s">
        <v>929</v>
      </c>
      <c r="AA503" s="1" t="s">
        <v>930</v>
      </c>
      <c r="AB503" s="57" t="s">
        <v>931</v>
      </c>
    </row>
    <row r="504" spans="1:30" ht="15" customHeight="1">
      <c r="A504" s="49">
        <v>101</v>
      </c>
      <c r="B504" s="49" t="s">
        <v>179</v>
      </c>
      <c r="C504" s="50" t="s">
        <v>180</v>
      </c>
      <c r="D504" s="51" t="s">
        <v>1406</v>
      </c>
      <c r="E504" s="27" t="s">
        <v>378</v>
      </c>
      <c r="F504" s="42" t="s">
        <v>405</v>
      </c>
      <c r="G504" s="57" t="s">
        <v>1407</v>
      </c>
      <c r="H504" s="57"/>
      <c r="I504" s="42" t="s">
        <v>416</v>
      </c>
      <c r="J504" s="57" t="s">
        <v>1408</v>
      </c>
      <c r="K504" s="57"/>
      <c r="L504" s="56" t="s">
        <v>377</v>
      </c>
      <c r="M504" s="57" t="s">
        <v>1409</v>
      </c>
      <c r="O504" s="57"/>
      <c r="P504" s="28"/>
      <c r="Q504" s="28"/>
      <c r="R504" s="28"/>
      <c r="S504" s="28"/>
      <c r="T504" s="28"/>
      <c r="U504" s="1" t="s">
        <v>1410</v>
      </c>
      <c r="V504" s="57" t="s">
        <v>1411</v>
      </c>
      <c r="Z504" s="57"/>
    </row>
    <row r="505" spans="1:30" ht="15" customHeight="1">
      <c r="A505" s="49">
        <v>101</v>
      </c>
      <c r="B505" s="49" t="s">
        <v>179</v>
      </c>
      <c r="C505" s="50" t="s">
        <v>1412</v>
      </c>
      <c r="D505" s="51" t="s">
        <v>1413</v>
      </c>
      <c r="E505" s="27" t="s">
        <v>378</v>
      </c>
      <c r="F505" s="42" t="s">
        <v>416</v>
      </c>
      <c r="G505" s="57" t="s">
        <v>1414</v>
      </c>
      <c r="H505" s="57"/>
      <c r="I505" s="42" t="s">
        <v>377</v>
      </c>
      <c r="J505" s="57" t="s">
        <v>1415</v>
      </c>
      <c r="K505" s="57"/>
      <c r="L505" s="56" t="s">
        <v>377</v>
      </c>
      <c r="M505" s="51" t="s">
        <v>1416</v>
      </c>
      <c r="O505" s="57" t="s">
        <v>1417</v>
      </c>
      <c r="P505" s="28"/>
      <c r="Q505" s="28"/>
      <c r="R505" s="28"/>
      <c r="S505" s="28"/>
      <c r="T505" s="28"/>
      <c r="U505" s="1" t="s">
        <v>1418</v>
      </c>
      <c r="V505" s="57" t="s">
        <v>1419</v>
      </c>
      <c r="Z505" s="57"/>
    </row>
    <row r="506" spans="1:30" ht="15" customHeight="1">
      <c r="A506" s="49">
        <v>101</v>
      </c>
      <c r="B506" s="49" t="s">
        <v>179</v>
      </c>
      <c r="C506" s="50" t="s">
        <v>1420</v>
      </c>
      <c r="D506" s="51" t="s">
        <v>1421</v>
      </c>
      <c r="E506" s="27" t="s">
        <v>378</v>
      </c>
      <c r="F506" s="42" t="s">
        <v>405</v>
      </c>
      <c r="G506" s="57" t="s">
        <v>1422</v>
      </c>
      <c r="H506" s="57"/>
      <c r="I506" s="42" t="s">
        <v>405</v>
      </c>
      <c r="J506" s="57" t="s">
        <v>1423</v>
      </c>
      <c r="K506" s="57"/>
      <c r="L506" s="56" t="s">
        <v>377</v>
      </c>
      <c r="M506" s="51" t="s">
        <v>1424</v>
      </c>
      <c r="O506" s="57" t="s">
        <v>1425</v>
      </c>
      <c r="P506" s="28"/>
      <c r="Q506" s="28"/>
      <c r="R506" s="28"/>
      <c r="S506" s="28"/>
      <c r="T506" s="28"/>
      <c r="U506" s="1" t="s">
        <v>1426</v>
      </c>
      <c r="V506" s="57" t="s">
        <v>1427</v>
      </c>
      <c r="Z506" s="57"/>
    </row>
    <row r="507" spans="1:30" ht="15" customHeight="1">
      <c r="A507" s="49">
        <v>101</v>
      </c>
      <c r="B507" s="49" t="s">
        <v>179</v>
      </c>
      <c r="C507" s="50" t="s">
        <v>1428</v>
      </c>
      <c r="D507" s="51" t="s">
        <v>1429</v>
      </c>
      <c r="E507" s="27" t="s">
        <v>378</v>
      </c>
      <c r="F507" s="42" t="s">
        <v>379</v>
      </c>
      <c r="G507" s="57" t="s">
        <v>1430</v>
      </c>
      <c r="H507" s="57"/>
      <c r="I507" s="42" t="s">
        <v>379</v>
      </c>
      <c r="J507" s="57" t="s">
        <v>1431</v>
      </c>
      <c r="K507" s="57"/>
      <c r="L507" s="56" t="s">
        <v>379</v>
      </c>
      <c r="M507" s="51" t="s">
        <v>1432</v>
      </c>
      <c r="O507" s="57"/>
      <c r="P507" s="28"/>
      <c r="Q507" s="28"/>
      <c r="R507" s="28"/>
      <c r="S507" s="28"/>
      <c r="T507" s="28"/>
      <c r="U507" s="1" t="s">
        <v>1433</v>
      </c>
      <c r="V507" s="57" t="s">
        <v>1434</v>
      </c>
      <c r="W507" s="40" t="s">
        <v>1435</v>
      </c>
      <c r="X507" s="57" t="s">
        <v>1436</v>
      </c>
      <c r="Z507" s="57"/>
    </row>
    <row r="508" spans="1:30" ht="15" customHeight="1">
      <c r="A508" s="49">
        <v>102</v>
      </c>
      <c r="B508" s="49" t="s">
        <v>181</v>
      </c>
      <c r="C508" s="50" t="s">
        <v>182</v>
      </c>
      <c r="D508" s="51" t="s">
        <v>1437</v>
      </c>
      <c r="E508" s="51" t="s">
        <v>1438</v>
      </c>
      <c r="F508" s="42" t="s">
        <v>405</v>
      </c>
      <c r="G508" s="51" t="s">
        <v>1439</v>
      </c>
      <c r="I508" s="42" t="s">
        <v>416</v>
      </c>
      <c r="J508" s="27" t="s">
        <v>1440</v>
      </c>
      <c r="K508" s="27"/>
      <c r="L508" s="56" t="s">
        <v>403</v>
      </c>
      <c r="M508" s="51" t="s">
        <v>1441</v>
      </c>
      <c r="P508" s="28"/>
      <c r="Q508" s="28"/>
      <c r="R508" s="28"/>
      <c r="S508" s="28"/>
      <c r="T508" s="28"/>
      <c r="U508" s="1" t="s">
        <v>1442</v>
      </c>
      <c r="V508" s="60" t="s">
        <v>1443</v>
      </c>
      <c r="W508" s="40" t="s">
        <v>1120</v>
      </c>
      <c r="X508" s="57"/>
    </row>
    <row r="509" spans="1:30" ht="15" customHeight="1">
      <c r="A509" s="49">
        <v>102</v>
      </c>
      <c r="B509" s="49" t="s">
        <v>181</v>
      </c>
      <c r="C509" s="50" t="s">
        <v>182</v>
      </c>
      <c r="D509" s="51" t="s">
        <v>1373</v>
      </c>
      <c r="E509" s="51" t="s">
        <v>1444</v>
      </c>
      <c r="F509" s="52" t="s">
        <v>1445</v>
      </c>
      <c r="G509" s="80" t="s">
        <v>1446</v>
      </c>
      <c r="I509" s="42" t="s">
        <v>379</v>
      </c>
      <c r="J509" s="51" t="s">
        <v>1447</v>
      </c>
      <c r="K509" s="27"/>
      <c r="L509" s="113" t="s">
        <v>416</v>
      </c>
      <c r="M509" s="51" t="s">
        <v>1448</v>
      </c>
      <c r="P509" s="28"/>
      <c r="Q509" s="28"/>
      <c r="R509" s="28"/>
      <c r="S509" s="28"/>
      <c r="T509" s="28"/>
      <c r="U509" s="1" t="s">
        <v>1449</v>
      </c>
      <c r="W509" s="40" t="s">
        <v>1450</v>
      </c>
      <c r="X509" s="57"/>
    </row>
    <row r="510" spans="1:30" ht="15" customHeight="1">
      <c r="A510" s="49">
        <v>102</v>
      </c>
      <c r="B510" s="49" t="s">
        <v>181</v>
      </c>
      <c r="C510" s="50" t="s">
        <v>182</v>
      </c>
      <c r="D510" s="51" t="s">
        <v>1373</v>
      </c>
      <c r="E510" s="51" t="s">
        <v>1386</v>
      </c>
      <c r="F510" s="111" t="s">
        <v>379</v>
      </c>
      <c r="G510" s="51" t="s">
        <v>1451</v>
      </c>
      <c r="I510" s="42" t="s">
        <v>405</v>
      </c>
      <c r="J510" s="51" t="s">
        <v>1452</v>
      </c>
      <c r="L510" s="109" t="s">
        <v>405</v>
      </c>
      <c r="M510" s="51" t="s">
        <v>1389</v>
      </c>
      <c r="P510" s="28" t="s">
        <v>13</v>
      </c>
      <c r="Q510" s="28" t="s">
        <v>13</v>
      </c>
      <c r="R510" s="28"/>
      <c r="S510" s="28"/>
      <c r="U510" s="4" t="s">
        <v>1453</v>
      </c>
      <c r="V510" s="27" t="s">
        <v>1454</v>
      </c>
      <c r="W510" s="1"/>
    </row>
    <row r="511" spans="1:30" ht="15" customHeight="1">
      <c r="A511" s="49">
        <v>102</v>
      </c>
      <c r="B511" s="49" t="s">
        <v>181</v>
      </c>
      <c r="C511" s="50" t="s">
        <v>182</v>
      </c>
      <c r="D511" s="51" t="s">
        <v>1373</v>
      </c>
      <c r="E511" s="51" t="s">
        <v>1391</v>
      </c>
      <c r="F511" s="111" t="s">
        <v>416</v>
      </c>
      <c r="G511" s="51" t="s">
        <v>1455</v>
      </c>
      <c r="H511" s="27"/>
      <c r="I511" s="42" t="s">
        <v>379</v>
      </c>
      <c r="J511" s="51" t="s">
        <v>1393</v>
      </c>
      <c r="K511" s="27"/>
      <c r="L511" s="56" t="s">
        <v>416</v>
      </c>
      <c r="M511" s="51" t="s">
        <v>1394</v>
      </c>
      <c r="O511" s="27"/>
      <c r="U511" s="1" t="s">
        <v>1334</v>
      </c>
      <c r="V511" s="27" t="s">
        <v>1335</v>
      </c>
      <c r="W511" s="1" t="s">
        <v>1395</v>
      </c>
      <c r="X511" s="60" t="s">
        <v>1337</v>
      </c>
      <c r="Y511" s="4" t="s">
        <v>1453</v>
      </c>
      <c r="Z511" s="27" t="s">
        <v>1454</v>
      </c>
      <c r="AA511" s="27"/>
      <c r="AB511" s="27"/>
      <c r="AC511" s="27"/>
    </row>
    <row r="512" spans="1:30" ht="15" customHeight="1">
      <c r="A512" s="49">
        <v>102</v>
      </c>
      <c r="B512" s="49" t="s">
        <v>181</v>
      </c>
      <c r="C512" s="50" t="s">
        <v>182</v>
      </c>
      <c r="D512" s="60" t="s">
        <v>1456</v>
      </c>
      <c r="E512" s="51" t="s">
        <v>378</v>
      </c>
      <c r="F512" s="111" t="s">
        <v>379</v>
      </c>
      <c r="G512" s="51" t="s">
        <v>1457</v>
      </c>
      <c r="I512" s="42" t="s">
        <v>379</v>
      </c>
      <c r="J512" s="51" t="s">
        <v>1458</v>
      </c>
      <c r="L512" s="56" t="s">
        <v>379</v>
      </c>
      <c r="M512" s="51" t="s">
        <v>1459</v>
      </c>
      <c r="P512" s="28"/>
      <c r="Q512" s="28"/>
      <c r="R512" s="28"/>
      <c r="S512" s="28"/>
      <c r="T512" s="28"/>
      <c r="U512" s="1" t="s">
        <v>1442</v>
      </c>
      <c r="V512" s="60" t="s">
        <v>1443</v>
      </c>
      <c r="W512" s="1" t="s">
        <v>1460</v>
      </c>
      <c r="X512" s="57" t="s">
        <v>1461</v>
      </c>
    </row>
    <row r="513" spans="1:28" s="60" customFormat="1" ht="15" customHeight="1">
      <c r="A513" s="49">
        <v>102</v>
      </c>
      <c r="B513" s="49" t="s">
        <v>181</v>
      </c>
      <c r="C513" s="50" t="s">
        <v>182</v>
      </c>
      <c r="D513" s="51" t="s">
        <v>698</v>
      </c>
      <c r="E513" s="51" t="s">
        <v>820</v>
      </c>
      <c r="F513" s="111" t="s">
        <v>377</v>
      </c>
      <c r="G513" s="63" t="s">
        <v>1462</v>
      </c>
      <c r="H513" s="65"/>
      <c r="I513" s="93" t="s">
        <v>416</v>
      </c>
      <c r="J513" s="51" t="s">
        <v>823</v>
      </c>
      <c r="K513" s="67"/>
      <c r="L513" s="94" t="s">
        <v>377</v>
      </c>
      <c r="M513" s="51" t="s">
        <v>1463</v>
      </c>
      <c r="N513" s="27"/>
      <c r="P513" s="28"/>
      <c r="Q513" s="28"/>
      <c r="R513" s="28"/>
      <c r="S513" s="28"/>
      <c r="T513" s="28"/>
      <c r="U513" s="1" t="s">
        <v>1384</v>
      </c>
      <c r="V513" s="27" t="s">
        <v>1335</v>
      </c>
      <c r="W513" s="1" t="s">
        <v>1403</v>
      </c>
      <c r="X513" s="60" t="s">
        <v>1337</v>
      </c>
      <c r="Z513" s="1" t="s">
        <v>1464</v>
      </c>
      <c r="AA513" s="60" t="s">
        <v>1465</v>
      </c>
    </row>
    <row r="514" spans="1:28" s="60" customFormat="1" ht="15" customHeight="1">
      <c r="A514" s="49">
        <v>103</v>
      </c>
      <c r="B514" s="49" t="s">
        <v>183</v>
      </c>
      <c r="C514" s="50" t="s">
        <v>184</v>
      </c>
      <c r="D514" s="51" t="s">
        <v>1466</v>
      </c>
      <c r="E514" s="51" t="s">
        <v>378</v>
      </c>
      <c r="F514" s="42" t="s">
        <v>405</v>
      </c>
      <c r="G514" s="108" t="s">
        <v>1467</v>
      </c>
      <c r="H514" s="65"/>
      <c r="I514" s="42" t="s">
        <v>405</v>
      </c>
      <c r="J514" s="57" t="s">
        <v>1468</v>
      </c>
      <c r="K514" s="65"/>
      <c r="L514" s="56" t="s">
        <v>403</v>
      </c>
      <c r="M514" s="51" t="s">
        <v>1469</v>
      </c>
      <c r="N514" s="27"/>
      <c r="P514" s="28" t="s">
        <v>13</v>
      </c>
      <c r="Q514" s="28"/>
      <c r="R514" s="28" t="s">
        <v>13</v>
      </c>
      <c r="S514" s="28"/>
      <c r="T514" s="28"/>
      <c r="U514" s="1" t="s">
        <v>1470</v>
      </c>
      <c r="V514" s="27" t="s">
        <v>1471</v>
      </c>
      <c r="X514" s="57"/>
    </row>
    <row r="515" spans="1:28" s="60" customFormat="1" ht="15" customHeight="1">
      <c r="A515" s="49">
        <v>103</v>
      </c>
      <c r="B515" s="49" t="s">
        <v>183</v>
      </c>
      <c r="C515" s="50" t="s">
        <v>184</v>
      </c>
      <c r="D515" s="51" t="s">
        <v>1472</v>
      </c>
      <c r="E515" s="51" t="s">
        <v>378</v>
      </c>
      <c r="F515" s="42" t="s">
        <v>416</v>
      </c>
      <c r="G515" s="108" t="s">
        <v>1473</v>
      </c>
      <c r="H515" s="65"/>
      <c r="I515" s="42" t="s">
        <v>379</v>
      </c>
      <c r="J515" s="57" t="s">
        <v>1474</v>
      </c>
      <c r="K515" s="65"/>
      <c r="L515" s="56" t="s">
        <v>377</v>
      </c>
      <c r="M515" s="51" t="s">
        <v>1475</v>
      </c>
      <c r="N515" s="27"/>
      <c r="P515" s="28" t="s">
        <v>13</v>
      </c>
      <c r="Q515" s="28"/>
      <c r="R515" s="28" t="s">
        <v>13</v>
      </c>
      <c r="S515" s="28"/>
      <c r="T515" s="28"/>
      <c r="U515" s="1" t="s">
        <v>1476</v>
      </c>
      <c r="V515" s="27" t="s">
        <v>1477</v>
      </c>
      <c r="W515" s="1" t="s">
        <v>1478</v>
      </c>
      <c r="X515" s="27" t="s">
        <v>1479</v>
      </c>
    </row>
    <row r="516" spans="1:28" s="60" customFormat="1" ht="15" customHeight="1">
      <c r="A516" s="49">
        <v>103</v>
      </c>
      <c r="B516" s="49" t="s">
        <v>183</v>
      </c>
      <c r="C516" s="50" t="s">
        <v>184</v>
      </c>
      <c r="D516" s="57" t="s">
        <v>1480</v>
      </c>
      <c r="E516" s="51" t="s">
        <v>378</v>
      </c>
      <c r="F516" s="42" t="s">
        <v>416</v>
      </c>
      <c r="G516" s="108" t="s">
        <v>1481</v>
      </c>
      <c r="H516" s="65"/>
      <c r="I516" s="42" t="s">
        <v>377</v>
      </c>
      <c r="J516" s="57" t="s">
        <v>1482</v>
      </c>
      <c r="K516" s="40"/>
      <c r="L516" s="109" t="s">
        <v>405</v>
      </c>
      <c r="M516" s="57" t="s">
        <v>1483</v>
      </c>
      <c r="N516" s="27"/>
      <c r="O516" s="27" t="s">
        <v>1484</v>
      </c>
      <c r="P516" s="28" t="s">
        <v>13</v>
      </c>
      <c r="Q516" s="28"/>
      <c r="R516" s="28" t="s">
        <v>13</v>
      </c>
      <c r="S516" s="28"/>
      <c r="T516" s="28"/>
      <c r="U516" s="1" t="s">
        <v>1485</v>
      </c>
      <c r="V516" s="27" t="s">
        <v>1486</v>
      </c>
      <c r="W516" s="1" t="s">
        <v>1487</v>
      </c>
      <c r="X516" s="27" t="s">
        <v>1488</v>
      </c>
    </row>
    <row r="517" spans="1:28" s="60" customFormat="1" ht="15" customHeight="1">
      <c r="A517" s="49">
        <v>103</v>
      </c>
      <c r="B517" s="49" t="s">
        <v>183</v>
      </c>
      <c r="C517" s="50" t="s">
        <v>184</v>
      </c>
      <c r="D517" s="108" t="s">
        <v>1095</v>
      </c>
      <c r="E517" s="51" t="s">
        <v>699</v>
      </c>
      <c r="F517" s="42" t="s">
        <v>416</v>
      </c>
      <c r="G517" s="108" t="s">
        <v>1489</v>
      </c>
      <c r="H517" s="65"/>
      <c r="I517" s="42" t="s">
        <v>416</v>
      </c>
      <c r="J517" s="57" t="s">
        <v>1490</v>
      </c>
      <c r="K517" s="65"/>
      <c r="L517" s="56" t="s">
        <v>377</v>
      </c>
      <c r="M517" s="51" t="s">
        <v>1491</v>
      </c>
      <c r="N517" s="27"/>
      <c r="O517" s="27" t="s">
        <v>1484</v>
      </c>
      <c r="P517" s="28" t="s">
        <v>13</v>
      </c>
      <c r="Q517" s="28"/>
      <c r="R517" s="28" t="s">
        <v>13</v>
      </c>
      <c r="S517" s="28"/>
      <c r="T517" s="28"/>
      <c r="U517" s="1" t="s">
        <v>1485</v>
      </c>
      <c r="V517" s="27" t="s">
        <v>1486</v>
      </c>
      <c r="W517" s="1" t="s">
        <v>1487</v>
      </c>
      <c r="X517" s="27" t="s">
        <v>1488</v>
      </c>
      <c r="Y517" s="1" t="s">
        <v>1492</v>
      </c>
      <c r="Z517" s="27" t="s">
        <v>1493</v>
      </c>
    </row>
    <row r="518" spans="1:28" s="60" customFormat="1" ht="15" customHeight="1">
      <c r="A518" s="49">
        <v>103</v>
      </c>
      <c r="B518" s="49" t="s">
        <v>183</v>
      </c>
      <c r="C518" s="50" t="s">
        <v>184</v>
      </c>
      <c r="D518" s="51" t="s">
        <v>705</v>
      </c>
      <c r="E518" s="51" t="s">
        <v>706</v>
      </c>
      <c r="F518" s="42" t="s">
        <v>405</v>
      </c>
      <c r="G518" s="108" t="s">
        <v>1494</v>
      </c>
      <c r="H518" s="65"/>
      <c r="I518" s="42" t="s">
        <v>416</v>
      </c>
      <c r="J518" s="57" t="s">
        <v>708</v>
      </c>
      <c r="K518" s="65"/>
      <c r="L518" s="56" t="s">
        <v>416</v>
      </c>
      <c r="M518" s="51" t="s">
        <v>709</v>
      </c>
      <c r="N518" s="27"/>
      <c r="O518" s="27" t="s">
        <v>1484</v>
      </c>
      <c r="P518" s="28" t="s">
        <v>13</v>
      </c>
      <c r="Q518" s="28"/>
      <c r="R518" s="28" t="s">
        <v>13</v>
      </c>
      <c r="S518" s="28"/>
      <c r="T518" s="28"/>
      <c r="U518" s="1" t="s">
        <v>1495</v>
      </c>
      <c r="V518" s="27" t="s">
        <v>1496</v>
      </c>
      <c r="W518" s="1" t="s">
        <v>1497</v>
      </c>
      <c r="X518" s="27" t="s">
        <v>1498</v>
      </c>
      <c r="Y518" s="1"/>
      <c r="Z518" s="27"/>
    </row>
    <row r="519" spans="1:28" s="60" customFormat="1" ht="15" customHeight="1">
      <c r="A519" s="49">
        <v>103</v>
      </c>
      <c r="B519" s="49" t="s">
        <v>183</v>
      </c>
      <c r="C519" s="50" t="s">
        <v>184</v>
      </c>
      <c r="D519" s="51" t="s">
        <v>705</v>
      </c>
      <c r="E519" s="51" t="s">
        <v>716</v>
      </c>
      <c r="F519" s="42" t="s">
        <v>379</v>
      </c>
      <c r="G519" s="108" t="s">
        <v>1499</v>
      </c>
      <c r="H519" s="65"/>
      <c r="I519" s="42" t="s">
        <v>416</v>
      </c>
      <c r="J519" s="57" t="s">
        <v>708</v>
      </c>
      <c r="K519" s="65"/>
      <c r="L519" s="56" t="s">
        <v>405</v>
      </c>
      <c r="M519" s="51" t="s">
        <v>718</v>
      </c>
      <c r="N519" s="27"/>
      <c r="O519" s="27" t="s">
        <v>1484</v>
      </c>
      <c r="P519" s="28" t="s">
        <v>13</v>
      </c>
      <c r="Q519" s="28"/>
      <c r="R519" s="28" t="s">
        <v>13</v>
      </c>
      <c r="S519" s="28"/>
      <c r="T519" s="28"/>
      <c r="U519" s="1" t="s">
        <v>1495</v>
      </c>
      <c r="V519" s="27" t="s">
        <v>1496</v>
      </c>
      <c r="Y519" s="1"/>
      <c r="Z519" s="27"/>
    </row>
    <row r="520" spans="1:28" s="60" customFormat="1" ht="15" customHeight="1">
      <c r="A520" s="49">
        <v>103</v>
      </c>
      <c r="B520" s="49" t="s">
        <v>183</v>
      </c>
      <c r="C520" s="50" t="s">
        <v>184</v>
      </c>
      <c r="D520" s="51" t="s">
        <v>723</v>
      </c>
      <c r="E520" s="51" t="s">
        <v>724</v>
      </c>
      <c r="F520" s="42" t="s">
        <v>379</v>
      </c>
      <c r="G520" s="57" t="s">
        <v>1500</v>
      </c>
      <c r="H520" s="65"/>
      <c r="I520" s="42" t="s">
        <v>416</v>
      </c>
      <c r="J520" s="57" t="s">
        <v>726</v>
      </c>
      <c r="K520" s="65"/>
      <c r="L520" s="56" t="s">
        <v>379</v>
      </c>
      <c r="M520" s="51" t="s">
        <v>727</v>
      </c>
      <c r="N520" s="27"/>
      <c r="O520" s="27" t="s">
        <v>1484</v>
      </c>
      <c r="P520" s="28" t="s">
        <v>13</v>
      </c>
      <c r="Q520" s="28"/>
      <c r="R520" s="28" t="s">
        <v>13</v>
      </c>
      <c r="S520" s="28"/>
      <c r="T520" s="28"/>
      <c r="U520" s="1" t="s">
        <v>1495</v>
      </c>
      <c r="V520" s="27" t="s">
        <v>1496</v>
      </c>
      <c r="W520" s="1"/>
      <c r="X520" s="27"/>
      <c r="Y520" s="1"/>
      <c r="Z520" s="27"/>
    </row>
    <row r="521" spans="1:28" s="60" customFormat="1" ht="15" customHeight="1">
      <c r="A521" s="49">
        <v>104</v>
      </c>
      <c r="B521" s="49" t="s">
        <v>185</v>
      </c>
      <c r="C521" s="50" t="s">
        <v>186</v>
      </c>
      <c r="D521" s="51" t="s">
        <v>1501</v>
      </c>
      <c r="E521" s="51" t="s">
        <v>1178</v>
      </c>
      <c r="F521" s="42" t="s">
        <v>405</v>
      </c>
      <c r="G521" s="57" t="s">
        <v>1179</v>
      </c>
      <c r="H521" s="65"/>
      <c r="I521" s="42" t="s">
        <v>377</v>
      </c>
      <c r="J521" s="57" t="s">
        <v>1180</v>
      </c>
      <c r="K521" s="65"/>
      <c r="L521" s="109" t="s">
        <v>405</v>
      </c>
      <c r="M521" s="51" t="s">
        <v>1502</v>
      </c>
      <c r="N521" s="27"/>
      <c r="P521" s="28"/>
      <c r="Q521" s="28"/>
      <c r="R521" s="28"/>
      <c r="S521" s="28"/>
      <c r="T521" s="28"/>
      <c r="U521" s="1" t="s">
        <v>1187</v>
      </c>
      <c r="V521" s="27" t="s">
        <v>1188</v>
      </c>
      <c r="W521" s="1" t="s">
        <v>1189</v>
      </c>
      <c r="X521" s="27" t="s">
        <v>1190</v>
      </c>
    </row>
    <row r="522" spans="1:28" s="60" customFormat="1" ht="15" customHeight="1">
      <c r="A522" s="49">
        <v>104</v>
      </c>
      <c r="B522" s="49" t="s">
        <v>185</v>
      </c>
      <c r="C522" s="50" t="s">
        <v>186</v>
      </c>
      <c r="D522" s="51" t="s">
        <v>1501</v>
      </c>
      <c r="E522" s="51" t="s">
        <v>1503</v>
      </c>
      <c r="F522" s="52" t="s">
        <v>379</v>
      </c>
      <c r="G522" s="57" t="s">
        <v>1504</v>
      </c>
      <c r="H522" s="65"/>
      <c r="I522" s="42" t="s">
        <v>377</v>
      </c>
      <c r="J522" s="57" t="s">
        <v>1505</v>
      </c>
      <c r="K522" s="65"/>
      <c r="L522" s="56" t="s">
        <v>379</v>
      </c>
      <c r="M522" s="51" t="s">
        <v>1506</v>
      </c>
      <c r="N522" s="27"/>
      <c r="P522" s="28"/>
      <c r="Q522" s="28"/>
      <c r="R522" s="28"/>
      <c r="S522" s="28"/>
      <c r="T522" s="28"/>
      <c r="U522" s="1" t="s">
        <v>1187</v>
      </c>
      <c r="V522" s="27" t="s">
        <v>1188</v>
      </c>
      <c r="W522" s="1" t="s">
        <v>1189</v>
      </c>
      <c r="X522" s="27" t="s">
        <v>1190</v>
      </c>
    </row>
    <row r="523" spans="1:28" s="60" customFormat="1" ht="15" customHeight="1">
      <c r="A523" s="49">
        <v>44</v>
      </c>
      <c r="B523" s="49" t="s">
        <v>87</v>
      </c>
      <c r="C523" s="50" t="s">
        <v>188</v>
      </c>
      <c r="D523" s="51" t="s">
        <v>786</v>
      </c>
      <c r="E523" s="51" t="s">
        <v>787</v>
      </c>
      <c r="F523" s="93" t="s">
        <v>379</v>
      </c>
      <c r="G523" s="51" t="s">
        <v>1507</v>
      </c>
      <c r="H523" s="65"/>
      <c r="I523" s="42" t="s">
        <v>416</v>
      </c>
      <c r="J523" s="51" t="s">
        <v>789</v>
      </c>
      <c r="K523" s="65"/>
      <c r="L523" s="56" t="s">
        <v>379</v>
      </c>
      <c r="M523" s="51" t="s">
        <v>790</v>
      </c>
      <c r="N523" s="27"/>
      <c r="O523" s="27"/>
      <c r="P523" s="28"/>
      <c r="Q523" s="28"/>
      <c r="R523" s="28"/>
      <c r="S523" s="28"/>
      <c r="T523" s="28"/>
      <c r="U523" s="3" t="s">
        <v>791</v>
      </c>
      <c r="V523" s="27" t="s">
        <v>792</v>
      </c>
      <c r="W523" s="3" t="s">
        <v>793</v>
      </c>
      <c r="X523" s="60" t="s">
        <v>794</v>
      </c>
      <c r="Y523" s="3" t="s">
        <v>795</v>
      </c>
      <c r="Z523" s="60" t="s">
        <v>796</v>
      </c>
      <c r="AA523" s="3" t="s">
        <v>797</v>
      </c>
      <c r="AB523" s="27" t="s">
        <v>798</v>
      </c>
    </row>
    <row r="524" spans="1:28" s="60" customFormat="1" ht="15" customHeight="1">
      <c r="A524" s="49">
        <v>44</v>
      </c>
      <c r="B524" s="49" t="s">
        <v>87</v>
      </c>
      <c r="C524" s="50" t="s">
        <v>188</v>
      </c>
      <c r="D524" s="51" t="s">
        <v>786</v>
      </c>
      <c r="E524" s="51" t="s">
        <v>799</v>
      </c>
      <c r="F524" s="93" t="s">
        <v>379</v>
      </c>
      <c r="G524" s="51" t="s">
        <v>800</v>
      </c>
      <c r="H524" s="65"/>
      <c r="I524" s="42" t="s">
        <v>416</v>
      </c>
      <c r="J524" s="51" t="s">
        <v>789</v>
      </c>
      <c r="K524" s="65"/>
      <c r="L524" s="56" t="s">
        <v>801</v>
      </c>
      <c r="M524" s="51"/>
      <c r="N524" s="27"/>
      <c r="O524" s="97" t="s">
        <v>802</v>
      </c>
      <c r="P524" s="28"/>
      <c r="Q524" s="28"/>
      <c r="R524" s="28"/>
      <c r="S524" s="28"/>
      <c r="T524" s="28"/>
      <c r="U524" s="3" t="s">
        <v>791</v>
      </c>
      <c r="V524" s="27" t="s">
        <v>792</v>
      </c>
      <c r="W524" s="3" t="s">
        <v>793</v>
      </c>
      <c r="X524" s="60" t="s">
        <v>794</v>
      </c>
      <c r="Y524" s="3" t="s">
        <v>795</v>
      </c>
      <c r="Z524" s="60" t="s">
        <v>796</v>
      </c>
      <c r="AA524" s="3" t="s">
        <v>797</v>
      </c>
      <c r="AB524" s="27" t="s">
        <v>798</v>
      </c>
    </row>
    <row r="525" spans="1:28" s="60" customFormat="1" ht="15" customHeight="1">
      <c r="A525" s="49">
        <v>44</v>
      </c>
      <c r="B525" s="49" t="s">
        <v>87</v>
      </c>
      <c r="C525" s="50" t="s">
        <v>188</v>
      </c>
      <c r="D525" s="51" t="s">
        <v>803</v>
      </c>
      <c r="E525" s="51" t="s">
        <v>804</v>
      </c>
      <c r="F525" s="93" t="s">
        <v>416</v>
      </c>
      <c r="G525" s="51" t="s">
        <v>1508</v>
      </c>
      <c r="H525" s="65"/>
      <c r="I525" s="42" t="s">
        <v>416</v>
      </c>
      <c r="J525" s="51" t="s">
        <v>806</v>
      </c>
      <c r="K525" s="65"/>
      <c r="L525" s="56" t="s">
        <v>403</v>
      </c>
      <c r="M525" s="51" t="s">
        <v>807</v>
      </c>
      <c r="N525" s="27"/>
      <c r="O525" s="27"/>
      <c r="P525" s="28" t="s">
        <v>13</v>
      </c>
      <c r="Q525" s="28"/>
      <c r="R525" s="28"/>
      <c r="S525" s="28"/>
      <c r="T525" s="28"/>
      <c r="U525" s="3" t="s">
        <v>791</v>
      </c>
      <c r="V525" s="27" t="s">
        <v>792</v>
      </c>
      <c r="W525" s="3" t="s">
        <v>793</v>
      </c>
      <c r="X525" s="60" t="s">
        <v>794</v>
      </c>
      <c r="Y525" s="3" t="s">
        <v>795</v>
      </c>
      <c r="Z525" s="60" t="s">
        <v>796</v>
      </c>
      <c r="AA525" s="3" t="s">
        <v>797</v>
      </c>
      <c r="AB525" s="27" t="s">
        <v>798</v>
      </c>
    </row>
    <row r="526" spans="1:28" s="60" customFormat="1" ht="15" customHeight="1">
      <c r="A526" s="49">
        <v>106</v>
      </c>
      <c r="B526" s="49" t="s">
        <v>189</v>
      </c>
      <c r="C526" s="84" t="s">
        <v>188</v>
      </c>
      <c r="D526" s="51" t="s">
        <v>1509</v>
      </c>
      <c r="E526" s="51" t="s">
        <v>787</v>
      </c>
      <c r="F526" s="93" t="s">
        <v>379</v>
      </c>
      <c r="G526" s="51" t="s">
        <v>1510</v>
      </c>
      <c r="H526" s="65"/>
      <c r="I526" s="42" t="s">
        <v>416</v>
      </c>
      <c r="J526" s="51" t="s">
        <v>789</v>
      </c>
      <c r="K526" s="65"/>
      <c r="L526" s="56" t="s">
        <v>379</v>
      </c>
      <c r="M526" s="51" t="s">
        <v>1511</v>
      </c>
      <c r="N526" s="27"/>
      <c r="O526" s="114"/>
      <c r="P526" s="28"/>
      <c r="Q526" s="28"/>
      <c r="R526" s="28"/>
      <c r="S526" s="28"/>
      <c r="T526" s="28"/>
      <c r="U526" s="3" t="s">
        <v>791</v>
      </c>
      <c r="V526" s="27" t="s">
        <v>792</v>
      </c>
      <c r="W526" s="3" t="s">
        <v>1512</v>
      </c>
      <c r="X526" s="60" t="s">
        <v>1513</v>
      </c>
      <c r="Y526" s="3" t="s">
        <v>1514</v>
      </c>
      <c r="Z526" s="3" t="s">
        <v>1515</v>
      </c>
    </row>
    <row r="527" spans="1:28" s="60" customFormat="1" ht="15" customHeight="1">
      <c r="A527" s="49">
        <v>106</v>
      </c>
      <c r="B527" s="49" t="s">
        <v>189</v>
      </c>
      <c r="C527" s="84" t="s">
        <v>188</v>
      </c>
      <c r="D527" s="51" t="s">
        <v>1509</v>
      </c>
      <c r="E527" s="51" t="s">
        <v>799</v>
      </c>
      <c r="F527" s="93" t="s">
        <v>379</v>
      </c>
      <c r="G527" s="51" t="s">
        <v>1516</v>
      </c>
      <c r="H527" s="65"/>
      <c r="I527" s="42" t="s">
        <v>416</v>
      </c>
      <c r="J527" s="51" t="s">
        <v>789</v>
      </c>
      <c r="K527" s="65"/>
      <c r="L527" s="56" t="s">
        <v>379</v>
      </c>
      <c r="M527" s="51" t="s">
        <v>1511</v>
      </c>
      <c r="N527" s="27"/>
      <c r="O527" s="114"/>
      <c r="P527" s="28"/>
      <c r="Q527" s="28"/>
      <c r="R527" s="28"/>
      <c r="S527" s="28"/>
      <c r="T527" s="28"/>
      <c r="U527" s="3" t="s">
        <v>791</v>
      </c>
      <c r="V527" s="27" t="s">
        <v>792</v>
      </c>
      <c r="W527" s="3" t="s">
        <v>1512</v>
      </c>
      <c r="X527" s="60" t="s">
        <v>1513</v>
      </c>
      <c r="Y527" s="3" t="s">
        <v>1514</v>
      </c>
      <c r="Z527" s="3" t="s">
        <v>1515</v>
      </c>
    </row>
    <row r="528" spans="1:28" s="60" customFormat="1" ht="15" customHeight="1">
      <c r="A528" s="49">
        <v>106</v>
      </c>
      <c r="B528" s="49" t="s">
        <v>189</v>
      </c>
      <c r="C528" s="84" t="s">
        <v>188</v>
      </c>
      <c r="D528" s="51" t="s">
        <v>803</v>
      </c>
      <c r="E528" s="51" t="s">
        <v>804</v>
      </c>
      <c r="F528" s="93" t="s">
        <v>416</v>
      </c>
      <c r="G528" s="51" t="s">
        <v>1508</v>
      </c>
      <c r="H528" s="65"/>
      <c r="I528" s="42" t="s">
        <v>416</v>
      </c>
      <c r="J528" s="51" t="s">
        <v>806</v>
      </c>
      <c r="K528" s="65"/>
      <c r="L528" s="56" t="s">
        <v>403</v>
      </c>
      <c r="M528" s="51" t="s">
        <v>807</v>
      </c>
      <c r="N528" s="27"/>
      <c r="O528" s="27"/>
      <c r="P528" s="28"/>
      <c r="Q528" s="28"/>
      <c r="R528" s="28"/>
      <c r="S528" s="28"/>
      <c r="T528" s="28"/>
      <c r="U528" s="3" t="s">
        <v>791</v>
      </c>
      <c r="V528" s="27" t="s">
        <v>792</v>
      </c>
      <c r="W528" s="3" t="s">
        <v>793</v>
      </c>
      <c r="X528" s="60" t="s">
        <v>794</v>
      </c>
      <c r="Y528" s="3" t="s">
        <v>795</v>
      </c>
      <c r="Z528" s="60" t="s">
        <v>796</v>
      </c>
      <c r="AA528" s="3" t="s">
        <v>797</v>
      </c>
      <c r="AB528" s="27" t="s">
        <v>798</v>
      </c>
    </row>
    <row r="529" spans="1:28" s="60" customFormat="1" ht="15" customHeight="1">
      <c r="A529" s="49">
        <v>107</v>
      </c>
      <c r="B529" s="115" t="s">
        <v>190</v>
      </c>
      <c r="C529" s="84" t="s">
        <v>72</v>
      </c>
      <c r="D529" s="51" t="s">
        <v>1404</v>
      </c>
      <c r="E529" s="51" t="s">
        <v>378</v>
      </c>
      <c r="F529" s="93" t="s">
        <v>377</v>
      </c>
      <c r="G529" s="57" t="s">
        <v>923</v>
      </c>
      <c r="H529" s="65"/>
      <c r="I529" s="42" t="s">
        <v>379</v>
      </c>
      <c r="J529" s="67" t="s">
        <v>924</v>
      </c>
      <c r="K529" s="65"/>
      <c r="L529" s="56" t="s">
        <v>377</v>
      </c>
      <c r="M529" s="51" t="s">
        <v>924</v>
      </c>
      <c r="N529" s="27"/>
      <c r="P529" s="28" t="s">
        <v>13</v>
      </c>
      <c r="Q529" s="28" t="s">
        <v>13</v>
      </c>
      <c r="R529" s="28"/>
      <c r="S529" s="28"/>
      <c r="T529" s="28"/>
      <c r="U529" s="1" t="s">
        <v>926</v>
      </c>
      <c r="V529" s="27" t="s">
        <v>927</v>
      </c>
      <c r="W529" s="1" t="s">
        <v>928</v>
      </c>
      <c r="X529" s="27" t="s">
        <v>929</v>
      </c>
      <c r="Y529" s="1" t="s">
        <v>928</v>
      </c>
      <c r="Z529" s="27" t="s">
        <v>929</v>
      </c>
      <c r="AA529" s="1" t="s">
        <v>930</v>
      </c>
      <c r="AB529" s="60" t="s">
        <v>931</v>
      </c>
    </row>
    <row r="530" spans="1:28" s="60" customFormat="1" ht="15" customHeight="1">
      <c r="A530" s="49">
        <v>107</v>
      </c>
      <c r="B530" s="115" t="s">
        <v>190</v>
      </c>
      <c r="C530" s="84" t="s">
        <v>72</v>
      </c>
      <c r="D530" s="51" t="s">
        <v>1405</v>
      </c>
      <c r="E530" s="51" t="s">
        <v>378</v>
      </c>
      <c r="F530" s="93" t="s">
        <v>416</v>
      </c>
      <c r="G530" s="57" t="s">
        <v>933</v>
      </c>
      <c r="H530" s="65"/>
      <c r="I530" s="42" t="s">
        <v>405</v>
      </c>
      <c r="J530" s="67" t="s">
        <v>934</v>
      </c>
      <c r="K530" s="65"/>
      <c r="L530" s="56" t="s">
        <v>377</v>
      </c>
      <c r="M530" s="51" t="s">
        <v>935</v>
      </c>
      <c r="N530" s="27"/>
      <c r="P530" s="28"/>
      <c r="Q530" s="28"/>
      <c r="R530" s="28"/>
      <c r="S530" s="28"/>
      <c r="T530" s="28"/>
      <c r="U530" s="1" t="s">
        <v>936</v>
      </c>
      <c r="V530" s="27" t="s">
        <v>937</v>
      </c>
      <c r="W530" s="1" t="s">
        <v>928</v>
      </c>
      <c r="X530" s="27" t="s">
        <v>929</v>
      </c>
      <c r="Y530" s="1" t="s">
        <v>928</v>
      </c>
      <c r="Z530" s="27" t="s">
        <v>929</v>
      </c>
      <c r="AA530" s="1" t="s">
        <v>930</v>
      </c>
      <c r="AB530" s="60" t="s">
        <v>931</v>
      </c>
    </row>
    <row r="531" spans="1:28" s="60" customFormat="1" ht="15" customHeight="1">
      <c r="A531" s="49">
        <v>107</v>
      </c>
      <c r="B531" s="115" t="s">
        <v>190</v>
      </c>
      <c r="C531" s="84" t="s">
        <v>72</v>
      </c>
      <c r="D531" s="51" t="s">
        <v>1517</v>
      </c>
      <c r="E531" s="51" t="s">
        <v>378</v>
      </c>
      <c r="F531" s="93" t="s">
        <v>379</v>
      </c>
      <c r="G531" s="57" t="s">
        <v>939</v>
      </c>
      <c r="H531" s="65"/>
      <c r="I531" s="42" t="s">
        <v>405</v>
      </c>
      <c r="J531" s="67" t="s">
        <v>934</v>
      </c>
      <c r="K531" s="65"/>
      <c r="L531" s="56" t="s">
        <v>377</v>
      </c>
      <c r="M531" s="51" t="s">
        <v>935</v>
      </c>
      <c r="N531" s="27"/>
      <c r="P531" s="28"/>
      <c r="Q531" s="28"/>
      <c r="R531" s="28"/>
      <c r="S531" s="28"/>
      <c r="T531" s="28"/>
      <c r="U531" s="1" t="s">
        <v>940</v>
      </c>
      <c r="V531" s="27" t="s">
        <v>941</v>
      </c>
      <c r="W531" s="1" t="s">
        <v>928</v>
      </c>
      <c r="X531" s="27" t="s">
        <v>929</v>
      </c>
      <c r="Y531" s="1" t="s">
        <v>928</v>
      </c>
      <c r="Z531" s="27" t="s">
        <v>929</v>
      </c>
      <c r="AA531" s="1" t="s">
        <v>930</v>
      </c>
      <c r="AB531" s="60" t="s">
        <v>931</v>
      </c>
    </row>
    <row r="532" spans="1:28" s="60" customFormat="1" ht="15" customHeight="1">
      <c r="A532" s="49">
        <v>107</v>
      </c>
      <c r="B532" s="115" t="s">
        <v>190</v>
      </c>
      <c r="C532" s="84" t="s">
        <v>72</v>
      </c>
      <c r="D532" s="51" t="s">
        <v>1518</v>
      </c>
      <c r="E532" s="51" t="s">
        <v>378</v>
      </c>
      <c r="F532" s="93" t="s">
        <v>377</v>
      </c>
      <c r="G532" s="57" t="s">
        <v>943</v>
      </c>
      <c r="H532" s="65"/>
      <c r="I532" s="42" t="s">
        <v>416</v>
      </c>
      <c r="J532" s="67" t="s">
        <v>944</v>
      </c>
      <c r="K532" s="65"/>
      <c r="L532" s="56" t="s">
        <v>377</v>
      </c>
      <c r="M532" s="51" t="s">
        <v>945</v>
      </c>
      <c r="N532" s="27"/>
      <c r="P532" s="28"/>
      <c r="Q532" s="28"/>
      <c r="R532" s="28"/>
      <c r="S532" s="28"/>
      <c r="T532" s="28"/>
      <c r="U532" s="1" t="s">
        <v>946</v>
      </c>
      <c r="V532" s="27" t="s">
        <v>947</v>
      </c>
      <c r="W532" s="1" t="s">
        <v>928</v>
      </c>
      <c r="X532" s="27" t="s">
        <v>929</v>
      </c>
      <c r="Y532" s="1" t="s">
        <v>928</v>
      </c>
      <c r="Z532" s="27" t="s">
        <v>929</v>
      </c>
      <c r="AA532" s="1" t="s">
        <v>930</v>
      </c>
      <c r="AB532" s="60" t="s">
        <v>931</v>
      </c>
    </row>
    <row r="533" spans="1:28" s="60" customFormat="1" ht="15" customHeight="1">
      <c r="A533" s="49">
        <v>107</v>
      </c>
      <c r="B533" s="115" t="s">
        <v>190</v>
      </c>
      <c r="C533" s="84" t="s">
        <v>72</v>
      </c>
      <c r="D533" s="51" t="s">
        <v>1191</v>
      </c>
      <c r="E533" s="51" t="s">
        <v>949</v>
      </c>
      <c r="F533" s="93" t="s">
        <v>416</v>
      </c>
      <c r="G533" s="57" t="s">
        <v>950</v>
      </c>
      <c r="H533" s="65"/>
      <c r="I533" s="42" t="s">
        <v>416</v>
      </c>
      <c r="J533" s="67" t="s">
        <v>951</v>
      </c>
      <c r="K533" s="65"/>
      <c r="L533" s="56" t="s">
        <v>379</v>
      </c>
      <c r="M533" s="51" t="s">
        <v>952</v>
      </c>
      <c r="N533" s="27"/>
      <c r="O533" s="112"/>
      <c r="P533" s="27"/>
      <c r="Q533" s="27"/>
      <c r="R533" s="27"/>
      <c r="S533" s="27"/>
      <c r="T533" s="27"/>
      <c r="U533" s="1" t="s">
        <v>953</v>
      </c>
      <c r="V533" s="27" t="s">
        <v>954</v>
      </c>
      <c r="W533" s="1" t="s">
        <v>928</v>
      </c>
      <c r="X533" s="27" t="s">
        <v>929</v>
      </c>
      <c r="Y533" s="1" t="s">
        <v>928</v>
      </c>
      <c r="Z533" s="27" t="s">
        <v>929</v>
      </c>
      <c r="AA533" s="1" t="s">
        <v>930</v>
      </c>
      <c r="AB533" s="60" t="s">
        <v>931</v>
      </c>
    </row>
    <row r="534" spans="1:28" s="60" customFormat="1" ht="15" customHeight="1">
      <c r="A534" s="49">
        <v>107</v>
      </c>
      <c r="B534" s="115" t="s">
        <v>190</v>
      </c>
      <c r="C534" s="84" t="s">
        <v>72</v>
      </c>
      <c r="D534" s="51" t="s">
        <v>1191</v>
      </c>
      <c r="E534" s="57" t="s">
        <v>955</v>
      </c>
      <c r="F534" s="42" t="s">
        <v>405</v>
      </c>
      <c r="G534" s="57" t="s">
        <v>956</v>
      </c>
      <c r="H534" s="65"/>
      <c r="I534" s="42" t="s">
        <v>405</v>
      </c>
      <c r="J534" s="67" t="s">
        <v>957</v>
      </c>
      <c r="K534" s="65"/>
      <c r="L534" s="56" t="s">
        <v>377</v>
      </c>
      <c r="M534" s="51" t="s">
        <v>958</v>
      </c>
      <c r="N534" s="27"/>
      <c r="P534" s="27"/>
      <c r="Q534" s="27"/>
      <c r="R534" s="27"/>
      <c r="S534" s="27"/>
      <c r="T534" s="27"/>
      <c r="U534" s="1" t="s">
        <v>959</v>
      </c>
      <c r="V534" s="27" t="s">
        <v>960</v>
      </c>
      <c r="W534" s="1" t="s">
        <v>928</v>
      </c>
      <c r="X534" s="27" t="s">
        <v>929</v>
      </c>
      <c r="Y534" s="1" t="s">
        <v>928</v>
      </c>
      <c r="Z534" s="27" t="s">
        <v>929</v>
      </c>
      <c r="AA534" s="1" t="s">
        <v>930</v>
      </c>
      <c r="AB534" s="60" t="s">
        <v>931</v>
      </c>
    </row>
    <row r="535" spans="1:28" s="60" customFormat="1" ht="15" customHeight="1">
      <c r="A535" s="49">
        <v>108</v>
      </c>
      <c r="B535" s="49" t="s">
        <v>193</v>
      </c>
      <c r="C535" s="84" t="s">
        <v>194</v>
      </c>
      <c r="D535" s="51" t="s">
        <v>1519</v>
      </c>
      <c r="E535" s="51" t="s">
        <v>378</v>
      </c>
      <c r="F535" s="42" t="s">
        <v>801</v>
      </c>
      <c r="G535" s="57" t="s">
        <v>1520</v>
      </c>
      <c r="H535" s="65"/>
      <c r="I535" s="42" t="s">
        <v>379</v>
      </c>
      <c r="J535" s="67" t="s">
        <v>1521</v>
      </c>
      <c r="K535" s="65"/>
      <c r="L535" s="56" t="s">
        <v>1445</v>
      </c>
      <c r="M535" s="51" t="s">
        <v>1522</v>
      </c>
      <c r="N535" s="27"/>
      <c r="O535" s="73" t="s">
        <v>1523</v>
      </c>
      <c r="P535" s="28"/>
      <c r="Q535" s="28"/>
      <c r="R535" s="28"/>
      <c r="S535" s="28" t="s">
        <v>13</v>
      </c>
      <c r="T535" s="28"/>
      <c r="U535" s="1" t="s">
        <v>1524</v>
      </c>
      <c r="V535" s="60" t="s">
        <v>1525</v>
      </c>
    </row>
    <row r="536" spans="1:28" s="60" customFormat="1" ht="15" customHeight="1">
      <c r="A536" s="49">
        <v>109</v>
      </c>
      <c r="B536" s="49" t="s">
        <v>195</v>
      </c>
      <c r="C536" s="50" t="s">
        <v>194</v>
      </c>
      <c r="D536" s="51" t="s">
        <v>1519</v>
      </c>
      <c r="E536" s="51" t="s">
        <v>378</v>
      </c>
      <c r="F536" s="42" t="s">
        <v>801</v>
      </c>
      <c r="G536" s="57" t="s">
        <v>1520</v>
      </c>
      <c r="H536" s="65"/>
      <c r="I536" s="42" t="s">
        <v>379</v>
      </c>
      <c r="J536" s="67" t="s">
        <v>1521</v>
      </c>
      <c r="K536" s="65"/>
      <c r="L536" s="56" t="s">
        <v>1445</v>
      </c>
      <c r="M536" s="51" t="s">
        <v>1522</v>
      </c>
      <c r="N536" s="27"/>
      <c r="O536" s="73" t="s">
        <v>1523</v>
      </c>
      <c r="P536" s="28"/>
      <c r="Q536" s="28"/>
      <c r="R536" s="28"/>
      <c r="S536" s="28" t="s">
        <v>13</v>
      </c>
      <c r="T536" s="28"/>
      <c r="U536" s="1" t="s">
        <v>1524</v>
      </c>
      <c r="V536" s="60" t="s">
        <v>1525</v>
      </c>
    </row>
    <row r="537" spans="1:28" s="60" customFormat="1" ht="15" customHeight="1">
      <c r="A537" s="49">
        <v>110</v>
      </c>
      <c r="B537" s="49" t="s">
        <v>196</v>
      </c>
      <c r="C537" s="50" t="s">
        <v>194</v>
      </c>
      <c r="D537" s="51" t="s">
        <v>1519</v>
      </c>
      <c r="E537" s="51" t="s">
        <v>378</v>
      </c>
      <c r="F537" s="52" t="s">
        <v>801</v>
      </c>
      <c r="G537" s="57" t="s">
        <v>1520</v>
      </c>
      <c r="H537" s="65"/>
      <c r="I537" s="42" t="s">
        <v>379</v>
      </c>
      <c r="J537" s="67" t="s">
        <v>1521</v>
      </c>
      <c r="K537" s="65"/>
      <c r="L537" s="56" t="s">
        <v>1445</v>
      </c>
      <c r="M537" s="51" t="s">
        <v>1522</v>
      </c>
      <c r="N537" s="27"/>
      <c r="O537" s="73" t="s">
        <v>1523</v>
      </c>
      <c r="P537" s="28"/>
      <c r="Q537" s="28"/>
      <c r="R537" s="28"/>
      <c r="S537" s="28" t="s">
        <v>13</v>
      </c>
      <c r="T537" s="28"/>
      <c r="U537" s="1" t="s">
        <v>1524</v>
      </c>
      <c r="V537" s="60" t="s">
        <v>1525</v>
      </c>
    </row>
    <row r="538" spans="1:28" s="60" customFormat="1" ht="15" customHeight="1">
      <c r="A538" s="49">
        <v>110</v>
      </c>
      <c r="B538" s="49" t="s">
        <v>196</v>
      </c>
      <c r="C538" s="50" t="s">
        <v>194</v>
      </c>
      <c r="D538" s="51" t="s">
        <v>1526</v>
      </c>
      <c r="E538" s="51" t="s">
        <v>378</v>
      </c>
      <c r="F538" s="42" t="s">
        <v>405</v>
      </c>
      <c r="G538" s="57" t="s">
        <v>1527</v>
      </c>
      <c r="H538" s="65"/>
      <c r="I538" s="42" t="s">
        <v>379</v>
      </c>
      <c r="J538" s="67" t="s">
        <v>1528</v>
      </c>
      <c r="K538" s="65"/>
      <c r="L538" s="56" t="s">
        <v>377</v>
      </c>
      <c r="M538" s="51" t="s">
        <v>1529</v>
      </c>
      <c r="N538" s="27"/>
      <c r="P538" s="28"/>
      <c r="Q538" s="28"/>
      <c r="R538" s="28"/>
      <c r="S538" s="28"/>
      <c r="T538" s="28"/>
      <c r="U538" s="1" t="s">
        <v>1530</v>
      </c>
    </row>
    <row r="539" spans="1:28" s="60" customFormat="1" ht="15" customHeight="1">
      <c r="A539" s="49">
        <v>111</v>
      </c>
      <c r="B539" s="49" t="s">
        <v>197</v>
      </c>
      <c r="C539" s="50" t="s">
        <v>194</v>
      </c>
      <c r="D539" s="51" t="s">
        <v>1519</v>
      </c>
      <c r="E539" s="51" t="s">
        <v>378</v>
      </c>
      <c r="F539" s="52" t="s">
        <v>801</v>
      </c>
      <c r="G539" s="57" t="s">
        <v>1520</v>
      </c>
      <c r="H539" s="65"/>
      <c r="I539" s="42" t="s">
        <v>379</v>
      </c>
      <c r="J539" s="67" t="s">
        <v>1521</v>
      </c>
      <c r="K539" s="65"/>
      <c r="L539" s="56" t="s">
        <v>1445</v>
      </c>
      <c r="M539" s="51" t="s">
        <v>1522</v>
      </c>
      <c r="N539" s="27"/>
      <c r="O539" s="73" t="s">
        <v>1523</v>
      </c>
      <c r="P539" s="28"/>
      <c r="Q539" s="28"/>
      <c r="R539" s="28"/>
      <c r="S539" s="28" t="s">
        <v>13</v>
      </c>
      <c r="T539" s="28"/>
      <c r="U539" s="1" t="s">
        <v>1524</v>
      </c>
      <c r="V539" s="60" t="s">
        <v>1525</v>
      </c>
    </row>
    <row r="540" spans="1:28" s="60" customFormat="1" ht="15" customHeight="1">
      <c r="A540" s="49">
        <v>112</v>
      </c>
      <c r="B540" s="49" t="s">
        <v>198</v>
      </c>
      <c r="C540" s="50" t="s">
        <v>199</v>
      </c>
      <c r="D540" s="51" t="s">
        <v>1519</v>
      </c>
      <c r="E540" s="51" t="s">
        <v>378</v>
      </c>
      <c r="F540" s="52" t="s">
        <v>801</v>
      </c>
      <c r="G540" s="57" t="s">
        <v>1520</v>
      </c>
      <c r="H540" s="65"/>
      <c r="I540" s="42" t="s">
        <v>379</v>
      </c>
      <c r="J540" s="67" t="s">
        <v>1521</v>
      </c>
      <c r="K540" s="65"/>
      <c r="L540" s="56" t="s">
        <v>1445</v>
      </c>
      <c r="M540" s="51" t="s">
        <v>1522</v>
      </c>
      <c r="N540" s="27"/>
      <c r="O540" s="73" t="s">
        <v>1523</v>
      </c>
      <c r="P540" s="28"/>
      <c r="Q540" s="28"/>
      <c r="R540" s="28"/>
      <c r="S540" s="28" t="s">
        <v>13</v>
      </c>
      <c r="T540" s="28"/>
      <c r="U540" s="1" t="s">
        <v>1524</v>
      </c>
      <c r="V540" s="60" t="s">
        <v>1525</v>
      </c>
    </row>
    <row r="541" spans="1:28" s="60" customFormat="1" ht="15" customHeight="1">
      <c r="A541" s="49">
        <v>113</v>
      </c>
      <c r="B541" s="49" t="s">
        <v>200</v>
      </c>
      <c r="C541" s="50" t="s">
        <v>201</v>
      </c>
      <c r="D541" s="51" t="s">
        <v>1519</v>
      </c>
      <c r="E541" s="51" t="s">
        <v>378</v>
      </c>
      <c r="F541" s="52" t="s">
        <v>801</v>
      </c>
      <c r="G541" s="57" t="s">
        <v>1520</v>
      </c>
      <c r="H541" s="65"/>
      <c r="I541" s="42" t="s">
        <v>379</v>
      </c>
      <c r="J541" s="67" t="s">
        <v>1521</v>
      </c>
      <c r="K541" s="65"/>
      <c r="L541" s="56" t="s">
        <v>1445</v>
      </c>
      <c r="M541" s="51" t="s">
        <v>1522</v>
      </c>
      <c r="N541" s="27"/>
      <c r="O541" s="73" t="s">
        <v>1523</v>
      </c>
      <c r="P541" s="28"/>
      <c r="Q541" s="28"/>
      <c r="R541" s="28"/>
      <c r="S541" s="28" t="s">
        <v>13</v>
      </c>
      <c r="T541" s="28"/>
      <c r="U541" s="1" t="s">
        <v>1524</v>
      </c>
      <c r="V541" s="60" t="s">
        <v>1525</v>
      </c>
    </row>
    <row r="542" spans="1:28" s="60" customFormat="1" ht="15" customHeight="1">
      <c r="A542" s="49">
        <v>114</v>
      </c>
      <c r="B542" s="49" t="s">
        <v>202</v>
      </c>
      <c r="C542" s="50" t="s">
        <v>203</v>
      </c>
      <c r="D542" s="51" t="s">
        <v>1519</v>
      </c>
      <c r="E542" s="51" t="s">
        <v>378</v>
      </c>
      <c r="F542" s="52" t="s">
        <v>801</v>
      </c>
      <c r="G542" s="57" t="s">
        <v>1520</v>
      </c>
      <c r="H542" s="65"/>
      <c r="I542" s="42" t="s">
        <v>379</v>
      </c>
      <c r="J542" s="67" t="s">
        <v>1521</v>
      </c>
      <c r="K542" s="65"/>
      <c r="L542" s="56" t="s">
        <v>1445</v>
      </c>
      <c r="M542" s="51" t="s">
        <v>1522</v>
      </c>
      <c r="N542" s="27"/>
      <c r="O542" s="73" t="s">
        <v>1523</v>
      </c>
      <c r="P542" s="28"/>
      <c r="Q542" s="28"/>
      <c r="R542" s="28"/>
      <c r="S542" s="28" t="s">
        <v>13</v>
      </c>
      <c r="T542" s="28"/>
      <c r="U542" s="1" t="s">
        <v>1524</v>
      </c>
      <c r="V542" s="60" t="s">
        <v>1525</v>
      </c>
    </row>
    <row r="543" spans="1:28" s="60" customFormat="1" ht="15" customHeight="1">
      <c r="A543" s="49">
        <v>115</v>
      </c>
      <c r="B543" s="49" t="s">
        <v>204</v>
      </c>
      <c r="C543" s="50" t="s">
        <v>205</v>
      </c>
      <c r="D543" s="51" t="s">
        <v>1519</v>
      </c>
      <c r="E543" s="51"/>
      <c r="F543" s="52" t="s">
        <v>801</v>
      </c>
      <c r="G543" s="57" t="s">
        <v>1520</v>
      </c>
      <c r="H543" s="65"/>
      <c r="I543" s="42" t="s">
        <v>379</v>
      </c>
      <c r="J543" s="67" t="s">
        <v>1521</v>
      </c>
      <c r="K543" s="65"/>
      <c r="L543" s="56" t="s">
        <v>1445</v>
      </c>
      <c r="M543" s="51" t="s">
        <v>1522</v>
      </c>
      <c r="N543" s="27"/>
      <c r="O543" s="73" t="s">
        <v>1523</v>
      </c>
      <c r="P543" s="28"/>
      <c r="Q543" s="28"/>
      <c r="R543" s="28"/>
      <c r="S543" s="28" t="s">
        <v>13</v>
      </c>
      <c r="T543" s="28"/>
      <c r="U543" s="1" t="s">
        <v>1524</v>
      </c>
      <c r="V543" s="60" t="s">
        <v>1525</v>
      </c>
    </row>
    <row r="544" spans="1:28" s="60" customFormat="1" ht="15" customHeight="1">
      <c r="A544" s="49">
        <v>116</v>
      </c>
      <c r="B544" s="49" t="s">
        <v>206</v>
      </c>
      <c r="C544" s="50" t="s">
        <v>207</v>
      </c>
      <c r="D544" s="51" t="s">
        <v>1519</v>
      </c>
      <c r="E544" s="51" t="s">
        <v>378</v>
      </c>
      <c r="F544" s="52" t="s">
        <v>801</v>
      </c>
      <c r="G544" s="57" t="s">
        <v>1520</v>
      </c>
      <c r="H544" s="65"/>
      <c r="I544" s="42" t="s">
        <v>379</v>
      </c>
      <c r="J544" s="67" t="s">
        <v>1521</v>
      </c>
      <c r="K544" s="65"/>
      <c r="L544" s="56" t="s">
        <v>1445</v>
      </c>
      <c r="M544" s="51" t="s">
        <v>1522</v>
      </c>
      <c r="N544" s="27"/>
      <c r="O544" s="73" t="s">
        <v>1523</v>
      </c>
      <c r="P544" s="28"/>
      <c r="Q544" s="28"/>
      <c r="R544" s="28"/>
      <c r="S544" s="28" t="s">
        <v>13</v>
      </c>
      <c r="T544" s="28"/>
      <c r="U544" s="1" t="s">
        <v>1524</v>
      </c>
      <c r="V544" s="60" t="s">
        <v>1525</v>
      </c>
    </row>
    <row r="545" spans="1:22" s="60" customFormat="1" ht="15" customHeight="1">
      <c r="A545" s="49">
        <v>117</v>
      </c>
      <c r="B545" s="49" t="s">
        <v>208</v>
      </c>
      <c r="C545" s="50" t="s">
        <v>209</v>
      </c>
      <c r="D545" s="51" t="s">
        <v>1519</v>
      </c>
      <c r="E545" s="51" t="s">
        <v>378</v>
      </c>
      <c r="F545" s="52" t="s">
        <v>801</v>
      </c>
      <c r="G545" s="57" t="s">
        <v>1520</v>
      </c>
      <c r="H545" s="65"/>
      <c r="I545" s="42" t="s">
        <v>379</v>
      </c>
      <c r="J545" s="67" t="s">
        <v>1521</v>
      </c>
      <c r="K545" s="65"/>
      <c r="L545" s="56" t="s">
        <v>1445</v>
      </c>
      <c r="M545" s="51" t="s">
        <v>1522</v>
      </c>
      <c r="N545" s="27"/>
      <c r="O545" s="73" t="s">
        <v>1523</v>
      </c>
      <c r="P545" s="28"/>
      <c r="Q545" s="28"/>
      <c r="R545" s="28"/>
      <c r="S545" s="28" t="s">
        <v>13</v>
      </c>
      <c r="T545" s="28"/>
      <c r="U545" s="1" t="s">
        <v>1524</v>
      </c>
      <c r="V545" s="60" t="s">
        <v>1525</v>
      </c>
    </row>
    <row r="546" spans="1:22" s="60" customFormat="1" ht="15" customHeight="1">
      <c r="A546" s="49">
        <v>118</v>
      </c>
      <c r="B546" s="49" t="s">
        <v>210</v>
      </c>
      <c r="C546" s="50" t="s">
        <v>211</v>
      </c>
      <c r="D546" s="51" t="s">
        <v>1519</v>
      </c>
      <c r="E546" s="51" t="s">
        <v>378</v>
      </c>
      <c r="F546" s="52" t="s">
        <v>801</v>
      </c>
      <c r="G546" s="57" t="s">
        <v>1520</v>
      </c>
      <c r="H546" s="65"/>
      <c r="I546" s="42" t="s">
        <v>379</v>
      </c>
      <c r="J546" s="67" t="s">
        <v>1521</v>
      </c>
      <c r="K546" s="65"/>
      <c r="L546" s="56" t="s">
        <v>1445</v>
      </c>
      <c r="M546" s="51" t="s">
        <v>1522</v>
      </c>
      <c r="N546" s="27"/>
      <c r="O546" s="73" t="s">
        <v>1523</v>
      </c>
      <c r="P546" s="28"/>
      <c r="Q546" s="28"/>
      <c r="R546" s="28"/>
      <c r="S546" s="28" t="s">
        <v>13</v>
      </c>
      <c r="T546" s="28"/>
      <c r="U546" s="1" t="s">
        <v>1524</v>
      </c>
      <c r="V546" s="60" t="s">
        <v>1531</v>
      </c>
    </row>
    <row r="547" spans="1:22" s="60" customFormat="1" ht="15" customHeight="1">
      <c r="A547" s="49">
        <v>119</v>
      </c>
      <c r="B547" s="49" t="s">
        <v>212</v>
      </c>
      <c r="C547" s="50" t="s">
        <v>209</v>
      </c>
      <c r="D547" s="51" t="s">
        <v>1519</v>
      </c>
      <c r="E547" s="51" t="s">
        <v>378</v>
      </c>
      <c r="F547" s="52" t="s">
        <v>801</v>
      </c>
      <c r="G547" s="57" t="s">
        <v>1520</v>
      </c>
      <c r="H547" s="65"/>
      <c r="I547" s="42" t="s">
        <v>379</v>
      </c>
      <c r="J547" s="67" t="s">
        <v>1521</v>
      </c>
      <c r="K547" s="65"/>
      <c r="L547" s="56" t="s">
        <v>1445</v>
      </c>
      <c r="M547" s="51" t="s">
        <v>1522</v>
      </c>
      <c r="N547" s="27"/>
      <c r="O547" s="73" t="s">
        <v>1523</v>
      </c>
      <c r="P547" s="28"/>
      <c r="Q547" s="28"/>
      <c r="R547" s="28"/>
      <c r="S547" s="28" t="s">
        <v>13</v>
      </c>
      <c r="T547" s="28"/>
      <c r="U547" s="1" t="s">
        <v>1524</v>
      </c>
      <c r="V547" s="60" t="s">
        <v>1532</v>
      </c>
    </row>
    <row r="548" spans="1:22" s="60" customFormat="1" ht="15" customHeight="1">
      <c r="A548" s="49">
        <v>120</v>
      </c>
      <c r="B548" s="49" t="s">
        <v>213</v>
      </c>
      <c r="C548" s="50" t="s">
        <v>209</v>
      </c>
      <c r="D548" s="51" t="s">
        <v>1519</v>
      </c>
      <c r="E548" s="51" t="s">
        <v>378</v>
      </c>
      <c r="F548" s="52" t="s">
        <v>801</v>
      </c>
      <c r="G548" s="57" t="s">
        <v>1520</v>
      </c>
      <c r="H548" s="65"/>
      <c r="I548" s="42" t="s">
        <v>379</v>
      </c>
      <c r="J548" s="67" t="s">
        <v>1521</v>
      </c>
      <c r="K548" s="65"/>
      <c r="L548" s="56" t="s">
        <v>1445</v>
      </c>
      <c r="M548" s="51" t="s">
        <v>1522</v>
      </c>
      <c r="N548" s="27"/>
      <c r="O548" s="73" t="s">
        <v>1523</v>
      </c>
      <c r="P548" s="28"/>
      <c r="Q548" s="28"/>
      <c r="R548" s="28"/>
      <c r="S548" s="28" t="s">
        <v>13</v>
      </c>
      <c r="T548" s="28"/>
      <c r="U548" s="1" t="s">
        <v>1524</v>
      </c>
      <c r="V548" s="60" t="s">
        <v>1533</v>
      </c>
    </row>
    <row r="549" spans="1:22" s="60" customFormat="1" ht="15" customHeight="1">
      <c r="A549" s="49">
        <v>121</v>
      </c>
      <c r="B549" s="49" t="s">
        <v>214</v>
      </c>
      <c r="C549" s="50" t="s">
        <v>215</v>
      </c>
      <c r="D549" s="51" t="s">
        <v>1519</v>
      </c>
      <c r="E549" s="51" t="s">
        <v>378</v>
      </c>
      <c r="F549" s="52" t="s">
        <v>801</v>
      </c>
      <c r="G549" s="57" t="s">
        <v>1520</v>
      </c>
      <c r="H549" s="65"/>
      <c r="I549" s="42" t="s">
        <v>379</v>
      </c>
      <c r="J549" s="67" t="s">
        <v>1521</v>
      </c>
      <c r="K549" s="65"/>
      <c r="L549" s="56" t="s">
        <v>1445</v>
      </c>
      <c r="M549" s="51" t="s">
        <v>1522</v>
      </c>
      <c r="N549" s="27"/>
      <c r="O549" s="73" t="s">
        <v>1523</v>
      </c>
      <c r="P549" s="28"/>
      <c r="Q549" s="28"/>
      <c r="R549" s="28"/>
      <c r="S549" s="28" t="s">
        <v>13</v>
      </c>
      <c r="T549" s="28"/>
      <c r="U549" s="1" t="s">
        <v>1524</v>
      </c>
      <c r="V549" s="60" t="s">
        <v>1534</v>
      </c>
    </row>
    <row r="550" spans="1:22" s="60" customFormat="1" ht="15" customHeight="1">
      <c r="A550" s="49">
        <v>122</v>
      </c>
      <c r="B550" s="49" t="s">
        <v>216</v>
      </c>
      <c r="C550" s="50" t="s">
        <v>217</v>
      </c>
      <c r="D550" s="51" t="s">
        <v>1519</v>
      </c>
      <c r="E550" s="51" t="s">
        <v>378</v>
      </c>
      <c r="F550" s="52" t="s">
        <v>801</v>
      </c>
      <c r="G550" s="57" t="s">
        <v>1520</v>
      </c>
      <c r="H550" s="65"/>
      <c r="I550" s="42" t="s">
        <v>379</v>
      </c>
      <c r="J550" s="67" t="s">
        <v>1521</v>
      </c>
      <c r="K550" s="65"/>
      <c r="L550" s="56" t="s">
        <v>1445</v>
      </c>
      <c r="M550" s="51" t="s">
        <v>1522</v>
      </c>
      <c r="N550" s="27"/>
      <c r="O550" s="73" t="s">
        <v>1523</v>
      </c>
      <c r="P550" s="28"/>
      <c r="Q550" s="28"/>
      <c r="R550" s="28"/>
      <c r="S550" s="28" t="s">
        <v>13</v>
      </c>
      <c r="T550" s="28"/>
      <c r="U550" s="1" t="s">
        <v>1524</v>
      </c>
      <c r="V550" s="60" t="s">
        <v>1535</v>
      </c>
    </row>
    <row r="551" spans="1:22" s="60" customFormat="1" ht="15" customHeight="1">
      <c r="A551" s="49">
        <v>123</v>
      </c>
      <c r="B551" s="49" t="s">
        <v>218</v>
      </c>
      <c r="C551" s="50" t="s">
        <v>215</v>
      </c>
      <c r="D551" s="51" t="s">
        <v>1519</v>
      </c>
      <c r="E551" s="51" t="s">
        <v>378</v>
      </c>
      <c r="F551" s="52" t="s">
        <v>801</v>
      </c>
      <c r="G551" s="57" t="s">
        <v>1520</v>
      </c>
      <c r="H551" s="65"/>
      <c r="I551" s="42" t="s">
        <v>379</v>
      </c>
      <c r="J551" s="67" t="s">
        <v>1521</v>
      </c>
      <c r="K551" s="65"/>
      <c r="L551" s="56" t="s">
        <v>1445</v>
      </c>
      <c r="M551" s="51" t="s">
        <v>1522</v>
      </c>
      <c r="N551" s="27"/>
      <c r="O551" s="73" t="s">
        <v>1523</v>
      </c>
      <c r="P551" s="28"/>
      <c r="Q551" s="28"/>
      <c r="R551" s="28"/>
      <c r="S551" s="28" t="s">
        <v>13</v>
      </c>
      <c r="T551" s="28"/>
      <c r="U551" s="1" t="s">
        <v>1524</v>
      </c>
      <c r="V551" s="60" t="s">
        <v>1536</v>
      </c>
    </row>
    <row r="552" spans="1:22" s="60" customFormat="1" ht="15" customHeight="1">
      <c r="A552" s="49">
        <v>124</v>
      </c>
      <c r="B552" s="49" t="s">
        <v>219</v>
      </c>
      <c r="C552" s="50" t="s">
        <v>220</v>
      </c>
      <c r="D552" s="51" t="s">
        <v>1519</v>
      </c>
      <c r="E552" s="51" t="s">
        <v>378</v>
      </c>
      <c r="F552" s="52" t="s">
        <v>801</v>
      </c>
      <c r="G552" s="57" t="s">
        <v>1520</v>
      </c>
      <c r="H552" s="65"/>
      <c r="I552" s="42" t="s">
        <v>379</v>
      </c>
      <c r="J552" s="67" t="s">
        <v>1521</v>
      </c>
      <c r="K552" s="65"/>
      <c r="L552" s="56" t="s">
        <v>1445</v>
      </c>
      <c r="M552" s="51" t="s">
        <v>1522</v>
      </c>
      <c r="N552" s="27"/>
      <c r="O552" s="73" t="s">
        <v>1523</v>
      </c>
      <c r="P552" s="28"/>
      <c r="Q552" s="28"/>
      <c r="R552" s="28"/>
      <c r="S552" s="28" t="s">
        <v>13</v>
      </c>
      <c r="T552" s="28"/>
      <c r="U552" s="1" t="s">
        <v>1524</v>
      </c>
      <c r="V552" s="60" t="s">
        <v>1537</v>
      </c>
    </row>
    <row r="553" spans="1:22" s="60" customFormat="1" ht="15" customHeight="1">
      <c r="A553" s="49">
        <v>125</v>
      </c>
      <c r="B553" s="49" t="s">
        <v>221</v>
      </c>
      <c r="C553" s="50" t="s">
        <v>209</v>
      </c>
      <c r="D553" s="51" t="s">
        <v>1519</v>
      </c>
      <c r="E553" s="51" t="s">
        <v>378</v>
      </c>
      <c r="F553" s="52" t="s">
        <v>801</v>
      </c>
      <c r="G553" s="57" t="s">
        <v>1520</v>
      </c>
      <c r="H553" s="65"/>
      <c r="I553" s="42" t="s">
        <v>379</v>
      </c>
      <c r="J553" s="67" t="s">
        <v>1521</v>
      </c>
      <c r="K553" s="65"/>
      <c r="L553" s="56" t="s">
        <v>1445</v>
      </c>
      <c r="M553" s="51" t="s">
        <v>1522</v>
      </c>
      <c r="N553" s="27"/>
      <c r="O553" s="73" t="s">
        <v>1523</v>
      </c>
      <c r="P553" s="28"/>
      <c r="Q553" s="28"/>
      <c r="R553" s="28"/>
      <c r="S553" s="28" t="s">
        <v>13</v>
      </c>
      <c r="T553" s="28"/>
      <c r="U553" s="1" t="s">
        <v>1524</v>
      </c>
      <c r="V553" s="60" t="s">
        <v>1538</v>
      </c>
    </row>
    <row r="554" spans="1:22" s="60" customFormat="1" ht="15" customHeight="1">
      <c r="A554" s="49">
        <v>126</v>
      </c>
      <c r="B554" s="49" t="s">
        <v>222</v>
      </c>
      <c r="C554" s="50" t="s">
        <v>205</v>
      </c>
      <c r="D554" s="51" t="s">
        <v>1519</v>
      </c>
      <c r="E554" s="51" t="s">
        <v>378</v>
      </c>
      <c r="F554" s="52" t="s">
        <v>801</v>
      </c>
      <c r="G554" s="57" t="s">
        <v>1520</v>
      </c>
      <c r="H554" s="65"/>
      <c r="I554" s="42" t="s">
        <v>379</v>
      </c>
      <c r="J554" s="67" t="s">
        <v>1521</v>
      </c>
      <c r="K554" s="65"/>
      <c r="L554" s="56" t="s">
        <v>1445</v>
      </c>
      <c r="M554" s="51" t="s">
        <v>1522</v>
      </c>
      <c r="N554" s="27"/>
      <c r="O554" s="73" t="s">
        <v>1523</v>
      </c>
      <c r="P554" s="28"/>
      <c r="Q554" s="28"/>
      <c r="R554" s="28"/>
      <c r="S554" s="28" t="s">
        <v>13</v>
      </c>
      <c r="T554" s="28"/>
      <c r="U554" s="1" t="s">
        <v>1524</v>
      </c>
      <c r="V554" s="60" t="s">
        <v>1539</v>
      </c>
    </row>
    <row r="555" spans="1:22" s="60" customFormat="1" ht="15" customHeight="1">
      <c r="A555" s="49">
        <v>127</v>
      </c>
      <c r="B555" s="49" t="s">
        <v>223</v>
      </c>
      <c r="C555" s="50" t="s">
        <v>72</v>
      </c>
      <c r="D555" s="51" t="s">
        <v>1519</v>
      </c>
      <c r="E555" s="51" t="s">
        <v>378</v>
      </c>
      <c r="F555" s="52" t="s">
        <v>801</v>
      </c>
      <c r="G555" s="57" t="s">
        <v>1520</v>
      </c>
      <c r="H555" s="65"/>
      <c r="I555" s="42" t="s">
        <v>379</v>
      </c>
      <c r="J555" s="67" t="s">
        <v>1521</v>
      </c>
      <c r="K555" s="65"/>
      <c r="L555" s="56" t="s">
        <v>1445</v>
      </c>
      <c r="M555" s="51" t="s">
        <v>1522</v>
      </c>
      <c r="N555" s="27"/>
      <c r="O555" s="73" t="s">
        <v>1523</v>
      </c>
      <c r="P555" s="28"/>
      <c r="Q555" s="28"/>
      <c r="R555" s="28"/>
      <c r="S555" s="28" t="s">
        <v>13</v>
      </c>
      <c r="T555" s="28"/>
      <c r="U555" s="1" t="s">
        <v>1524</v>
      </c>
      <c r="V555" s="60" t="s">
        <v>1540</v>
      </c>
    </row>
    <row r="556" spans="1:22" s="60" customFormat="1" ht="15" customHeight="1">
      <c r="A556" s="49">
        <v>127</v>
      </c>
      <c r="B556" s="49" t="s">
        <v>223</v>
      </c>
      <c r="C556" s="50" t="s">
        <v>72</v>
      </c>
      <c r="D556" s="51" t="s">
        <v>1526</v>
      </c>
      <c r="E556" s="51" t="s">
        <v>378</v>
      </c>
      <c r="F556" s="42" t="s">
        <v>405</v>
      </c>
      <c r="G556" s="57" t="s">
        <v>1527</v>
      </c>
      <c r="H556" s="65"/>
      <c r="I556" s="42" t="s">
        <v>379</v>
      </c>
      <c r="J556" s="67" t="s">
        <v>1528</v>
      </c>
      <c r="K556" s="65"/>
      <c r="L556" s="56" t="s">
        <v>377</v>
      </c>
      <c r="M556" s="51" t="s">
        <v>1529</v>
      </c>
      <c r="N556" s="27"/>
      <c r="P556" s="28"/>
      <c r="Q556" s="28"/>
      <c r="R556" s="28"/>
      <c r="S556" s="28"/>
      <c r="T556" s="28"/>
      <c r="U556" s="1" t="s">
        <v>1530</v>
      </c>
    </row>
    <row r="557" spans="1:22" s="60" customFormat="1" ht="15" customHeight="1">
      <c r="A557" s="49">
        <v>128</v>
      </c>
      <c r="B557" s="49" t="s">
        <v>224</v>
      </c>
      <c r="C557" s="50" t="s">
        <v>72</v>
      </c>
      <c r="D557" s="51" t="s">
        <v>1519</v>
      </c>
      <c r="E557" s="51" t="s">
        <v>378</v>
      </c>
      <c r="F557" s="52" t="s">
        <v>801</v>
      </c>
      <c r="G557" s="57" t="s">
        <v>1520</v>
      </c>
      <c r="H557" s="65"/>
      <c r="I557" s="42" t="s">
        <v>379</v>
      </c>
      <c r="J557" s="67" t="s">
        <v>1521</v>
      </c>
      <c r="K557" s="65"/>
      <c r="L557" s="56" t="s">
        <v>1445</v>
      </c>
      <c r="M557" s="51" t="s">
        <v>1522</v>
      </c>
      <c r="N557" s="27"/>
      <c r="O557" s="73" t="s">
        <v>1523</v>
      </c>
      <c r="P557" s="28"/>
      <c r="Q557" s="28"/>
      <c r="R557" s="28"/>
      <c r="S557" s="28" t="s">
        <v>13</v>
      </c>
      <c r="T557" s="28"/>
      <c r="U557" s="1" t="s">
        <v>1524</v>
      </c>
      <c r="V557" s="60" t="s">
        <v>1540</v>
      </c>
    </row>
    <row r="558" spans="1:22" s="60" customFormat="1" ht="15" customHeight="1">
      <c r="A558" s="49">
        <v>128</v>
      </c>
      <c r="B558" s="49" t="s">
        <v>224</v>
      </c>
      <c r="C558" s="50" t="s">
        <v>72</v>
      </c>
      <c r="D558" s="51" t="s">
        <v>1526</v>
      </c>
      <c r="E558" s="51" t="s">
        <v>378</v>
      </c>
      <c r="F558" s="42" t="s">
        <v>405</v>
      </c>
      <c r="G558" s="57" t="s">
        <v>1527</v>
      </c>
      <c r="H558" s="65"/>
      <c r="I558" s="42" t="s">
        <v>379</v>
      </c>
      <c r="J558" s="67" t="s">
        <v>1528</v>
      </c>
      <c r="K558" s="65"/>
      <c r="L558" s="56" t="s">
        <v>377</v>
      </c>
      <c r="M558" s="51" t="s">
        <v>1529</v>
      </c>
      <c r="N558" s="27"/>
      <c r="P558" s="28"/>
      <c r="Q558" s="28"/>
      <c r="R558" s="28"/>
      <c r="S558" s="28"/>
      <c r="T558" s="28"/>
      <c r="U558" s="1" t="s">
        <v>1530</v>
      </c>
    </row>
    <row r="559" spans="1:22" s="60" customFormat="1" ht="15" customHeight="1">
      <c r="A559" s="49">
        <v>129</v>
      </c>
      <c r="B559" s="49" t="s">
        <v>225</v>
      </c>
      <c r="C559" s="50" t="s">
        <v>205</v>
      </c>
      <c r="D559" s="51" t="s">
        <v>1519</v>
      </c>
      <c r="E559" s="51" t="s">
        <v>378</v>
      </c>
      <c r="F559" s="52" t="s">
        <v>801</v>
      </c>
      <c r="G559" s="57" t="s">
        <v>1520</v>
      </c>
      <c r="H559" s="65"/>
      <c r="I559" s="42" t="s">
        <v>379</v>
      </c>
      <c r="J559" s="67" t="s">
        <v>1521</v>
      </c>
      <c r="K559" s="65"/>
      <c r="L559" s="56" t="s">
        <v>1445</v>
      </c>
      <c r="M559" s="51" t="s">
        <v>1522</v>
      </c>
      <c r="N559" s="27"/>
      <c r="O559" s="73" t="s">
        <v>1523</v>
      </c>
      <c r="P559" s="28"/>
      <c r="Q559" s="28"/>
      <c r="R559" s="28"/>
      <c r="S559" s="28" t="s">
        <v>13</v>
      </c>
      <c r="T559" s="28"/>
      <c r="U559" s="1" t="s">
        <v>1524</v>
      </c>
      <c r="V559" s="60" t="s">
        <v>1540</v>
      </c>
    </row>
    <row r="560" spans="1:22" s="60" customFormat="1" ht="15" customHeight="1">
      <c r="A560" s="49">
        <v>130</v>
      </c>
      <c r="B560" s="49" t="s">
        <v>226</v>
      </c>
      <c r="C560" s="50" t="s">
        <v>227</v>
      </c>
      <c r="D560" s="51" t="s">
        <v>1519</v>
      </c>
      <c r="E560" s="51" t="s">
        <v>378</v>
      </c>
      <c r="F560" s="52" t="s">
        <v>801</v>
      </c>
      <c r="G560" s="57" t="s">
        <v>1520</v>
      </c>
      <c r="H560" s="65"/>
      <c r="I560" s="42" t="s">
        <v>379</v>
      </c>
      <c r="J560" s="67" t="s">
        <v>1521</v>
      </c>
      <c r="K560" s="65"/>
      <c r="L560" s="56" t="s">
        <v>1445</v>
      </c>
      <c r="M560" s="51" t="s">
        <v>1522</v>
      </c>
      <c r="N560" s="27"/>
      <c r="O560" s="73" t="s">
        <v>1523</v>
      </c>
      <c r="P560" s="28"/>
      <c r="Q560" s="28"/>
      <c r="R560" s="28"/>
      <c r="S560" s="28" t="s">
        <v>13</v>
      </c>
      <c r="T560" s="28"/>
      <c r="U560" s="1" t="s">
        <v>1524</v>
      </c>
      <c r="V560" s="60" t="s">
        <v>1541</v>
      </c>
    </row>
    <row r="561" spans="1:22" s="60" customFormat="1" ht="15" customHeight="1">
      <c r="A561" s="49">
        <v>131</v>
      </c>
      <c r="B561" s="49" t="s">
        <v>228</v>
      </c>
      <c r="C561" s="50" t="s">
        <v>229</v>
      </c>
      <c r="D561" s="51" t="s">
        <v>1519</v>
      </c>
      <c r="E561" s="51" t="s">
        <v>378</v>
      </c>
      <c r="F561" s="52" t="s">
        <v>801</v>
      </c>
      <c r="G561" s="57" t="s">
        <v>1520</v>
      </c>
      <c r="H561" s="65"/>
      <c r="I561" s="42" t="s">
        <v>379</v>
      </c>
      <c r="J561" s="67" t="s">
        <v>1521</v>
      </c>
      <c r="K561" s="65"/>
      <c r="L561" s="56" t="s">
        <v>1445</v>
      </c>
      <c r="M561" s="51" t="s">
        <v>1522</v>
      </c>
      <c r="N561" s="27"/>
      <c r="O561" s="73" t="s">
        <v>1523</v>
      </c>
      <c r="P561" s="28"/>
      <c r="Q561" s="28"/>
      <c r="R561" s="28"/>
      <c r="S561" s="28" t="s">
        <v>13</v>
      </c>
      <c r="T561" s="28"/>
      <c r="U561" s="1" t="s">
        <v>1524</v>
      </c>
      <c r="V561" s="60" t="s">
        <v>1542</v>
      </c>
    </row>
    <row r="562" spans="1:22" s="60" customFormat="1" ht="15" customHeight="1">
      <c r="A562" s="49">
        <v>132</v>
      </c>
      <c r="B562" s="49" t="s">
        <v>230</v>
      </c>
      <c r="C562" s="50" t="s">
        <v>207</v>
      </c>
      <c r="D562" s="51" t="s">
        <v>1519</v>
      </c>
      <c r="E562" s="51" t="s">
        <v>378</v>
      </c>
      <c r="F562" s="52" t="s">
        <v>801</v>
      </c>
      <c r="G562" s="57" t="s">
        <v>1520</v>
      </c>
      <c r="H562" s="65"/>
      <c r="I562" s="42" t="s">
        <v>379</v>
      </c>
      <c r="J562" s="67" t="s">
        <v>1521</v>
      </c>
      <c r="K562" s="65"/>
      <c r="L562" s="56" t="s">
        <v>1445</v>
      </c>
      <c r="M562" s="51" t="s">
        <v>1522</v>
      </c>
      <c r="N562" s="27"/>
      <c r="O562" s="73" t="s">
        <v>1523</v>
      </c>
      <c r="P562" s="28"/>
      <c r="Q562" s="28"/>
      <c r="R562" s="28"/>
      <c r="S562" s="28" t="s">
        <v>13</v>
      </c>
      <c r="T562" s="28"/>
      <c r="U562" s="1" t="s">
        <v>1524</v>
      </c>
      <c r="V562" s="60" t="s">
        <v>1543</v>
      </c>
    </row>
    <row r="563" spans="1:22" s="60" customFormat="1" ht="15" customHeight="1">
      <c r="A563" s="49">
        <v>133</v>
      </c>
      <c r="B563" s="49" t="s">
        <v>231</v>
      </c>
      <c r="C563" s="50" t="s">
        <v>209</v>
      </c>
      <c r="D563" s="51" t="s">
        <v>1519</v>
      </c>
      <c r="E563" s="51" t="s">
        <v>378</v>
      </c>
      <c r="F563" s="52" t="s">
        <v>801</v>
      </c>
      <c r="G563" s="57" t="s">
        <v>1520</v>
      </c>
      <c r="H563" s="65"/>
      <c r="I563" s="42" t="s">
        <v>379</v>
      </c>
      <c r="J563" s="67" t="s">
        <v>1521</v>
      </c>
      <c r="K563" s="65"/>
      <c r="L563" s="56" t="s">
        <v>1445</v>
      </c>
      <c r="M563" s="51" t="s">
        <v>1522</v>
      </c>
      <c r="N563" s="27"/>
      <c r="O563" s="73" t="s">
        <v>1523</v>
      </c>
      <c r="P563" s="28"/>
      <c r="Q563" s="28"/>
      <c r="R563" s="28"/>
      <c r="S563" s="28" t="s">
        <v>13</v>
      </c>
      <c r="T563" s="28"/>
      <c r="U563" s="1" t="s">
        <v>1524</v>
      </c>
      <c r="V563" s="60" t="s">
        <v>1544</v>
      </c>
    </row>
    <row r="564" spans="1:22" s="60" customFormat="1" ht="15" customHeight="1">
      <c r="A564" s="49">
        <v>134</v>
      </c>
      <c r="B564" s="49" t="s">
        <v>232</v>
      </c>
      <c r="C564" s="50" t="s">
        <v>209</v>
      </c>
      <c r="D564" s="51" t="s">
        <v>1519</v>
      </c>
      <c r="E564" s="51" t="s">
        <v>378</v>
      </c>
      <c r="F564" s="52" t="s">
        <v>801</v>
      </c>
      <c r="G564" s="57" t="s">
        <v>1520</v>
      </c>
      <c r="H564" s="65"/>
      <c r="I564" s="42" t="s">
        <v>379</v>
      </c>
      <c r="J564" s="67" t="s">
        <v>1521</v>
      </c>
      <c r="K564" s="65"/>
      <c r="L564" s="56" t="s">
        <v>1445</v>
      </c>
      <c r="M564" s="51" t="s">
        <v>1522</v>
      </c>
      <c r="N564" s="27"/>
      <c r="O564" s="73" t="s">
        <v>1523</v>
      </c>
      <c r="P564" s="28"/>
      <c r="Q564" s="28"/>
      <c r="R564" s="28"/>
      <c r="S564" s="28" t="s">
        <v>13</v>
      </c>
      <c r="T564" s="28"/>
      <c r="U564" s="1" t="s">
        <v>1524</v>
      </c>
      <c r="V564" s="60" t="s">
        <v>1545</v>
      </c>
    </row>
    <row r="565" spans="1:22" s="60" customFormat="1" ht="15" customHeight="1">
      <c r="A565" s="49">
        <v>135</v>
      </c>
      <c r="B565" s="49" t="s">
        <v>233</v>
      </c>
      <c r="C565" s="50" t="s">
        <v>215</v>
      </c>
      <c r="D565" s="51" t="s">
        <v>1519</v>
      </c>
      <c r="E565" s="51" t="s">
        <v>378</v>
      </c>
      <c r="F565" s="52" t="s">
        <v>801</v>
      </c>
      <c r="G565" s="57" t="s">
        <v>1520</v>
      </c>
      <c r="H565" s="65"/>
      <c r="I565" s="42" t="s">
        <v>379</v>
      </c>
      <c r="J565" s="67" t="s">
        <v>1521</v>
      </c>
      <c r="K565" s="65"/>
      <c r="L565" s="56" t="s">
        <v>1445</v>
      </c>
      <c r="M565" s="51" t="s">
        <v>1522</v>
      </c>
      <c r="N565" s="27"/>
      <c r="O565" s="73" t="s">
        <v>1523</v>
      </c>
      <c r="P565" s="28"/>
      <c r="Q565" s="28"/>
      <c r="R565" s="28"/>
      <c r="S565" s="28" t="s">
        <v>13</v>
      </c>
      <c r="T565" s="28"/>
      <c r="U565" s="1" t="s">
        <v>1524</v>
      </c>
      <c r="V565" s="60" t="s">
        <v>1546</v>
      </c>
    </row>
    <row r="566" spans="1:22" s="60" customFormat="1" ht="15" customHeight="1">
      <c r="A566" s="49">
        <v>136</v>
      </c>
      <c r="B566" s="49" t="s">
        <v>234</v>
      </c>
      <c r="C566" s="50" t="s">
        <v>235</v>
      </c>
      <c r="D566" s="80" t="s">
        <v>692</v>
      </c>
      <c r="E566" s="116" t="s">
        <v>692</v>
      </c>
      <c r="F566" s="52"/>
      <c r="G566" s="57"/>
      <c r="H566" s="65"/>
      <c r="I566" s="42"/>
      <c r="J566" s="67"/>
      <c r="K566" s="65"/>
      <c r="L566" s="56"/>
      <c r="M566" s="51"/>
      <c r="N566" s="27"/>
      <c r="P566" s="28"/>
      <c r="Q566" s="28"/>
      <c r="R566" s="28"/>
      <c r="S566" s="28" t="s">
        <v>13</v>
      </c>
      <c r="T566" s="28"/>
    </row>
    <row r="567" spans="1:22" s="60" customFormat="1" ht="15" customHeight="1">
      <c r="A567" s="49">
        <v>137</v>
      </c>
      <c r="B567" s="49" t="s">
        <v>236</v>
      </c>
      <c r="C567" s="50" t="s">
        <v>237</v>
      </c>
      <c r="D567" s="51" t="s">
        <v>1519</v>
      </c>
      <c r="E567" s="51" t="s">
        <v>378</v>
      </c>
      <c r="F567" s="52" t="s">
        <v>801</v>
      </c>
      <c r="G567" s="57" t="s">
        <v>1520</v>
      </c>
      <c r="H567" s="65"/>
      <c r="I567" s="42" t="s">
        <v>379</v>
      </c>
      <c r="J567" s="67" t="s">
        <v>1521</v>
      </c>
      <c r="K567" s="65"/>
      <c r="L567" s="56" t="s">
        <v>1445</v>
      </c>
      <c r="M567" s="51" t="s">
        <v>1522</v>
      </c>
      <c r="N567" s="27"/>
      <c r="O567" s="73" t="s">
        <v>1523</v>
      </c>
      <c r="P567" s="28"/>
      <c r="Q567" s="28"/>
      <c r="R567" s="28"/>
      <c r="S567" s="28" t="s">
        <v>13</v>
      </c>
      <c r="T567" s="28"/>
      <c r="U567" s="1" t="s">
        <v>1524</v>
      </c>
      <c r="V567" s="60" t="s">
        <v>1546</v>
      </c>
    </row>
    <row r="568" spans="1:22" s="60" customFormat="1" ht="15" customHeight="1">
      <c r="A568" s="49">
        <v>138</v>
      </c>
      <c r="B568" s="86" t="s">
        <v>238</v>
      </c>
      <c r="C568" s="50" t="s">
        <v>194</v>
      </c>
      <c r="D568" s="51" t="s">
        <v>1519</v>
      </c>
      <c r="E568" s="51" t="s">
        <v>378</v>
      </c>
      <c r="F568" s="52" t="s">
        <v>801</v>
      </c>
      <c r="G568" s="57" t="s">
        <v>1520</v>
      </c>
      <c r="H568" s="65"/>
      <c r="I568" s="42" t="s">
        <v>379</v>
      </c>
      <c r="J568" s="67" t="s">
        <v>1521</v>
      </c>
      <c r="K568" s="65"/>
      <c r="L568" s="56" t="s">
        <v>1445</v>
      </c>
      <c r="M568" s="51" t="s">
        <v>1522</v>
      </c>
      <c r="N568" s="27"/>
      <c r="O568" s="73" t="s">
        <v>1523</v>
      </c>
      <c r="P568" s="28"/>
      <c r="Q568" s="28"/>
      <c r="R568" s="28"/>
      <c r="S568" s="28" t="s">
        <v>13</v>
      </c>
      <c r="T568" s="28"/>
      <c r="U568" s="1" t="s">
        <v>1524</v>
      </c>
      <c r="V568" s="60" t="s">
        <v>1547</v>
      </c>
    </row>
    <row r="569" spans="1:22" s="60" customFormat="1" ht="15" customHeight="1">
      <c r="A569" s="49">
        <v>138</v>
      </c>
      <c r="B569" s="86" t="s">
        <v>238</v>
      </c>
      <c r="C569" s="50" t="s">
        <v>194</v>
      </c>
      <c r="D569" s="51" t="s">
        <v>1548</v>
      </c>
      <c r="E569" s="63" t="s">
        <v>1549</v>
      </c>
      <c r="F569" s="52" t="s">
        <v>801</v>
      </c>
      <c r="G569" s="57" t="s">
        <v>1520</v>
      </c>
      <c r="H569" s="65"/>
      <c r="I569" s="42" t="s">
        <v>379</v>
      </c>
      <c r="J569" s="67" t="s">
        <v>1521</v>
      </c>
      <c r="K569" s="65"/>
      <c r="L569" s="56" t="s">
        <v>1445</v>
      </c>
      <c r="M569" s="51" t="s">
        <v>1550</v>
      </c>
      <c r="N569" s="27"/>
      <c r="O569" s="73" t="s">
        <v>1523</v>
      </c>
      <c r="P569" s="28"/>
      <c r="Q569" s="28"/>
      <c r="R569" s="28"/>
      <c r="S569" s="28"/>
      <c r="T569" s="28"/>
      <c r="U569" s="1" t="s">
        <v>1524</v>
      </c>
      <c r="V569" s="60" t="s">
        <v>1551</v>
      </c>
    </row>
    <row r="570" spans="1:22" s="60" customFormat="1" ht="15" customHeight="1">
      <c r="A570" s="49">
        <v>138</v>
      </c>
      <c r="B570" s="86" t="s">
        <v>238</v>
      </c>
      <c r="C570" s="50" t="s">
        <v>194</v>
      </c>
      <c r="D570" s="51" t="s">
        <v>1548</v>
      </c>
      <c r="E570" s="67" t="s">
        <v>1552</v>
      </c>
      <c r="F570" s="52" t="s">
        <v>801</v>
      </c>
      <c r="G570" s="57" t="s">
        <v>1553</v>
      </c>
      <c r="H570" s="65"/>
      <c r="I570" s="42" t="s">
        <v>416</v>
      </c>
      <c r="J570" s="117" t="s">
        <v>1554</v>
      </c>
      <c r="K570" s="65"/>
      <c r="L570" s="56" t="s">
        <v>638</v>
      </c>
      <c r="M570" s="51" t="s">
        <v>1555</v>
      </c>
      <c r="N570" s="27"/>
      <c r="O570" s="73" t="s">
        <v>1523</v>
      </c>
      <c r="P570" s="28"/>
      <c r="Q570" s="28"/>
      <c r="R570" s="28"/>
      <c r="S570" s="28"/>
      <c r="T570" s="28"/>
      <c r="U570" s="1" t="s">
        <v>1524</v>
      </c>
      <c r="V570" s="60" t="s">
        <v>1556</v>
      </c>
    </row>
    <row r="571" spans="1:22" s="60" customFormat="1" ht="15" customHeight="1">
      <c r="A571" s="49">
        <v>138</v>
      </c>
      <c r="B571" s="86" t="s">
        <v>238</v>
      </c>
      <c r="C571" s="50" t="s">
        <v>194</v>
      </c>
      <c r="D571" s="51" t="s">
        <v>1548</v>
      </c>
      <c r="E571" s="51" t="s">
        <v>1557</v>
      </c>
      <c r="F571" s="52" t="s">
        <v>1445</v>
      </c>
      <c r="G571" s="57" t="s">
        <v>1558</v>
      </c>
      <c r="H571" s="65"/>
      <c r="I571" s="42" t="s">
        <v>377</v>
      </c>
      <c r="J571" s="117" t="s">
        <v>1559</v>
      </c>
      <c r="K571" s="65"/>
      <c r="L571" s="56" t="s">
        <v>638</v>
      </c>
      <c r="M571" s="51" t="s">
        <v>1560</v>
      </c>
      <c r="N571" s="27"/>
      <c r="O571" s="73" t="s">
        <v>1561</v>
      </c>
      <c r="P571" s="28"/>
      <c r="Q571" s="28"/>
      <c r="R571" s="28"/>
      <c r="S571" s="28"/>
      <c r="T571" s="28"/>
      <c r="U571" s="1" t="s">
        <v>1524</v>
      </c>
      <c r="V571" s="60" t="s">
        <v>1562</v>
      </c>
    </row>
    <row r="572" spans="1:22" s="60" customFormat="1" ht="15" customHeight="1">
      <c r="A572" s="49">
        <v>138</v>
      </c>
      <c r="B572" s="86" t="s">
        <v>238</v>
      </c>
      <c r="C572" s="50" t="s">
        <v>194</v>
      </c>
      <c r="D572" s="51" t="s">
        <v>1548</v>
      </c>
      <c r="E572" s="67" t="s">
        <v>1563</v>
      </c>
      <c r="F572" s="52" t="s">
        <v>638</v>
      </c>
      <c r="G572" s="57" t="s">
        <v>1564</v>
      </c>
      <c r="H572" s="65"/>
      <c r="I572" s="42" t="s">
        <v>416</v>
      </c>
      <c r="J572" s="67" t="s">
        <v>1565</v>
      </c>
      <c r="K572" s="65"/>
      <c r="L572" s="56" t="s">
        <v>638</v>
      </c>
      <c r="M572" s="51" t="s">
        <v>1566</v>
      </c>
      <c r="N572" s="27"/>
      <c r="O572" s="73" t="s">
        <v>1523</v>
      </c>
      <c r="P572" s="28"/>
      <c r="Q572" s="28"/>
      <c r="R572" s="28"/>
      <c r="S572" s="28"/>
      <c r="T572" s="28"/>
      <c r="U572" s="1" t="s">
        <v>1524</v>
      </c>
      <c r="V572" s="60" t="s">
        <v>1567</v>
      </c>
    </row>
    <row r="573" spans="1:22" s="60" customFormat="1" ht="15" customHeight="1">
      <c r="A573" s="49">
        <v>139</v>
      </c>
      <c r="B573" s="49" t="s">
        <v>239</v>
      </c>
      <c r="C573" s="50" t="s">
        <v>72</v>
      </c>
      <c r="D573" s="51" t="s">
        <v>1519</v>
      </c>
      <c r="E573" s="51" t="s">
        <v>378</v>
      </c>
      <c r="F573" s="52" t="s">
        <v>801</v>
      </c>
      <c r="G573" s="57" t="s">
        <v>1520</v>
      </c>
      <c r="H573" s="65"/>
      <c r="I573" s="42" t="s">
        <v>379</v>
      </c>
      <c r="J573" s="67" t="s">
        <v>1521</v>
      </c>
      <c r="K573" s="65"/>
      <c r="L573" s="56" t="s">
        <v>1445</v>
      </c>
      <c r="M573" s="51" t="s">
        <v>1522</v>
      </c>
      <c r="N573" s="27"/>
      <c r="O573" s="73" t="s">
        <v>1523</v>
      </c>
      <c r="P573" s="28"/>
      <c r="Q573" s="28"/>
      <c r="R573" s="28"/>
      <c r="S573" s="28" t="s">
        <v>13</v>
      </c>
      <c r="T573" s="28"/>
      <c r="U573" s="1" t="s">
        <v>1524</v>
      </c>
      <c r="V573" s="60" t="s">
        <v>1540</v>
      </c>
    </row>
    <row r="574" spans="1:22" s="60" customFormat="1" ht="15" customHeight="1">
      <c r="A574" s="49">
        <v>139</v>
      </c>
      <c r="B574" s="49" t="s">
        <v>239</v>
      </c>
      <c r="C574" s="50" t="s">
        <v>72</v>
      </c>
      <c r="D574" s="51" t="s">
        <v>1526</v>
      </c>
      <c r="E574" s="51" t="s">
        <v>378</v>
      </c>
      <c r="F574" s="42" t="s">
        <v>405</v>
      </c>
      <c r="G574" s="57" t="s">
        <v>1527</v>
      </c>
      <c r="H574" s="65"/>
      <c r="I574" s="42" t="s">
        <v>379</v>
      </c>
      <c r="J574" s="67" t="s">
        <v>1528</v>
      </c>
      <c r="K574" s="65"/>
      <c r="L574" s="56" t="s">
        <v>377</v>
      </c>
      <c r="M574" s="51" t="s">
        <v>1529</v>
      </c>
      <c r="N574" s="27"/>
      <c r="P574" s="28"/>
      <c r="Q574" s="28"/>
      <c r="R574" s="28"/>
      <c r="S574" s="28"/>
      <c r="T574" s="28"/>
      <c r="U574" s="1" t="s">
        <v>1530</v>
      </c>
    </row>
    <row r="575" spans="1:22" s="60" customFormat="1" ht="15" customHeight="1">
      <c r="A575" s="49">
        <v>140</v>
      </c>
      <c r="B575" s="49" t="s">
        <v>240</v>
      </c>
      <c r="C575" s="50" t="s">
        <v>235</v>
      </c>
      <c r="D575" s="51" t="s">
        <v>1519</v>
      </c>
      <c r="E575" s="51" t="s">
        <v>378</v>
      </c>
      <c r="F575" s="52" t="s">
        <v>801</v>
      </c>
      <c r="G575" s="57" t="s">
        <v>1520</v>
      </c>
      <c r="H575" s="65"/>
      <c r="I575" s="42" t="s">
        <v>379</v>
      </c>
      <c r="J575" s="67" t="s">
        <v>1521</v>
      </c>
      <c r="K575" s="65"/>
      <c r="L575" s="56" t="s">
        <v>1445</v>
      </c>
      <c r="M575" s="51" t="s">
        <v>1522</v>
      </c>
      <c r="N575" s="27"/>
      <c r="O575" s="73" t="s">
        <v>1523</v>
      </c>
      <c r="P575" s="28"/>
      <c r="Q575" s="28"/>
      <c r="R575" s="28"/>
      <c r="S575" s="28" t="s">
        <v>13</v>
      </c>
      <c r="T575" s="28"/>
      <c r="U575" s="1" t="s">
        <v>1524</v>
      </c>
      <c r="V575" s="60" t="s">
        <v>1551</v>
      </c>
    </row>
    <row r="576" spans="1:22" s="60" customFormat="1" ht="15" customHeight="1">
      <c r="A576" s="49">
        <v>141</v>
      </c>
      <c r="B576" s="49" t="s">
        <v>241</v>
      </c>
      <c r="C576" s="50" t="s">
        <v>242</v>
      </c>
      <c r="D576" s="51" t="s">
        <v>1519</v>
      </c>
      <c r="E576" s="51" t="s">
        <v>1568</v>
      </c>
      <c r="F576" s="52" t="s">
        <v>801</v>
      </c>
      <c r="G576" s="57" t="s">
        <v>1520</v>
      </c>
      <c r="H576" s="65"/>
      <c r="I576" s="42" t="s">
        <v>379</v>
      </c>
      <c r="J576" s="67" t="s">
        <v>1521</v>
      </c>
      <c r="K576" s="65"/>
      <c r="L576" s="56" t="s">
        <v>1445</v>
      </c>
      <c r="M576" s="51" t="s">
        <v>1522</v>
      </c>
      <c r="N576" s="27"/>
      <c r="O576" s="73" t="s">
        <v>1523</v>
      </c>
      <c r="P576" s="28"/>
      <c r="Q576" s="28"/>
      <c r="R576" s="28"/>
      <c r="S576" s="28" t="s">
        <v>13</v>
      </c>
      <c r="T576" s="28"/>
      <c r="U576" s="1" t="s">
        <v>1524</v>
      </c>
      <c r="V576" s="60" t="s">
        <v>1551</v>
      </c>
    </row>
    <row r="577" spans="1:22" s="60" customFormat="1" ht="15" customHeight="1">
      <c r="A577" s="49">
        <v>142</v>
      </c>
      <c r="B577" s="49" t="s">
        <v>244</v>
      </c>
      <c r="C577" s="50" t="s">
        <v>205</v>
      </c>
      <c r="D577" s="80" t="s">
        <v>692</v>
      </c>
      <c r="E577" s="80" t="s">
        <v>692</v>
      </c>
      <c r="F577" s="52"/>
      <c r="G577" s="57"/>
      <c r="H577" s="65"/>
      <c r="I577" s="42"/>
      <c r="J577" s="67"/>
      <c r="K577" s="65"/>
      <c r="L577" s="56"/>
      <c r="M577" s="51"/>
      <c r="N577" s="27"/>
      <c r="P577" s="28"/>
      <c r="Q577" s="28"/>
      <c r="R577" s="28"/>
      <c r="S577" s="28" t="s">
        <v>13</v>
      </c>
      <c r="T577" s="28"/>
    </row>
    <row r="578" spans="1:22" s="60" customFormat="1" ht="15" customHeight="1">
      <c r="A578" s="49">
        <v>143</v>
      </c>
      <c r="B578" s="49" t="s">
        <v>245</v>
      </c>
      <c r="C578" s="50" t="s">
        <v>72</v>
      </c>
      <c r="D578" s="80" t="s">
        <v>692</v>
      </c>
      <c r="E578" s="80" t="s">
        <v>692</v>
      </c>
      <c r="F578" s="52"/>
      <c r="G578" s="57"/>
      <c r="H578" s="65"/>
      <c r="I578" s="42"/>
      <c r="J578" s="67"/>
      <c r="K578" s="65"/>
      <c r="L578" s="56"/>
      <c r="M578" s="51"/>
      <c r="N578" s="27"/>
      <c r="P578" s="28"/>
      <c r="Q578" s="28"/>
      <c r="R578" s="28"/>
      <c r="S578" s="28" t="s">
        <v>13</v>
      </c>
      <c r="T578" s="28"/>
    </row>
    <row r="579" spans="1:22" s="60" customFormat="1" ht="15" customHeight="1">
      <c r="A579" s="49">
        <v>144</v>
      </c>
      <c r="B579" s="49" t="s">
        <v>246</v>
      </c>
      <c r="C579" s="50" t="s">
        <v>72</v>
      </c>
      <c r="D579" s="80" t="s">
        <v>692</v>
      </c>
      <c r="E579" s="80" t="s">
        <v>692</v>
      </c>
      <c r="F579" s="52"/>
      <c r="G579" s="57"/>
      <c r="H579" s="65"/>
      <c r="I579" s="42"/>
      <c r="J579" s="67"/>
      <c r="K579" s="65"/>
      <c r="L579" s="56"/>
      <c r="M579" s="51"/>
      <c r="N579" s="27"/>
      <c r="P579" s="28"/>
      <c r="Q579" s="28"/>
      <c r="R579" s="28"/>
      <c r="S579" s="28" t="s">
        <v>13</v>
      </c>
      <c r="T579" s="28"/>
    </row>
    <row r="580" spans="1:22" s="60" customFormat="1" ht="15" customHeight="1">
      <c r="A580" s="49">
        <v>145</v>
      </c>
      <c r="B580" s="49" t="s">
        <v>247</v>
      </c>
      <c r="C580" s="50" t="s">
        <v>207</v>
      </c>
      <c r="D580" s="51" t="s">
        <v>1519</v>
      </c>
      <c r="E580" s="51" t="s">
        <v>378</v>
      </c>
      <c r="F580" s="52" t="s">
        <v>801</v>
      </c>
      <c r="G580" s="57" t="s">
        <v>1520</v>
      </c>
      <c r="H580" s="65"/>
      <c r="I580" s="42" t="s">
        <v>379</v>
      </c>
      <c r="J580" s="67" t="s">
        <v>1521</v>
      </c>
      <c r="K580" s="65"/>
      <c r="L580" s="56" t="s">
        <v>1445</v>
      </c>
      <c r="M580" s="51" t="s">
        <v>1522</v>
      </c>
      <c r="N580" s="27"/>
      <c r="O580" s="73" t="s">
        <v>1523</v>
      </c>
      <c r="P580" s="28"/>
      <c r="Q580" s="28"/>
      <c r="R580" s="28"/>
      <c r="S580" s="28" t="s">
        <v>13</v>
      </c>
      <c r="T580" s="28"/>
      <c r="U580" s="1" t="s">
        <v>1524</v>
      </c>
      <c r="V580" s="60" t="s">
        <v>1551</v>
      </c>
    </row>
    <row r="581" spans="1:22" s="60" customFormat="1" ht="15" customHeight="1">
      <c r="A581" s="49">
        <v>146</v>
      </c>
      <c r="B581" s="49" t="s">
        <v>248</v>
      </c>
      <c r="C581" s="50" t="s">
        <v>205</v>
      </c>
      <c r="D581" s="51" t="s">
        <v>1519</v>
      </c>
      <c r="E581" s="51" t="s">
        <v>378</v>
      </c>
      <c r="F581" s="52" t="s">
        <v>801</v>
      </c>
      <c r="G581" s="57" t="s">
        <v>1520</v>
      </c>
      <c r="H581" s="65"/>
      <c r="I581" s="42" t="s">
        <v>379</v>
      </c>
      <c r="J581" s="67" t="s">
        <v>1521</v>
      </c>
      <c r="K581" s="65"/>
      <c r="L581" s="56" t="s">
        <v>1445</v>
      </c>
      <c r="M581" s="51" t="s">
        <v>1522</v>
      </c>
      <c r="N581" s="27"/>
      <c r="O581" s="73" t="s">
        <v>1523</v>
      </c>
      <c r="P581" s="28"/>
      <c r="Q581" s="28"/>
      <c r="R581" s="28"/>
      <c r="S581" s="28" t="s">
        <v>13</v>
      </c>
      <c r="T581" s="28"/>
      <c r="U581" s="1" t="s">
        <v>1524</v>
      </c>
      <c r="V581" s="60" t="s">
        <v>1551</v>
      </c>
    </row>
    <row r="582" spans="1:22" s="60" customFormat="1" ht="15" customHeight="1">
      <c r="A582" s="49">
        <v>147</v>
      </c>
      <c r="B582" s="49" t="s">
        <v>249</v>
      </c>
      <c r="C582" s="50" t="s">
        <v>93</v>
      </c>
      <c r="D582" s="80" t="s">
        <v>692</v>
      </c>
      <c r="E582" s="80" t="s">
        <v>692</v>
      </c>
      <c r="F582" s="118"/>
      <c r="G582" s="57"/>
      <c r="H582" s="116"/>
      <c r="I582" s="119"/>
      <c r="J582" s="120"/>
      <c r="K582" s="116"/>
      <c r="L582" s="121"/>
      <c r="M582" s="51"/>
      <c r="N582" s="112"/>
      <c r="P582" s="28"/>
      <c r="Q582" s="28"/>
      <c r="R582" s="28"/>
      <c r="S582" s="28" t="s">
        <v>13</v>
      </c>
      <c r="T582" s="28" t="s">
        <v>13</v>
      </c>
    </row>
    <row r="583" spans="1:22" s="60" customFormat="1" ht="15" customHeight="1">
      <c r="A583" s="49">
        <v>148</v>
      </c>
      <c r="B583" s="78" t="s">
        <v>250</v>
      </c>
      <c r="C583" s="82" t="s">
        <v>251</v>
      </c>
      <c r="D583" s="130" t="s">
        <v>1569</v>
      </c>
      <c r="E583" s="130"/>
      <c r="F583" s="61"/>
      <c r="G583" s="120"/>
      <c r="H583" s="116"/>
      <c r="I583" s="119"/>
      <c r="J583" s="120"/>
      <c r="K583" s="116"/>
      <c r="L583" s="121"/>
      <c r="M583" s="51"/>
      <c r="N583" s="112"/>
      <c r="P583" s="28"/>
      <c r="Q583" s="28"/>
      <c r="R583" s="28"/>
      <c r="S583" s="28" t="s">
        <v>13</v>
      </c>
      <c r="T583" s="28" t="s">
        <v>13</v>
      </c>
    </row>
    <row r="584" spans="1:22" s="60" customFormat="1" ht="15" customHeight="1">
      <c r="A584" s="49">
        <v>149</v>
      </c>
      <c r="B584" s="78" t="s">
        <v>252</v>
      </c>
      <c r="C584" s="82" t="s">
        <v>251</v>
      </c>
      <c r="D584" s="122" t="s">
        <v>1570</v>
      </c>
      <c r="E584" s="116" t="s">
        <v>1570</v>
      </c>
      <c r="F584" s="118"/>
      <c r="G584" s="120"/>
      <c r="H584" s="116"/>
      <c r="I584" s="119"/>
      <c r="J584" s="120"/>
      <c r="K584" s="116"/>
      <c r="L584" s="121"/>
      <c r="M584" s="51"/>
      <c r="N584" s="112"/>
      <c r="P584" s="28"/>
      <c r="Q584" s="28"/>
      <c r="R584" s="28"/>
      <c r="S584" s="28"/>
      <c r="T584" s="28" t="s">
        <v>13</v>
      </c>
    </row>
    <row r="585" spans="1:22" s="60" customFormat="1" ht="15" customHeight="1">
      <c r="A585" s="49">
        <v>150</v>
      </c>
      <c r="B585" s="78" t="s">
        <v>253</v>
      </c>
      <c r="C585" s="82" t="s">
        <v>251</v>
      </c>
      <c r="D585" s="130" t="s">
        <v>1569</v>
      </c>
      <c r="E585" s="130"/>
      <c r="F585" s="118" t="s">
        <v>379</v>
      </c>
      <c r="G585" s="120" t="s">
        <v>1571</v>
      </c>
      <c r="H585" s="116"/>
      <c r="I585" s="119" t="s">
        <v>416</v>
      </c>
      <c r="J585" s="116" t="s">
        <v>1572</v>
      </c>
      <c r="K585" s="116"/>
      <c r="L585" s="121" t="s">
        <v>405</v>
      </c>
      <c r="M585" s="51" t="s">
        <v>1573</v>
      </c>
      <c r="N585" s="112"/>
      <c r="P585" s="28"/>
      <c r="Q585" s="28"/>
      <c r="R585" s="28"/>
      <c r="S585" s="28"/>
      <c r="T585" s="28" t="s">
        <v>13</v>
      </c>
    </row>
    <row r="586" spans="1:22" s="60" customFormat="1" ht="15" customHeight="1">
      <c r="A586" s="49">
        <v>151</v>
      </c>
      <c r="B586" s="78" t="s">
        <v>254</v>
      </c>
      <c r="C586" s="82" t="s">
        <v>255</v>
      </c>
      <c r="D586" s="122" t="s">
        <v>1574</v>
      </c>
      <c r="E586" s="123" t="s">
        <v>378</v>
      </c>
      <c r="F586" s="118" t="s">
        <v>379</v>
      </c>
      <c r="G586" s="116" t="s">
        <v>1575</v>
      </c>
      <c r="H586" s="116"/>
      <c r="I586" s="119" t="s">
        <v>379</v>
      </c>
      <c r="J586" s="116" t="s">
        <v>1576</v>
      </c>
      <c r="K586" s="116"/>
      <c r="L586" s="121" t="s">
        <v>377</v>
      </c>
      <c r="M586" s="51" t="s">
        <v>1577</v>
      </c>
      <c r="N586" s="112"/>
      <c r="P586" s="28"/>
      <c r="Q586" s="28"/>
      <c r="R586" s="28"/>
      <c r="S586" s="28"/>
      <c r="T586" s="28" t="s">
        <v>13</v>
      </c>
    </row>
    <row r="587" spans="1:22" s="60" customFormat="1" ht="15" customHeight="1">
      <c r="A587" s="49">
        <v>152</v>
      </c>
      <c r="B587" s="78" t="s">
        <v>256</v>
      </c>
      <c r="C587" s="124" t="s">
        <v>257</v>
      </c>
      <c r="D587" s="123" t="s">
        <v>1578</v>
      </c>
      <c r="E587" s="123" t="s">
        <v>1578</v>
      </c>
      <c r="F587" s="118"/>
      <c r="G587" s="120"/>
      <c r="H587" s="116"/>
      <c r="I587" s="112" t="s">
        <v>1579</v>
      </c>
      <c r="J587" s="120"/>
      <c r="K587" s="116"/>
      <c r="L587" s="121"/>
      <c r="M587" s="51"/>
      <c r="N587" s="112"/>
      <c r="P587" s="28"/>
      <c r="Q587" s="28"/>
      <c r="R587" s="28"/>
      <c r="S587" s="28" t="s">
        <v>13</v>
      </c>
      <c r="T587" s="28" t="s">
        <v>13</v>
      </c>
    </row>
    <row r="588" spans="1:22" s="60" customFormat="1" ht="15" customHeight="1">
      <c r="A588" s="49">
        <v>152</v>
      </c>
      <c r="B588" s="78" t="s">
        <v>256</v>
      </c>
      <c r="C588" s="124" t="s">
        <v>257</v>
      </c>
      <c r="D588" s="80" t="s">
        <v>1526</v>
      </c>
      <c r="E588" s="123" t="s">
        <v>378</v>
      </c>
      <c r="F588" s="118" t="s">
        <v>377</v>
      </c>
      <c r="G588" s="120" t="s">
        <v>1580</v>
      </c>
      <c r="H588" s="116"/>
      <c r="I588" s="119" t="s">
        <v>416</v>
      </c>
      <c r="J588" s="120" t="s">
        <v>1581</v>
      </c>
      <c r="K588" s="116"/>
      <c r="L588" s="121" t="s">
        <v>377</v>
      </c>
      <c r="M588" s="51" t="s">
        <v>1529</v>
      </c>
      <c r="N588" s="27"/>
      <c r="P588" s="28"/>
      <c r="Q588" s="28"/>
      <c r="R588" s="28"/>
      <c r="S588" s="28"/>
      <c r="T588" s="28"/>
    </row>
    <row r="589" spans="1:22" s="60" customFormat="1" ht="15" customHeight="1">
      <c r="A589" s="49">
        <v>153</v>
      </c>
      <c r="B589" s="49" t="s">
        <v>258</v>
      </c>
      <c r="C589" s="50" t="s">
        <v>259</v>
      </c>
      <c r="D589" s="51" t="s">
        <v>1574</v>
      </c>
      <c r="E589" s="115" t="s">
        <v>378</v>
      </c>
      <c r="F589" s="52" t="s">
        <v>379</v>
      </c>
      <c r="G589" s="65" t="s">
        <v>1575</v>
      </c>
      <c r="H589" s="65"/>
      <c r="I589" s="42" t="s">
        <v>379</v>
      </c>
      <c r="J589" s="51" t="s">
        <v>1576</v>
      </c>
      <c r="K589" s="51"/>
      <c r="L589" s="56" t="s">
        <v>377</v>
      </c>
      <c r="M589" s="51" t="s">
        <v>1577</v>
      </c>
      <c r="N589" s="27"/>
      <c r="P589" s="28"/>
      <c r="Q589" s="28"/>
      <c r="R589" s="28"/>
      <c r="S589" s="28" t="s">
        <v>13</v>
      </c>
      <c r="T589" s="28" t="s">
        <v>13</v>
      </c>
    </row>
    <row r="590" spans="1:22" s="60" customFormat="1" ht="15" customHeight="1">
      <c r="A590" s="49">
        <v>153</v>
      </c>
      <c r="B590" s="49" t="s">
        <v>258</v>
      </c>
      <c r="C590" s="50" t="s">
        <v>259</v>
      </c>
      <c r="D590" s="51" t="s">
        <v>1519</v>
      </c>
      <c r="E590" s="115" t="s">
        <v>378</v>
      </c>
      <c r="F590" s="52" t="s">
        <v>801</v>
      </c>
      <c r="G590" s="67" t="s">
        <v>1520</v>
      </c>
      <c r="H590" s="65"/>
      <c r="I590" s="42" t="s">
        <v>379</v>
      </c>
      <c r="J590" s="51" t="s">
        <v>1521</v>
      </c>
      <c r="K590" s="51"/>
      <c r="L590" s="56" t="s">
        <v>1445</v>
      </c>
      <c r="M590" s="51" t="s">
        <v>1522</v>
      </c>
      <c r="N590" s="27"/>
      <c r="O590" s="73" t="s">
        <v>1523</v>
      </c>
      <c r="P590" s="28"/>
      <c r="Q590" s="28"/>
      <c r="R590" s="28"/>
      <c r="S590" s="28"/>
      <c r="T590" s="28"/>
    </row>
    <row r="591" spans="1:22" s="60" customFormat="1" ht="15" customHeight="1">
      <c r="A591" s="49">
        <v>153</v>
      </c>
      <c r="B591" s="49" t="s">
        <v>258</v>
      </c>
      <c r="C591" s="50" t="s">
        <v>259</v>
      </c>
      <c r="D591" s="51" t="s">
        <v>1548</v>
      </c>
      <c r="E591" s="51" t="s">
        <v>1549</v>
      </c>
      <c r="F591" s="52" t="s">
        <v>801</v>
      </c>
      <c r="G591" s="67" t="s">
        <v>1520</v>
      </c>
      <c r="H591" s="65"/>
      <c r="I591" s="42" t="s">
        <v>379</v>
      </c>
      <c r="J591" s="51" t="s">
        <v>1521</v>
      </c>
      <c r="K591" s="51"/>
      <c r="L591" s="56" t="s">
        <v>1445</v>
      </c>
      <c r="M591" s="51" t="s">
        <v>1550</v>
      </c>
      <c r="N591" s="27"/>
      <c r="O591" s="73" t="s">
        <v>1523</v>
      </c>
      <c r="P591" s="28"/>
      <c r="Q591" s="28"/>
      <c r="R591" s="28"/>
      <c r="S591" s="28"/>
      <c r="T591" s="28"/>
      <c r="U591" s="1" t="s">
        <v>1524</v>
      </c>
      <c r="V591" s="60" t="s">
        <v>1551</v>
      </c>
    </row>
    <row r="592" spans="1:22" s="60" customFormat="1" ht="15" customHeight="1">
      <c r="A592" s="49">
        <v>153</v>
      </c>
      <c r="B592" s="49" t="s">
        <v>258</v>
      </c>
      <c r="C592" s="50" t="s">
        <v>259</v>
      </c>
      <c r="D592" s="51" t="s">
        <v>1548</v>
      </c>
      <c r="E592" s="67" t="s">
        <v>1552</v>
      </c>
      <c r="F592" s="52" t="s">
        <v>801</v>
      </c>
      <c r="G592" s="67" t="s">
        <v>1553</v>
      </c>
      <c r="H592" s="65"/>
      <c r="I592" s="42" t="s">
        <v>416</v>
      </c>
      <c r="J592" s="51" t="s">
        <v>1554</v>
      </c>
      <c r="K592" s="51"/>
      <c r="L592" s="56" t="s">
        <v>638</v>
      </c>
      <c r="M592" s="51" t="s">
        <v>1555</v>
      </c>
      <c r="N592" s="27"/>
      <c r="O592" s="73" t="s">
        <v>1523</v>
      </c>
      <c r="P592" s="28"/>
      <c r="Q592" s="28"/>
      <c r="R592" s="28"/>
      <c r="S592" s="28"/>
      <c r="T592" s="28"/>
      <c r="U592" s="1" t="s">
        <v>1524</v>
      </c>
      <c r="V592" s="60" t="s">
        <v>1556</v>
      </c>
    </row>
    <row r="593" spans="1:22" s="60" customFormat="1" ht="15" customHeight="1">
      <c r="A593" s="49">
        <v>153</v>
      </c>
      <c r="B593" s="49" t="s">
        <v>258</v>
      </c>
      <c r="C593" s="50" t="s">
        <v>259</v>
      </c>
      <c r="D593" s="51" t="s">
        <v>1548</v>
      </c>
      <c r="E593" s="51" t="s">
        <v>1557</v>
      </c>
      <c r="F593" s="52" t="s">
        <v>1445</v>
      </c>
      <c r="G593" s="98" t="s">
        <v>1558</v>
      </c>
      <c r="H593" s="65"/>
      <c r="I593" s="42" t="s">
        <v>377</v>
      </c>
      <c r="J593" s="51" t="s">
        <v>1559</v>
      </c>
      <c r="K593" s="51"/>
      <c r="L593" s="56" t="s">
        <v>638</v>
      </c>
      <c r="M593" s="51" t="s">
        <v>1560</v>
      </c>
      <c r="N593" s="27"/>
      <c r="O593" s="73" t="s">
        <v>1561</v>
      </c>
      <c r="P593" s="28"/>
      <c r="Q593" s="28"/>
      <c r="R593" s="28"/>
      <c r="S593" s="28"/>
      <c r="T593" s="28"/>
      <c r="U593" s="1" t="s">
        <v>1524</v>
      </c>
      <c r="V593" s="60" t="s">
        <v>1562</v>
      </c>
    </row>
    <row r="594" spans="1:22" s="60" customFormat="1" ht="15" customHeight="1">
      <c r="A594" s="49">
        <v>153</v>
      </c>
      <c r="B594" s="49" t="s">
        <v>258</v>
      </c>
      <c r="C594" s="50" t="s">
        <v>259</v>
      </c>
      <c r="D594" s="51" t="s">
        <v>1548</v>
      </c>
      <c r="E594" s="67" t="s">
        <v>1563</v>
      </c>
      <c r="F594" s="52" t="s">
        <v>638</v>
      </c>
      <c r="G594" s="67" t="s">
        <v>1564</v>
      </c>
      <c r="H594" s="65"/>
      <c r="I594" s="42" t="s">
        <v>416</v>
      </c>
      <c r="J594" s="51" t="s">
        <v>1565</v>
      </c>
      <c r="K594" s="51"/>
      <c r="L594" s="56" t="s">
        <v>638</v>
      </c>
      <c r="M594" s="51" t="s">
        <v>1566</v>
      </c>
      <c r="N594" s="27"/>
      <c r="O594" s="73" t="s">
        <v>1523</v>
      </c>
      <c r="P594" s="28"/>
      <c r="Q594" s="28"/>
      <c r="R594" s="28"/>
      <c r="S594" s="28"/>
      <c r="T594" s="28"/>
      <c r="U594" s="1" t="s">
        <v>1524</v>
      </c>
      <c r="V594" s="60" t="s">
        <v>1567</v>
      </c>
    </row>
    <row r="595" spans="1:22" s="60" customFormat="1" ht="15" customHeight="1">
      <c r="A595" s="49">
        <v>154</v>
      </c>
      <c r="B595" s="49" t="s">
        <v>260</v>
      </c>
      <c r="C595" s="50" t="s">
        <v>255</v>
      </c>
      <c r="D595" s="51" t="s">
        <v>1574</v>
      </c>
      <c r="E595" s="115" t="s">
        <v>378</v>
      </c>
      <c r="F595" s="52" t="s">
        <v>379</v>
      </c>
      <c r="G595" s="65" t="s">
        <v>1575</v>
      </c>
      <c r="H595" s="65"/>
      <c r="I595" s="42" t="s">
        <v>379</v>
      </c>
      <c r="J595" s="51" t="s">
        <v>1576</v>
      </c>
      <c r="K595" s="51"/>
      <c r="L595" s="56" t="s">
        <v>377</v>
      </c>
      <c r="M595" s="51" t="s">
        <v>1577</v>
      </c>
      <c r="N595" s="27"/>
      <c r="P595" s="28"/>
      <c r="Q595" s="28"/>
      <c r="R595" s="28"/>
      <c r="S595" s="28"/>
      <c r="T595" s="28" t="s">
        <v>13</v>
      </c>
    </row>
    <row r="596" spans="1:22" s="60" customFormat="1" ht="15" customHeight="1">
      <c r="A596" s="49">
        <v>154</v>
      </c>
      <c r="B596" s="49" t="s">
        <v>260</v>
      </c>
      <c r="C596" s="50" t="s">
        <v>255</v>
      </c>
      <c r="D596" s="51" t="s">
        <v>1519</v>
      </c>
      <c r="E596" s="115" t="s">
        <v>378</v>
      </c>
      <c r="F596" s="52" t="s">
        <v>801</v>
      </c>
      <c r="G596" s="67" t="s">
        <v>1520</v>
      </c>
      <c r="H596" s="65"/>
      <c r="I596" s="42" t="s">
        <v>379</v>
      </c>
      <c r="J596" s="51" t="s">
        <v>1521</v>
      </c>
      <c r="K596" s="51"/>
      <c r="L596" s="56" t="s">
        <v>1445</v>
      </c>
      <c r="M596" s="51" t="s">
        <v>1522</v>
      </c>
      <c r="N596" s="27"/>
      <c r="O596" s="73" t="s">
        <v>1523</v>
      </c>
      <c r="P596" s="28"/>
      <c r="Q596" s="28"/>
      <c r="R596" s="28"/>
      <c r="S596" s="28"/>
      <c r="T596" s="28"/>
    </row>
    <row r="597" spans="1:22" s="60" customFormat="1" ht="15" customHeight="1">
      <c r="A597" s="49">
        <v>154</v>
      </c>
      <c r="B597" s="49" t="s">
        <v>260</v>
      </c>
      <c r="C597" s="50" t="s">
        <v>255</v>
      </c>
      <c r="D597" s="51" t="s">
        <v>1548</v>
      </c>
      <c r="E597" s="51" t="s">
        <v>1549</v>
      </c>
      <c r="F597" s="52" t="s">
        <v>801</v>
      </c>
      <c r="G597" s="67" t="s">
        <v>1520</v>
      </c>
      <c r="H597" s="65"/>
      <c r="I597" s="42" t="s">
        <v>379</v>
      </c>
      <c r="J597" s="51" t="s">
        <v>1521</v>
      </c>
      <c r="K597" s="51"/>
      <c r="L597" s="56" t="s">
        <v>1445</v>
      </c>
      <c r="M597" s="51" t="s">
        <v>1550</v>
      </c>
      <c r="N597" s="27"/>
      <c r="O597" s="73" t="s">
        <v>1523</v>
      </c>
      <c r="P597" s="28"/>
      <c r="Q597" s="28"/>
      <c r="R597" s="28"/>
      <c r="S597" s="28"/>
      <c r="T597" s="28"/>
      <c r="U597" s="1" t="s">
        <v>1524</v>
      </c>
      <c r="V597" s="60" t="s">
        <v>1551</v>
      </c>
    </row>
    <row r="598" spans="1:22" s="60" customFormat="1" ht="15" customHeight="1">
      <c r="A598" s="49">
        <v>154</v>
      </c>
      <c r="B598" s="49" t="s">
        <v>260</v>
      </c>
      <c r="C598" s="50" t="s">
        <v>255</v>
      </c>
      <c r="D598" s="51" t="s">
        <v>1548</v>
      </c>
      <c r="E598" s="67" t="s">
        <v>1552</v>
      </c>
      <c r="F598" s="52" t="s">
        <v>801</v>
      </c>
      <c r="G598" s="67" t="s">
        <v>1553</v>
      </c>
      <c r="H598" s="65"/>
      <c r="I598" s="42" t="s">
        <v>416</v>
      </c>
      <c r="J598" s="51" t="s">
        <v>1554</v>
      </c>
      <c r="K598" s="51"/>
      <c r="L598" s="56" t="s">
        <v>638</v>
      </c>
      <c r="M598" s="51" t="s">
        <v>1555</v>
      </c>
      <c r="N598" s="27"/>
      <c r="O598" s="73" t="s">
        <v>1523</v>
      </c>
      <c r="P598" s="28"/>
      <c r="Q598" s="28"/>
      <c r="R598" s="28"/>
      <c r="S598" s="28"/>
      <c r="T598" s="28"/>
      <c r="U598" s="1" t="s">
        <v>1524</v>
      </c>
      <c r="V598" s="60" t="s">
        <v>1556</v>
      </c>
    </row>
    <row r="599" spans="1:22" s="60" customFormat="1" ht="15" customHeight="1">
      <c r="A599" s="49">
        <v>154</v>
      </c>
      <c r="B599" s="49" t="s">
        <v>260</v>
      </c>
      <c r="C599" s="50" t="s">
        <v>255</v>
      </c>
      <c r="D599" s="51" t="s">
        <v>1548</v>
      </c>
      <c r="E599" s="51" t="s">
        <v>1557</v>
      </c>
      <c r="F599" s="52" t="s">
        <v>1445</v>
      </c>
      <c r="G599" s="98" t="s">
        <v>1558</v>
      </c>
      <c r="H599" s="65"/>
      <c r="I599" s="42" t="s">
        <v>377</v>
      </c>
      <c r="J599" s="51" t="s">
        <v>1559</v>
      </c>
      <c r="K599" s="51"/>
      <c r="L599" s="56" t="s">
        <v>638</v>
      </c>
      <c r="M599" s="51" t="s">
        <v>1560</v>
      </c>
      <c r="N599" s="27"/>
      <c r="O599" s="73" t="s">
        <v>1561</v>
      </c>
      <c r="P599" s="28"/>
      <c r="Q599" s="28"/>
      <c r="R599" s="28"/>
      <c r="S599" s="28"/>
      <c r="T599" s="28"/>
      <c r="U599" s="1" t="s">
        <v>1524</v>
      </c>
      <c r="V599" s="60" t="s">
        <v>1562</v>
      </c>
    </row>
    <row r="600" spans="1:22" s="60" customFormat="1" ht="15" customHeight="1">
      <c r="A600" s="49">
        <v>154</v>
      </c>
      <c r="B600" s="49" t="s">
        <v>260</v>
      </c>
      <c r="C600" s="50" t="s">
        <v>255</v>
      </c>
      <c r="D600" s="51" t="s">
        <v>1548</v>
      </c>
      <c r="E600" s="67" t="s">
        <v>1563</v>
      </c>
      <c r="F600" s="52" t="s">
        <v>638</v>
      </c>
      <c r="G600" s="67" t="s">
        <v>1564</v>
      </c>
      <c r="H600" s="65"/>
      <c r="I600" s="42" t="s">
        <v>416</v>
      </c>
      <c r="J600" s="51" t="s">
        <v>1565</v>
      </c>
      <c r="K600" s="51"/>
      <c r="L600" s="56" t="s">
        <v>638</v>
      </c>
      <c r="M600" s="51" t="s">
        <v>1566</v>
      </c>
      <c r="N600" s="27"/>
      <c r="O600" s="73" t="s">
        <v>1523</v>
      </c>
      <c r="P600" s="28"/>
      <c r="Q600" s="28"/>
      <c r="R600" s="28"/>
      <c r="S600" s="28"/>
      <c r="T600" s="28"/>
      <c r="U600" s="1" t="s">
        <v>1524</v>
      </c>
      <c r="V600" s="60" t="s">
        <v>1567</v>
      </c>
    </row>
    <row r="601" spans="1:22" s="60" customFormat="1" ht="15" customHeight="1">
      <c r="A601" s="49">
        <v>155</v>
      </c>
      <c r="B601" s="49" t="s">
        <v>261</v>
      </c>
      <c r="C601" s="50" t="s">
        <v>205</v>
      </c>
      <c r="D601" s="51" t="s">
        <v>1574</v>
      </c>
      <c r="E601" s="115" t="s">
        <v>378</v>
      </c>
      <c r="F601" s="52" t="s">
        <v>379</v>
      </c>
      <c r="G601" s="65" t="s">
        <v>1575</v>
      </c>
      <c r="H601" s="65"/>
      <c r="I601" s="42" t="s">
        <v>379</v>
      </c>
      <c r="J601" s="51" t="s">
        <v>1576</v>
      </c>
      <c r="K601" s="51"/>
      <c r="L601" s="56" t="s">
        <v>377</v>
      </c>
      <c r="M601" s="51" t="s">
        <v>1577</v>
      </c>
      <c r="N601" s="27"/>
      <c r="P601" s="28"/>
      <c r="Q601" s="28"/>
      <c r="R601" s="28"/>
      <c r="S601" s="28" t="s">
        <v>13</v>
      </c>
      <c r="T601" s="28" t="s">
        <v>13</v>
      </c>
    </row>
    <row r="602" spans="1:22" s="60" customFormat="1" ht="15" customHeight="1">
      <c r="A602" s="49">
        <v>155</v>
      </c>
      <c r="B602" s="49" t="s">
        <v>261</v>
      </c>
      <c r="C602" s="50" t="s">
        <v>205</v>
      </c>
      <c r="D602" s="51" t="s">
        <v>1519</v>
      </c>
      <c r="E602" s="115" t="s">
        <v>378</v>
      </c>
      <c r="F602" s="52" t="s">
        <v>801</v>
      </c>
      <c r="G602" s="67" t="s">
        <v>1520</v>
      </c>
      <c r="H602" s="65"/>
      <c r="I602" s="42" t="s">
        <v>379</v>
      </c>
      <c r="J602" s="51" t="s">
        <v>1521</v>
      </c>
      <c r="K602" s="51"/>
      <c r="L602" s="56" t="s">
        <v>1445</v>
      </c>
      <c r="M602" s="51" t="s">
        <v>1522</v>
      </c>
      <c r="N602" s="27"/>
      <c r="O602" s="73" t="s">
        <v>1523</v>
      </c>
      <c r="P602" s="28"/>
      <c r="Q602" s="28"/>
      <c r="R602" s="28"/>
      <c r="S602" s="28"/>
      <c r="T602" s="28"/>
    </row>
    <row r="603" spans="1:22" s="60" customFormat="1" ht="15" customHeight="1">
      <c r="A603" s="49">
        <v>155</v>
      </c>
      <c r="B603" s="49" t="s">
        <v>261</v>
      </c>
      <c r="C603" s="50" t="s">
        <v>205</v>
      </c>
      <c r="D603" s="51" t="s">
        <v>1548</v>
      </c>
      <c r="E603" s="51" t="s">
        <v>1549</v>
      </c>
      <c r="F603" s="52" t="s">
        <v>801</v>
      </c>
      <c r="G603" s="67" t="s">
        <v>1520</v>
      </c>
      <c r="H603" s="65"/>
      <c r="I603" s="42" t="s">
        <v>379</v>
      </c>
      <c r="J603" s="51" t="s">
        <v>1521</v>
      </c>
      <c r="K603" s="51"/>
      <c r="L603" s="56" t="s">
        <v>1445</v>
      </c>
      <c r="M603" s="51" t="s">
        <v>1550</v>
      </c>
      <c r="N603" s="27"/>
      <c r="O603" s="73" t="s">
        <v>1523</v>
      </c>
      <c r="P603" s="28"/>
      <c r="Q603" s="28"/>
      <c r="R603" s="28"/>
      <c r="S603" s="28"/>
      <c r="T603" s="28"/>
      <c r="U603" s="1" t="s">
        <v>1524</v>
      </c>
      <c r="V603" s="60" t="s">
        <v>1551</v>
      </c>
    </row>
    <row r="604" spans="1:22" s="60" customFormat="1" ht="15" customHeight="1">
      <c r="A604" s="49">
        <v>155</v>
      </c>
      <c r="B604" s="49" t="s">
        <v>261</v>
      </c>
      <c r="C604" s="50" t="s">
        <v>205</v>
      </c>
      <c r="D604" s="51" t="s">
        <v>1548</v>
      </c>
      <c r="E604" s="67" t="s">
        <v>1552</v>
      </c>
      <c r="F604" s="52" t="s">
        <v>801</v>
      </c>
      <c r="G604" s="67" t="s">
        <v>1553</v>
      </c>
      <c r="H604" s="65"/>
      <c r="I604" s="42" t="s">
        <v>416</v>
      </c>
      <c r="J604" s="51" t="s">
        <v>1554</v>
      </c>
      <c r="K604" s="51"/>
      <c r="L604" s="56" t="s">
        <v>638</v>
      </c>
      <c r="M604" s="51" t="s">
        <v>1555</v>
      </c>
      <c r="N604" s="27"/>
      <c r="O604" s="73" t="s">
        <v>1523</v>
      </c>
      <c r="P604" s="28"/>
      <c r="Q604" s="28"/>
      <c r="R604" s="28"/>
      <c r="S604" s="28"/>
      <c r="T604" s="28"/>
      <c r="U604" s="1" t="s">
        <v>1524</v>
      </c>
      <c r="V604" s="60" t="s">
        <v>1556</v>
      </c>
    </row>
    <row r="605" spans="1:22" s="60" customFormat="1" ht="15" customHeight="1">
      <c r="A605" s="49">
        <v>155</v>
      </c>
      <c r="B605" s="49" t="s">
        <v>261</v>
      </c>
      <c r="C605" s="50" t="s">
        <v>205</v>
      </c>
      <c r="D605" s="51" t="s">
        <v>1548</v>
      </c>
      <c r="E605" s="51" t="s">
        <v>1557</v>
      </c>
      <c r="F605" s="52" t="s">
        <v>1445</v>
      </c>
      <c r="G605" s="98" t="s">
        <v>1558</v>
      </c>
      <c r="H605" s="65"/>
      <c r="I605" s="42" t="s">
        <v>377</v>
      </c>
      <c r="J605" s="51" t="s">
        <v>1559</v>
      </c>
      <c r="K605" s="51"/>
      <c r="L605" s="56" t="s">
        <v>638</v>
      </c>
      <c r="M605" s="51" t="s">
        <v>1560</v>
      </c>
      <c r="N605" s="27"/>
      <c r="O605" s="73" t="s">
        <v>1561</v>
      </c>
      <c r="P605" s="28"/>
      <c r="Q605" s="28"/>
      <c r="R605" s="28"/>
      <c r="S605" s="28"/>
      <c r="T605" s="28"/>
      <c r="U605" s="1" t="s">
        <v>1524</v>
      </c>
      <c r="V605" s="60" t="s">
        <v>1562</v>
      </c>
    </row>
    <row r="606" spans="1:22" s="60" customFormat="1" ht="15" customHeight="1">
      <c r="A606" s="49">
        <v>155</v>
      </c>
      <c r="B606" s="49" t="s">
        <v>261</v>
      </c>
      <c r="C606" s="50" t="s">
        <v>205</v>
      </c>
      <c r="D606" s="51" t="s">
        <v>1548</v>
      </c>
      <c r="E606" s="67" t="s">
        <v>1563</v>
      </c>
      <c r="F606" s="52" t="s">
        <v>638</v>
      </c>
      <c r="G606" s="67" t="s">
        <v>1564</v>
      </c>
      <c r="H606" s="65"/>
      <c r="I606" s="42" t="s">
        <v>416</v>
      </c>
      <c r="J606" s="51" t="s">
        <v>1565</v>
      </c>
      <c r="K606" s="51"/>
      <c r="L606" s="56" t="s">
        <v>638</v>
      </c>
      <c r="M606" s="51" t="s">
        <v>1566</v>
      </c>
      <c r="N606" s="27"/>
      <c r="O606" s="73" t="s">
        <v>1523</v>
      </c>
      <c r="P606" s="28"/>
      <c r="Q606" s="28"/>
      <c r="R606" s="28"/>
      <c r="S606" s="28"/>
      <c r="T606" s="28"/>
      <c r="U606" s="1" t="s">
        <v>1524</v>
      </c>
      <c r="V606" s="60" t="s">
        <v>1567</v>
      </c>
    </row>
    <row r="607" spans="1:22" s="60" customFormat="1" ht="15" customHeight="1">
      <c r="A607" s="49">
        <v>156</v>
      </c>
      <c r="B607" s="49" t="s">
        <v>262</v>
      </c>
      <c r="C607" s="50" t="s">
        <v>263</v>
      </c>
      <c r="D607" s="125" t="s">
        <v>1574</v>
      </c>
      <c r="E607" s="115" t="s">
        <v>378</v>
      </c>
      <c r="F607" s="118" t="s">
        <v>416</v>
      </c>
      <c r="G607" s="67" t="s">
        <v>1582</v>
      </c>
      <c r="H607" s="65"/>
      <c r="I607" s="42" t="s">
        <v>379</v>
      </c>
      <c r="J607" s="51" t="s">
        <v>1576</v>
      </c>
      <c r="K607" s="51"/>
      <c r="L607" s="56" t="s">
        <v>377</v>
      </c>
      <c r="M607" s="51" t="s">
        <v>1577</v>
      </c>
      <c r="N607" s="27"/>
      <c r="P607" s="28"/>
      <c r="Q607" s="28"/>
      <c r="R607" s="28"/>
      <c r="S607" s="28"/>
      <c r="T607" s="28" t="s">
        <v>13</v>
      </c>
    </row>
    <row r="608" spans="1:22" s="60" customFormat="1" ht="15" customHeight="1">
      <c r="A608" s="49">
        <v>157</v>
      </c>
      <c r="B608" s="49" t="s">
        <v>264</v>
      </c>
      <c r="C608" s="50" t="s">
        <v>265</v>
      </c>
      <c r="D608" s="125" t="s">
        <v>1574</v>
      </c>
      <c r="E608" s="115" t="s">
        <v>378</v>
      </c>
      <c r="F608" s="52" t="s">
        <v>379</v>
      </c>
      <c r="G608" s="65" t="s">
        <v>1575</v>
      </c>
      <c r="H608" s="65"/>
      <c r="I608" s="42" t="s">
        <v>379</v>
      </c>
      <c r="J608" s="51" t="s">
        <v>1576</v>
      </c>
      <c r="K608" s="51"/>
      <c r="L608" s="56" t="s">
        <v>377</v>
      </c>
      <c r="M608" s="51" t="s">
        <v>1577</v>
      </c>
      <c r="N608" s="27"/>
      <c r="P608" s="28"/>
      <c r="Q608" s="28"/>
      <c r="R608" s="28"/>
      <c r="S608" s="28" t="s">
        <v>13</v>
      </c>
      <c r="T608" s="28" t="s">
        <v>13</v>
      </c>
    </row>
    <row r="609" spans="1:24" s="60" customFormat="1" ht="15" customHeight="1">
      <c r="A609" s="49">
        <v>157</v>
      </c>
      <c r="B609" s="49" t="s">
        <v>264</v>
      </c>
      <c r="C609" s="50" t="s">
        <v>265</v>
      </c>
      <c r="D609" s="51" t="s">
        <v>1519</v>
      </c>
      <c r="E609" s="115" t="s">
        <v>378</v>
      </c>
      <c r="F609" s="52" t="s">
        <v>801</v>
      </c>
      <c r="G609" s="67" t="s">
        <v>1520</v>
      </c>
      <c r="H609" s="65"/>
      <c r="I609" s="42" t="s">
        <v>379</v>
      </c>
      <c r="J609" s="51" t="s">
        <v>1521</v>
      </c>
      <c r="K609" s="51"/>
      <c r="L609" s="56" t="s">
        <v>1445</v>
      </c>
      <c r="M609" s="51" t="s">
        <v>1522</v>
      </c>
      <c r="N609" s="27"/>
      <c r="O609" s="73" t="s">
        <v>1523</v>
      </c>
      <c r="P609" s="28"/>
      <c r="Q609" s="28"/>
      <c r="R609" s="28"/>
      <c r="S609" s="28"/>
      <c r="T609" s="28"/>
      <c r="U609" s="1" t="s">
        <v>1524</v>
      </c>
      <c r="V609" s="60" t="s">
        <v>1551</v>
      </c>
    </row>
    <row r="610" spans="1:24" s="60" customFormat="1" ht="15" customHeight="1">
      <c r="A610" s="49">
        <v>157</v>
      </c>
      <c r="B610" s="49" t="s">
        <v>264</v>
      </c>
      <c r="C610" s="50" t="s">
        <v>265</v>
      </c>
      <c r="D610" s="51" t="s">
        <v>1548</v>
      </c>
      <c r="E610" s="51" t="s">
        <v>1549</v>
      </c>
      <c r="F610" s="52" t="s">
        <v>801</v>
      </c>
      <c r="G610" s="67" t="s">
        <v>1520</v>
      </c>
      <c r="H610" s="65"/>
      <c r="I610" s="42" t="s">
        <v>379</v>
      </c>
      <c r="J610" s="51" t="s">
        <v>1521</v>
      </c>
      <c r="K610" s="51"/>
      <c r="L610" s="56" t="s">
        <v>1445</v>
      </c>
      <c r="M610" s="51" t="s">
        <v>1550</v>
      </c>
      <c r="N610" s="27"/>
      <c r="O610" s="73" t="s">
        <v>1523</v>
      </c>
      <c r="P610" s="28"/>
      <c r="Q610" s="28"/>
      <c r="R610" s="28"/>
      <c r="S610" s="28"/>
      <c r="T610" s="28"/>
      <c r="U610" s="1" t="s">
        <v>1524</v>
      </c>
      <c r="V610" s="60" t="s">
        <v>1551</v>
      </c>
    </row>
    <row r="611" spans="1:24" s="60" customFormat="1" ht="15" customHeight="1">
      <c r="A611" s="49">
        <v>157</v>
      </c>
      <c r="B611" s="49" t="s">
        <v>264</v>
      </c>
      <c r="C611" s="50" t="s">
        <v>265</v>
      </c>
      <c r="D611" s="51" t="s">
        <v>1548</v>
      </c>
      <c r="E611" s="67" t="s">
        <v>1552</v>
      </c>
      <c r="F611" s="52" t="s">
        <v>801</v>
      </c>
      <c r="G611" s="67" t="s">
        <v>1553</v>
      </c>
      <c r="H611" s="65"/>
      <c r="I611" s="42" t="s">
        <v>416</v>
      </c>
      <c r="J611" s="51" t="s">
        <v>1554</v>
      </c>
      <c r="K611" s="51"/>
      <c r="L611" s="56" t="s">
        <v>638</v>
      </c>
      <c r="M611" s="51" t="s">
        <v>1555</v>
      </c>
      <c r="N611" s="27"/>
      <c r="O611" s="73" t="s">
        <v>1523</v>
      </c>
      <c r="P611" s="28"/>
      <c r="Q611" s="28"/>
      <c r="R611" s="28"/>
      <c r="S611" s="28"/>
      <c r="T611" s="28"/>
      <c r="U611" s="1" t="s">
        <v>1524</v>
      </c>
      <c r="V611" s="60" t="s">
        <v>1556</v>
      </c>
    </row>
    <row r="612" spans="1:24" s="60" customFormat="1" ht="15" customHeight="1">
      <c r="A612" s="49">
        <v>157</v>
      </c>
      <c r="B612" s="49" t="s">
        <v>264</v>
      </c>
      <c r="C612" s="50" t="s">
        <v>265</v>
      </c>
      <c r="D612" s="51" t="s">
        <v>1548</v>
      </c>
      <c r="E612" s="51" t="s">
        <v>1557</v>
      </c>
      <c r="F612" s="52" t="s">
        <v>1445</v>
      </c>
      <c r="G612" s="98" t="s">
        <v>1558</v>
      </c>
      <c r="H612" s="65"/>
      <c r="I612" s="42" t="s">
        <v>377</v>
      </c>
      <c r="J612" s="51" t="s">
        <v>1559</v>
      </c>
      <c r="K612" s="51"/>
      <c r="L612" s="56" t="s">
        <v>638</v>
      </c>
      <c r="M612" s="51" t="s">
        <v>1560</v>
      </c>
      <c r="N612" s="27"/>
      <c r="O612" s="73" t="s">
        <v>1561</v>
      </c>
      <c r="P612" s="28"/>
      <c r="Q612" s="28"/>
      <c r="R612" s="28"/>
      <c r="S612" s="28"/>
      <c r="T612" s="28"/>
      <c r="U612" s="1" t="s">
        <v>1524</v>
      </c>
      <c r="V612" s="60" t="s">
        <v>1562</v>
      </c>
    </row>
    <row r="613" spans="1:24" s="60" customFormat="1" ht="15" customHeight="1">
      <c r="A613" s="49">
        <v>157</v>
      </c>
      <c r="B613" s="49" t="s">
        <v>264</v>
      </c>
      <c r="C613" s="50" t="s">
        <v>265</v>
      </c>
      <c r="D613" s="51" t="s">
        <v>1548</v>
      </c>
      <c r="E613" s="67" t="s">
        <v>1563</v>
      </c>
      <c r="F613" s="52" t="s">
        <v>638</v>
      </c>
      <c r="G613" s="67" t="s">
        <v>1564</v>
      </c>
      <c r="H613" s="65"/>
      <c r="I613" s="42" t="s">
        <v>416</v>
      </c>
      <c r="J613" s="51" t="s">
        <v>1565</v>
      </c>
      <c r="K613" s="51"/>
      <c r="L613" s="56" t="s">
        <v>638</v>
      </c>
      <c r="M613" s="51" t="s">
        <v>1566</v>
      </c>
      <c r="N613" s="27"/>
      <c r="O613" s="73" t="s">
        <v>1523</v>
      </c>
      <c r="P613" s="28"/>
      <c r="Q613" s="28"/>
      <c r="R613" s="28"/>
      <c r="S613" s="28"/>
      <c r="T613" s="28"/>
      <c r="U613" s="1" t="s">
        <v>1524</v>
      </c>
      <c r="V613" s="60" t="s">
        <v>1567</v>
      </c>
    </row>
    <row r="614" spans="1:24" s="60" customFormat="1" ht="15" customHeight="1">
      <c r="A614" s="49">
        <v>158</v>
      </c>
      <c r="B614" s="49" t="s">
        <v>266</v>
      </c>
      <c r="C614" s="50" t="s">
        <v>207</v>
      </c>
      <c r="D614" s="125" t="s">
        <v>1574</v>
      </c>
      <c r="E614" s="115" t="s">
        <v>378</v>
      </c>
      <c r="F614" s="52" t="s">
        <v>379</v>
      </c>
      <c r="G614" s="53" t="s">
        <v>1583</v>
      </c>
      <c r="H614" s="65"/>
      <c r="I614" s="42" t="s">
        <v>416</v>
      </c>
      <c r="J614" s="51" t="s">
        <v>1584</v>
      </c>
      <c r="K614" s="51"/>
      <c r="L614" s="56" t="s">
        <v>377</v>
      </c>
      <c r="M614" s="51" t="s">
        <v>1577</v>
      </c>
      <c r="N614" s="27"/>
      <c r="P614" s="28"/>
      <c r="Q614" s="28"/>
      <c r="R614" s="28"/>
      <c r="S614" s="28"/>
      <c r="T614" s="28" t="s">
        <v>13</v>
      </c>
    </row>
    <row r="615" spans="1:24" s="60" customFormat="1" ht="15" customHeight="1">
      <c r="A615" s="49">
        <v>159</v>
      </c>
      <c r="B615" s="49" t="s">
        <v>267</v>
      </c>
      <c r="C615" s="50" t="s">
        <v>268</v>
      </c>
      <c r="D615" s="51" t="s">
        <v>1585</v>
      </c>
      <c r="E615" s="115" t="s">
        <v>378</v>
      </c>
      <c r="F615" s="52" t="s">
        <v>379</v>
      </c>
      <c r="G615" s="51" t="s">
        <v>1586</v>
      </c>
      <c r="H615" s="65"/>
      <c r="I615" s="42" t="s">
        <v>379</v>
      </c>
      <c r="J615" s="51" t="s">
        <v>1587</v>
      </c>
      <c r="K615" s="51"/>
      <c r="L615" s="56" t="s">
        <v>377</v>
      </c>
      <c r="M615" s="51" t="s">
        <v>1588</v>
      </c>
      <c r="N615" s="27"/>
      <c r="P615" s="28"/>
      <c r="Q615" s="28"/>
      <c r="R615" s="28"/>
      <c r="S615" s="28" t="s">
        <v>13</v>
      </c>
      <c r="T615" s="28" t="s">
        <v>13</v>
      </c>
      <c r="U615" s="1" t="s">
        <v>1589</v>
      </c>
      <c r="W615" s="1" t="s">
        <v>1590</v>
      </c>
    </row>
    <row r="616" spans="1:24" s="60" customFormat="1" ht="15" customHeight="1">
      <c r="A616" s="49">
        <v>159</v>
      </c>
      <c r="B616" s="49" t="s">
        <v>267</v>
      </c>
      <c r="C616" s="50" t="s">
        <v>268</v>
      </c>
      <c r="D616" s="51" t="s">
        <v>1591</v>
      </c>
      <c r="E616" s="115" t="s">
        <v>378</v>
      </c>
      <c r="F616" s="52" t="s">
        <v>379</v>
      </c>
      <c r="G616" s="51" t="s">
        <v>1592</v>
      </c>
      <c r="H616" s="65"/>
      <c r="I616" s="42" t="s">
        <v>377</v>
      </c>
      <c r="J616" s="51" t="s">
        <v>1593</v>
      </c>
      <c r="K616" s="51"/>
      <c r="L616" s="56" t="s">
        <v>379</v>
      </c>
      <c r="M616" s="51" t="s">
        <v>1594</v>
      </c>
      <c r="N616" s="27"/>
      <c r="O616" s="112"/>
      <c r="P616" s="28"/>
      <c r="Q616" s="28"/>
      <c r="R616" s="28"/>
      <c r="S616" s="28"/>
      <c r="T616" s="28"/>
      <c r="U616" s="1" t="s">
        <v>1589</v>
      </c>
    </row>
    <row r="617" spans="1:24" s="60" customFormat="1" ht="15" customHeight="1">
      <c r="A617" s="49">
        <v>159</v>
      </c>
      <c r="B617" s="49" t="s">
        <v>267</v>
      </c>
      <c r="C617" s="50" t="s">
        <v>268</v>
      </c>
      <c r="D617" s="51" t="s">
        <v>1595</v>
      </c>
      <c r="E617" s="115" t="s">
        <v>378</v>
      </c>
      <c r="F617" s="42" t="s">
        <v>405</v>
      </c>
      <c r="G617" s="51" t="s">
        <v>1596</v>
      </c>
      <c r="H617" s="65"/>
      <c r="I617" s="42" t="s">
        <v>379</v>
      </c>
      <c r="J617" s="51" t="s">
        <v>1597</v>
      </c>
      <c r="K617" s="51"/>
      <c r="L617" s="56" t="s">
        <v>377</v>
      </c>
      <c r="M617" s="51" t="s">
        <v>1577</v>
      </c>
      <c r="N617" s="27"/>
      <c r="O617" s="112"/>
      <c r="P617" s="28"/>
      <c r="Q617" s="28"/>
      <c r="R617" s="28"/>
      <c r="S617" s="28"/>
      <c r="T617" s="28"/>
      <c r="U617" s="1" t="s">
        <v>1589</v>
      </c>
      <c r="W617" s="1" t="s">
        <v>1598</v>
      </c>
    </row>
    <row r="618" spans="1:24" s="60" customFormat="1" ht="15" customHeight="1">
      <c r="A618" s="49">
        <v>160</v>
      </c>
      <c r="B618" s="86" t="s">
        <v>269</v>
      </c>
      <c r="C618" s="50" t="s">
        <v>255</v>
      </c>
      <c r="D618" s="125" t="s">
        <v>1574</v>
      </c>
      <c r="E618" s="115" t="s">
        <v>378</v>
      </c>
      <c r="F618" s="52" t="s">
        <v>379</v>
      </c>
      <c r="G618" s="51" t="s">
        <v>1599</v>
      </c>
      <c r="H618" s="65"/>
      <c r="I618" s="42" t="s">
        <v>379</v>
      </c>
      <c r="J618" s="51" t="s">
        <v>1600</v>
      </c>
      <c r="K618" s="51"/>
      <c r="L618" s="56" t="s">
        <v>377</v>
      </c>
      <c r="M618" s="51" t="s">
        <v>1577</v>
      </c>
      <c r="N618" s="27"/>
      <c r="O618" s="112"/>
      <c r="P618" s="28"/>
      <c r="Q618" s="28"/>
      <c r="R618" s="28"/>
      <c r="S618" s="28"/>
      <c r="T618" s="28"/>
      <c r="U618" s="1" t="s">
        <v>1589</v>
      </c>
    </row>
    <row r="619" spans="1:24" s="60" customFormat="1" ht="15" customHeight="1">
      <c r="A619" s="49">
        <v>160</v>
      </c>
      <c r="B619" s="49" t="s">
        <v>269</v>
      </c>
      <c r="C619" s="50" t="s">
        <v>255</v>
      </c>
      <c r="D619" s="51" t="s">
        <v>1519</v>
      </c>
      <c r="E619" s="115" t="s">
        <v>378</v>
      </c>
      <c r="F619" s="52" t="s">
        <v>801</v>
      </c>
      <c r="G619" s="53" t="s">
        <v>1520</v>
      </c>
      <c r="H619" s="65"/>
      <c r="I619" s="42" t="s">
        <v>379</v>
      </c>
      <c r="J619" s="51" t="s">
        <v>1521</v>
      </c>
      <c r="K619" s="51"/>
      <c r="L619" s="56" t="s">
        <v>1445</v>
      </c>
      <c r="M619" s="51" t="s">
        <v>1522</v>
      </c>
      <c r="N619" s="27"/>
      <c r="O619" s="73" t="s">
        <v>1523</v>
      </c>
      <c r="P619" s="28"/>
      <c r="Q619" s="28"/>
      <c r="R619" s="28"/>
      <c r="S619" s="28"/>
      <c r="T619" s="28"/>
      <c r="U619" s="1" t="s">
        <v>1524</v>
      </c>
      <c r="V619" s="60" t="s">
        <v>1551</v>
      </c>
    </row>
    <row r="620" spans="1:24" s="60" customFormat="1" ht="15" customHeight="1">
      <c r="A620" s="49">
        <v>161</v>
      </c>
      <c r="B620" s="49" t="s">
        <v>270</v>
      </c>
      <c r="C620" s="50" t="s">
        <v>271</v>
      </c>
      <c r="D620" s="51" t="s">
        <v>1519</v>
      </c>
      <c r="E620" s="115" t="s">
        <v>378</v>
      </c>
      <c r="F620" s="52" t="s">
        <v>801</v>
      </c>
      <c r="G620" s="53" t="s">
        <v>1520</v>
      </c>
      <c r="H620" s="65"/>
      <c r="I620" s="42" t="s">
        <v>379</v>
      </c>
      <c r="J620" s="51" t="s">
        <v>1521</v>
      </c>
      <c r="K620" s="51"/>
      <c r="L620" s="56" t="s">
        <v>1445</v>
      </c>
      <c r="M620" s="51" t="s">
        <v>1522</v>
      </c>
      <c r="N620" s="27"/>
      <c r="O620" s="73" t="s">
        <v>1523</v>
      </c>
      <c r="P620" s="28"/>
      <c r="Q620" s="28"/>
      <c r="R620" s="28"/>
      <c r="S620" s="28"/>
      <c r="T620" s="28" t="s">
        <v>13</v>
      </c>
      <c r="U620" s="1" t="s">
        <v>1524</v>
      </c>
      <c r="V620" s="60" t="s">
        <v>1551</v>
      </c>
    </row>
    <row r="621" spans="1:24" s="60" customFormat="1" ht="15" customHeight="1">
      <c r="A621" s="49">
        <v>162</v>
      </c>
      <c r="B621" s="49" t="s">
        <v>272</v>
      </c>
      <c r="C621" s="50" t="s">
        <v>255</v>
      </c>
      <c r="D621" s="51" t="s">
        <v>1519</v>
      </c>
      <c r="E621" s="115" t="s">
        <v>378</v>
      </c>
      <c r="F621" s="52" t="s">
        <v>801</v>
      </c>
      <c r="G621" s="53" t="s">
        <v>1520</v>
      </c>
      <c r="H621" s="65"/>
      <c r="I621" s="42" t="s">
        <v>379</v>
      </c>
      <c r="J621" s="51" t="s">
        <v>1521</v>
      </c>
      <c r="K621" s="51"/>
      <c r="L621" s="56" t="s">
        <v>1445</v>
      </c>
      <c r="M621" s="51" t="s">
        <v>1522</v>
      </c>
      <c r="N621" s="27"/>
      <c r="O621" s="73" t="s">
        <v>1523</v>
      </c>
      <c r="P621" s="28"/>
      <c r="Q621" s="28"/>
      <c r="R621" s="28"/>
      <c r="S621" s="28"/>
      <c r="T621" s="28" t="s">
        <v>13</v>
      </c>
      <c r="U621" s="1" t="s">
        <v>1524</v>
      </c>
      <c r="V621" s="60" t="s">
        <v>1551</v>
      </c>
    </row>
    <row r="622" spans="1:24" s="60" customFormat="1" ht="15" customHeight="1">
      <c r="A622" s="49">
        <v>162</v>
      </c>
      <c r="B622" s="49" t="s">
        <v>272</v>
      </c>
      <c r="C622" s="50" t="s">
        <v>255</v>
      </c>
      <c r="D622" s="125" t="s">
        <v>1574</v>
      </c>
      <c r="E622" s="115" t="s">
        <v>378</v>
      </c>
      <c r="F622" s="52" t="s">
        <v>379</v>
      </c>
      <c r="G622" s="51" t="s">
        <v>1599</v>
      </c>
      <c r="H622" s="65"/>
      <c r="I622" s="42" t="s">
        <v>379</v>
      </c>
      <c r="J622" s="51" t="s">
        <v>1601</v>
      </c>
      <c r="K622" s="51"/>
      <c r="L622" s="56" t="s">
        <v>377</v>
      </c>
      <c r="M622" s="51" t="s">
        <v>1602</v>
      </c>
      <c r="N622" s="27"/>
      <c r="O622" s="112"/>
      <c r="P622" s="28"/>
      <c r="Q622" s="28"/>
      <c r="R622" s="28"/>
      <c r="S622" s="28"/>
      <c r="T622" s="28"/>
    </row>
    <row r="623" spans="1:24" s="60" customFormat="1" ht="15" customHeight="1">
      <c r="A623" s="49">
        <v>163</v>
      </c>
      <c r="B623" s="49" t="s">
        <v>273</v>
      </c>
      <c r="C623" s="50" t="s">
        <v>274</v>
      </c>
      <c r="D623" s="51" t="s">
        <v>1519</v>
      </c>
      <c r="E623" s="115" t="s">
        <v>378</v>
      </c>
      <c r="F623" s="52" t="s">
        <v>801</v>
      </c>
      <c r="G623" s="53" t="s">
        <v>1520</v>
      </c>
      <c r="H623" s="65"/>
      <c r="I623" s="42" t="s">
        <v>379</v>
      </c>
      <c r="J623" s="51" t="s">
        <v>1521</v>
      </c>
      <c r="K623" s="51"/>
      <c r="L623" s="56" t="s">
        <v>1445</v>
      </c>
      <c r="M623" s="51" t="s">
        <v>1522</v>
      </c>
      <c r="N623" s="27"/>
      <c r="O623" s="73" t="s">
        <v>1603</v>
      </c>
      <c r="P623" s="28"/>
      <c r="Q623" s="28"/>
      <c r="R623" s="28"/>
      <c r="S623" s="28"/>
      <c r="T623" s="28" t="s">
        <v>13</v>
      </c>
      <c r="U623" s="1" t="s">
        <v>1524</v>
      </c>
      <c r="V623" s="60" t="s">
        <v>1551</v>
      </c>
      <c r="W623" s="1" t="s">
        <v>1604</v>
      </c>
      <c r="X623" s="60" t="s">
        <v>1605</v>
      </c>
    </row>
    <row r="624" spans="1:24" s="60" customFormat="1" ht="15" customHeight="1">
      <c r="A624" s="49">
        <v>163</v>
      </c>
      <c r="B624" s="49" t="s">
        <v>273</v>
      </c>
      <c r="C624" s="50" t="s">
        <v>274</v>
      </c>
      <c r="D624" s="125" t="s">
        <v>1574</v>
      </c>
      <c r="E624" s="115" t="s">
        <v>378</v>
      </c>
      <c r="F624" s="118" t="s">
        <v>379</v>
      </c>
      <c r="G624" s="91" t="s">
        <v>1606</v>
      </c>
      <c r="H624" s="116"/>
      <c r="I624" s="119" t="s">
        <v>379</v>
      </c>
      <c r="J624" s="51" t="s">
        <v>1607</v>
      </c>
      <c r="K624" s="51"/>
      <c r="L624" s="119" t="s">
        <v>379</v>
      </c>
      <c r="M624" s="51" t="s">
        <v>1608</v>
      </c>
      <c r="N624" s="27"/>
      <c r="O624" s="126" t="s">
        <v>1609</v>
      </c>
      <c r="P624" s="28"/>
      <c r="Q624" s="28"/>
      <c r="R624" s="28"/>
      <c r="S624" s="28"/>
      <c r="T624" s="28"/>
    </row>
    <row r="625" spans="1:28" s="60" customFormat="1" ht="15" customHeight="1">
      <c r="A625" s="49">
        <v>164</v>
      </c>
      <c r="B625" s="49" t="s">
        <v>275</v>
      </c>
      <c r="C625" s="50" t="s">
        <v>203</v>
      </c>
      <c r="D625" s="125" t="s">
        <v>1574</v>
      </c>
      <c r="E625" s="115" t="s">
        <v>378</v>
      </c>
      <c r="F625" s="52" t="s">
        <v>379</v>
      </c>
      <c r="G625" s="53" t="s">
        <v>1610</v>
      </c>
      <c r="H625" s="53"/>
      <c r="I625" s="42" t="s">
        <v>379</v>
      </c>
      <c r="J625" s="51" t="s">
        <v>1611</v>
      </c>
      <c r="K625" s="51"/>
      <c r="L625" s="56" t="s">
        <v>377</v>
      </c>
      <c r="M625" s="51" t="s">
        <v>1612</v>
      </c>
      <c r="N625" s="27"/>
      <c r="O625" s="112"/>
      <c r="P625" s="28"/>
      <c r="Q625" s="28"/>
      <c r="R625" s="28"/>
      <c r="S625" s="28"/>
      <c r="T625" s="28" t="s">
        <v>13</v>
      </c>
      <c r="U625" s="1" t="s">
        <v>1613</v>
      </c>
      <c r="W625" s="1" t="s">
        <v>1614</v>
      </c>
    </row>
    <row r="626" spans="1:28" s="60" customFormat="1" ht="15" customHeight="1">
      <c r="A626" s="49">
        <v>165</v>
      </c>
      <c r="B626" s="49" t="s">
        <v>276</v>
      </c>
      <c r="C626" s="50" t="s">
        <v>277</v>
      </c>
      <c r="D626" s="125" t="s">
        <v>1574</v>
      </c>
      <c r="E626" s="115" t="s">
        <v>378</v>
      </c>
      <c r="F626" s="52" t="s">
        <v>379</v>
      </c>
      <c r="G626" s="53" t="s">
        <v>1615</v>
      </c>
      <c r="H626" s="53"/>
      <c r="I626" s="42" t="s">
        <v>416</v>
      </c>
      <c r="J626" s="51" t="s">
        <v>1616</v>
      </c>
      <c r="K626" s="51"/>
      <c r="L626" s="56" t="s">
        <v>416</v>
      </c>
      <c r="M626" s="51" t="s">
        <v>1617</v>
      </c>
      <c r="N626" s="27"/>
      <c r="O626" s="112"/>
      <c r="P626" s="28"/>
      <c r="Q626" s="28"/>
      <c r="R626" s="28"/>
      <c r="S626" s="28"/>
      <c r="T626" s="28" t="s">
        <v>13</v>
      </c>
      <c r="U626" s="1" t="s">
        <v>1613</v>
      </c>
      <c r="W626" s="1" t="s">
        <v>1614</v>
      </c>
    </row>
    <row r="627" spans="1:28" s="60" customFormat="1" ht="15" customHeight="1">
      <c r="A627" s="49">
        <v>166</v>
      </c>
      <c r="B627" s="49" t="s">
        <v>278</v>
      </c>
      <c r="C627" s="50" t="s">
        <v>255</v>
      </c>
      <c r="D627" s="125" t="s">
        <v>1574</v>
      </c>
      <c r="E627" s="115" t="s">
        <v>378</v>
      </c>
      <c r="F627" s="52" t="s">
        <v>379</v>
      </c>
      <c r="G627" s="51" t="s">
        <v>1618</v>
      </c>
      <c r="H627" s="53"/>
      <c r="I627" s="42" t="s">
        <v>379</v>
      </c>
      <c r="J627" s="51" t="s">
        <v>1619</v>
      </c>
      <c r="K627" s="51"/>
      <c r="L627" s="56" t="s">
        <v>377</v>
      </c>
      <c r="M627" s="51" t="s">
        <v>1620</v>
      </c>
      <c r="N627" s="27"/>
      <c r="O627" s="112"/>
      <c r="P627" s="28"/>
      <c r="Q627" s="28"/>
      <c r="R627" s="28"/>
      <c r="S627" s="28"/>
      <c r="T627" s="28" t="s">
        <v>13</v>
      </c>
      <c r="U627" s="1" t="s">
        <v>1613</v>
      </c>
      <c r="W627" s="1" t="s">
        <v>1614</v>
      </c>
    </row>
    <row r="628" spans="1:28" s="60" customFormat="1" ht="15" customHeight="1">
      <c r="A628" s="49">
        <v>167</v>
      </c>
      <c r="B628" s="49" t="s">
        <v>279</v>
      </c>
      <c r="C628" s="50" t="s">
        <v>280</v>
      </c>
      <c r="D628" s="125" t="s">
        <v>1574</v>
      </c>
      <c r="E628" s="115" t="s">
        <v>378</v>
      </c>
      <c r="F628" s="52" t="s">
        <v>416</v>
      </c>
      <c r="G628" s="51" t="s">
        <v>1621</v>
      </c>
      <c r="H628" s="53"/>
      <c r="I628" s="42" t="s">
        <v>416</v>
      </c>
      <c r="J628" s="51" t="s">
        <v>1622</v>
      </c>
      <c r="K628" s="51"/>
      <c r="L628" s="56" t="s">
        <v>416</v>
      </c>
      <c r="M628" s="51" t="s">
        <v>1623</v>
      </c>
      <c r="N628" s="27"/>
      <c r="O628" s="112"/>
      <c r="P628" s="28"/>
      <c r="Q628" s="28"/>
      <c r="R628" s="28"/>
      <c r="S628" s="28"/>
      <c r="T628" s="28" t="s">
        <v>13</v>
      </c>
      <c r="U628" s="1" t="s">
        <v>1613</v>
      </c>
      <c r="W628" s="1" t="s">
        <v>1614</v>
      </c>
    </row>
    <row r="629" spans="1:28" s="60" customFormat="1" ht="15" customHeight="1">
      <c r="A629" s="49">
        <v>168</v>
      </c>
      <c r="B629" s="49" t="s">
        <v>281</v>
      </c>
      <c r="C629" s="50" t="s">
        <v>282</v>
      </c>
      <c r="D629" s="125" t="s">
        <v>1574</v>
      </c>
      <c r="E629" s="115" t="s">
        <v>378</v>
      </c>
      <c r="F629" s="52" t="s">
        <v>379</v>
      </c>
      <c r="G629" s="51" t="s">
        <v>1610</v>
      </c>
      <c r="H629" s="53" t="s">
        <v>1624</v>
      </c>
      <c r="I629" s="56" t="s">
        <v>403</v>
      </c>
      <c r="J629" s="51" t="s">
        <v>1625</v>
      </c>
      <c r="K629" s="51"/>
      <c r="L629" s="56" t="s">
        <v>405</v>
      </c>
      <c r="M629" s="51" t="s">
        <v>1626</v>
      </c>
      <c r="N629" s="27"/>
      <c r="O629" s="112"/>
      <c r="P629" s="28"/>
      <c r="Q629" s="28"/>
      <c r="R629" s="28"/>
      <c r="S629" s="28"/>
      <c r="T629" s="28" t="s">
        <v>13</v>
      </c>
      <c r="U629" s="1" t="s">
        <v>1613</v>
      </c>
      <c r="W629" s="1" t="s">
        <v>1614</v>
      </c>
    </row>
    <row r="630" spans="1:28" s="60" customFormat="1" ht="15" customHeight="1">
      <c r="A630" s="49">
        <v>169</v>
      </c>
      <c r="B630" s="49" t="s">
        <v>283</v>
      </c>
      <c r="C630" s="50" t="s">
        <v>255</v>
      </c>
      <c r="D630" s="125" t="s">
        <v>1574</v>
      </c>
      <c r="E630" s="115" t="s">
        <v>378</v>
      </c>
      <c r="F630" s="52" t="s">
        <v>379</v>
      </c>
      <c r="G630" s="51" t="s">
        <v>1618</v>
      </c>
      <c r="H630" s="53"/>
      <c r="I630" s="42" t="s">
        <v>379</v>
      </c>
      <c r="J630" s="51" t="s">
        <v>1619</v>
      </c>
      <c r="K630" s="51"/>
      <c r="L630" s="56" t="s">
        <v>377</v>
      </c>
      <c r="M630" s="51" t="s">
        <v>1620</v>
      </c>
      <c r="N630" s="27"/>
      <c r="O630" s="112"/>
      <c r="P630" s="28"/>
      <c r="Q630" s="28"/>
      <c r="R630" s="28"/>
      <c r="S630" s="28"/>
      <c r="T630" s="28" t="s">
        <v>13</v>
      </c>
      <c r="U630" s="1" t="s">
        <v>1613</v>
      </c>
      <c r="W630" s="1" t="s">
        <v>1614</v>
      </c>
    </row>
    <row r="631" spans="1:28" s="60" customFormat="1" ht="15" customHeight="1">
      <c r="A631" s="49">
        <v>170</v>
      </c>
      <c r="B631" s="78" t="s">
        <v>284</v>
      </c>
      <c r="C631" s="50" t="s">
        <v>285</v>
      </c>
      <c r="D631" s="80" t="s">
        <v>692</v>
      </c>
      <c r="E631" s="80" t="s">
        <v>692</v>
      </c>
      <c r="F631" s="52"/>
      <c r="G631" s="51"/>
      <c r="H631" s="65"/>
      <c r="I631" s="42"/>
      <c r="J631" s="51"/>
      <c r="K631" s="51"/>
      <c r="L631" s="56"/>
      <c r="M631" s="51"/>
      <c r="N631" s="27"/>
      <c r="P631" s="28"/>
      <c r="Q631" s="28"/>
      <c r="R631" s="28"/>
      <c r="S631" s="28"/>
      <c r="T631" s="28" t="s">
        <v>13</v>
      </c>
    </row>
    <row r="632" spans="1:28" s="60" customFormat="1" ht="15" customHeight="1">
      <c r="A632" s="49">
        <v>171</v>
      </c>
      <c r="B632" s="49" t="s">
        <v>286</v>
      </c>
      <c r="C632" s="50" t="s">
        <v>287</v>
      </c>
      <c r="D632" s="127" t="s">
        <v>1574</v>
      </c>
      <c r="E632" s="115" t="s">
        <v>378</v>
      </c>
      <c r="F632" s="52" t="s">
        <v>379</v>
      </c>
      <c r="G632" s="51" t="s">
        <v>1583</v>
      </c>
      <c r="H632" s="65"/>
      <c r="I632" s="42" t="s">
        <v>405</v>
      </c>
      <c r="J632" s="51" t="s">
        <v>1627</v>
      </c>
      <c r="K632" s="51"/>
      <c r="L632" s="56" t="s">
        <v>377</v>
      </c>
      <c r="M632" s="51" t="s">
        <v>1577</v>
      </c>
      <c r="N632" s="27"/>
      <c r="O632" s="112"/>
      <c r="P632" s="28"/>
      <c r="Q632" s="28"/>
      <c r="R632" s="28"/>
      <c r="S632" s="28"/>
      <c r="T632" s="28" t="s">
        <v>13</v>
      </c>
    </row>
    <row r="633" spans="1:28" s="60" customFormat="1" ht="15" customHeight="1">
      <c r="A633" s="49">
        <v>172</v>
      </c>
      <c r="B633" s="49" t="s">
        <v>288</v>
      </c>
      <c r="C633" s="50" t="s">
        <v>205</v>
      </c>
      <c r="D633" s="51" t="s">
        <v>1628</v>
      </c>
      <c r="E633" s="115" t="s">
        <v>378</v>
      </c>
      <c r="F633" s="42" t="s">
        <v>405</v>
      </c>
      <c r="G633" s="51" t="s">
        <v>899</v>
      </c>
      <c r="H633" s="65"/>
      <c r="I633" s="42" t="s">
        <v>416</v>
      </c>
      <c r="J633" s="51" t="s">
        <v>900</v>
      </c>
      <c r="K633" s="51"/>
      <c r="L633" s="94" t="s">
        <v>416</v>
      </c>
      <c r="M633" s="51" t="s">
        <v>1629</v>
      </c>
      <c r="N633" s="27"/>
      <c r="P633" s="28"/>
      <c r="Q633" s="28"/>
      <c r="R633" s="28"/>
      <c r="S633" s="28"/>
      <c r="T633" s="28"/>
      <c r="U633" s="60" t="s">
        <v>902</v>
      </c>
      <c r="V633" s="60" t="s">
        <v>903</v>
      </c>
      <c r="W633" s="3" t="s">
        <v>904</v>
      </c>
      <c r="X633" s="60" t="s">
        <v>905</v>
      </c>
      <c r="Y633" s="3" t="s">
        <v>906</v>
      </c>
      <c r="Z633" s="60" t="s">
        <v>907</v>
      </c>
      <c r="AA633" s="3" t="s">
        <v>908</v>
      </c>
      <c r="AB633" s="60" t="s">
        <v>909</v>
      </c>
    </row>
    <row r="634" spans="1:28" s="60" customFormat="1" ht="15" customHeight="1">
      <c r="A634" s="49">
        <v>172</v>
      </c>
      <c r="B634" s="49" t="s">
        <v>288</v>
      </c>
      <c r="C634" s="50" t="s">
        <v>205</v>
      </c>
      <c r="D634" s="51" t="s">
        <v>1519</v>
      </c>
      <c r="E634" s="115" t="s">
        <v>378</v>
      </c>
      <c r="F634" s="52" t="s">
        <v>801</v>
      </c>
      <c r="G634" s="51" t="s">
        <v>1520</v>
      </c>
      <c r="H634" s="65"/>
      <c r="I634" s="42" t="s">
        <v>379</v>
      </c>
      <c r="J634" s="51" t="s">
        <v>1521</v>
      </c>
      <c r="K634" s="51"/>
      <c r="L634" s="56" t="s">
        <v>1445</v>
      </c>
      <c r="M634" s="51" t="s">
        <v>1522</v>
      </c>
      <c r="N634" s="27"/>
      <c r="O634" s="73" t="s">
        <v>1523</v>
      </c>
      <c r="P634" s="28"/>
      <c r="Q634" s="28"/>
      <c r="R634" s="28"/>
      <c r="S634" s="28"/>
      <c r="T634" s="28"/>
    </row>
    <row r="635" spans="1:28" s="60" customFormat="1" ht="15" customHeight="1">
      <c r="A635" s="49">
        <v>172</v>
      </c>
      <c r="B635" s="49" t="s">
        <v>288</v>
      </c>
      <c r="C635" s="50" t="s">
        <v>205</v>
      </c>
      <c r="D635" s="51" t="s">
        <v>1548</v>
      </c>
      <c r="E635" s="51" t="s">
        <v>1549</v>
      </c>
      <c r="F635" s="52" t="s">
        <v>801</v>
      </c>
      <c r="G635" s="51" t="s">
        <v>1520</v>
      </c>
      <c r="H635" s="65"/>
      <c r="I635" s="42" t="s">
        <v>379</v>
      </c>
      <c r="J635" s="51" t="s">
        <v>1521</v>
      </c>
      <c r="K635" s="51"/>
      <c r="L635" s="56" t="s">
        <v>1445</v>
      </c>
      <c r="M635" s="51" t="s">
        <v>1550</v>
      </c>
      <c r="N635" s="27"/>
      <c r="O635" s="73" t="s">
        <v>1523</v>
      </c>
      <c r="P635" s="28"/>
      <c r="Q635" s="28"/>
      <c r="R635" s="28"/>
      <c r="S635" s="28"/>
      <c r="T635" s="28"/>
      <c r="U635" s="1" t="s">
        <v>1524</v>
      </c>
      <c r="V635" s="60" t="s">
        <v>1551</v>
      </c>
    </row>
    <row r="636" spans="1:28" s="60" customFormat="1" ht="15" customHeight="1">
      <c r="A636" s="49">
        <v>172</v>
      </c>
      <c r="B636" s="49" t="s">
        <v>288</v>
      </c>
      <c r="C636" s="50" t="s">
        <v>205</v>
      </c>
      <c r="D636" s="51" t="s">
        <v>1548</v>
      </c>
      <c r="E636" s="67" t="s">
        <v>1552</v>
      </c>
      <c r="F636" s="52" t="s">
        <v>801</v>
      </c>
      <c r="G636" s="51" t="s">
        <v>1553</v>
      </c>
      <c r="H636" s="65"/>
      <c r="I636" s="42" t="s">
        <v>416</v>
      </c>
      <c r="J636" s="51" t="s">
        <v>1554</v>
      </c>
      <c r="K636" s="51"/>
      <c r="L636" s="56" t="s">
        <v>638</v>
      </c>
      <c r="M636" s="51" t="s">
        <v>1555</v>
      </c>
      <c r="N636" s="27"/>
      <c r="O636" s="73" t="s">
        <v>1523</v>
      </c>
      <c r="P636" s="28"/>
      <c r="Q636" s="28"/>
      <c r="R636" s="28"/>
      <c r="S636" s="28"/>
      <c r="T636" s="28"/>
      <c r="U636" s="1" t="s">
        <v>1524</v>
      </c>
      <c r="V636" s="60" t="s">
        <v>1556</v>
      </c>
    </row>
    <row r="637" spans="1:28" s="60" customFormat="1" ht="15" customHeight="1">
      <c r="A637" s="49">
        <v>172</v>
      </c>
      <c r="B637" s="49" t="s">
        <v>288</v>
      </c>
      <c r="C637" s="50" t="s">
        <v>205</v>
      </c>
      <c r="D637" s="51" t="s">
        <v>1548</v>
      </c>
      <c r="E637" s="51" t="s">
        <v>1557</v>
      </c>
      <c r="F637" s="52" t="s">
        <v>1445</v>
      </c>
      <c r="G637" s="51" t="s">
        <v>1558</v>
      </c>
      <c r="H637" s="65"/>
      <c r="I637" s="42" t="s">
        <v>377</v>
      </c>
      <c r="J637" s="51" t="s">
        <v>1559</v>
      </c>
      <c r="K637" s="51"/>
      <c r="L637" s="56" t="s">
        <v>638</v>
      </c>
      <c r="M637" s="51" t="s">
        <v>1560</v>
      </c>
      <c r="N637" s="27"/>
      <c r="O637" s="73" t="s">
        <v>1561</v>
      </c>
      <c r="P637" s="28"/>
      <c r="Q637" s="28"/>
      <c r="R637" s="28"/>
      <c r="S637" s="28"/>
      <c r="T637" s="28"/>
      <c r="U637" s="1" t="s">
        <v>1524</v>
      </c>
      <c r="V637" s="60" t="s">
        <v>1562</v>
      </c>
    </row>
    <row r="638" spans="1:28" s="60" customFormat="1" ht="15" customHeight="1">
      <c r="A638" s="49">
        <v>172</v>
      </c>
      <c r="B638" s="49" t="s">
        <v>288</v>
      </c>
      <c r="C638" s="50" t="s">
        <v>205</v>
      </c>
      <c r="D638" s="51" t="s">
        <v>1548</v>
      </c>
      <c r="E638" s="67" t="s">
        <v>1563</v>
      </c>
      <c r="F638" s="52" t="s">
        <v>638</v>
      </c>
      <c r="G638" s="51" t="s">
        <v>1564</v>
      </c>
      <c r="H638" s="65"/>
      <c r="I638" s="42" t="s">
        <v>416</v>
      </c>
      <c r="J638" s="51" t="s">
        <v>1565</v>
      </c>
      <c r="K638" s="51"/>
      <c r="L638" s="56" t="s">
        <v>638</v>
      </c>
      <c r="M638" s="51" t="s">
        <v>1566</v>
      </c>
      <c r="N638" s="27"/>
      <c r="O638" s="73" t="s">
        <v>1523</v>
      </c>
      <c r="P638" s="28"/>
      <c r="Q638" s="28"/>
      <c r="R638" s="28"/>
      <c r="S638" s="28"/>
      <c r="T638" s="28"/>
      <c r="U638" s="1" t="s">
        <v>1524</v>
      </c>
      <c r="V638" s="60" t="s">
        <v>1567</v>
      </c>
    </row>
    <row r="639" spans="1:28" s="60" customFormat="1" ht="15" customHeight="1">
      <c r="A639" s="49">
        <v>173</v>
      </c>
      <c r="B639" s="49" t="s">
        <v>289</v>
      </c>
      <c r="C639" s="50" t="s">
        <v>205</v>
      </c>
      <c r="D639" s="80" t="s">
        <v>692</v>
      </c>
      <c r="E639" s="80" t="s">
        <v>692</v>
      </c>
      <c r="F639" s="52"/>
      <c r="G639" s="51"/>
      <c r="H639" s="65"/>
      <c r="I639" s="42"/>
      <c r="J639" s="51"/>
      <c r="K639" s="51"/>
      <c r="L639" s="56"/>
      <c r="M639" s="51"/>
      <c r="N639" s="27"/>
      <c r="P639" s="28" t="s">
        <v>13</v>
      </c>
      <c r="Q639" s="28"/>
      <c r="R639" s="28"/>
      <c r="S639" s="28" t="s">
        <v>13</v>
      </c>
      <c r="T639" s="28"/>
    </row>
    <row r="640" spans="1:28" s="60" customFormat="1" ht="15" customHeight="1">
      <c r="A640" s="49">
        <v>174</v>
      </c>
      <c r="B640" s="49" t="s">
        <v>290</v>
      </c>
      <c r="C640" s="50" t="s">
        <v>291</v>
      </c>
      <c r="D640" s="51" t="s">
        <v>1519</v>
      </c>
      <c r="E640" s="115" t="s">
        <v>378</v>
      </c>
      <c r="F640" s="52" t="s">
        <v>801</v>
      </c>
      <c r="G640" s="51" t="s">
        <v>1520</v>
      </c>
      <c r="H640" s="65"/>
      <c r="I640" s="42" t="s">
        <v>379</v>
      </c>
      <c r="J640" s="51" t="s">
        <v>1521</v>
      </c>
      <c r="K640" s="51"/>
      <c r="L640" s="56" t="s">
        <v>1445</v>
      </c>
      <c r="M640" s="51" t="s">
        <v>1522</v>
      </c>
      <c r="N640" s="27"/>
      <c r="O640" s="73" t="s">
        <v>1523</v>
      </c>
      <c r="P640" s="28"/>
      <c r="Q640" s="28"/>
      <c r="R640" s="28"/>
      <c r="S640" s="28" t="s">
        <v>13</v>
      </c>
      <c r="T640" s="28"/>
      <c r="U640" s="1" t="s">
        <v>1524</v>
      </c>
      <c r="V640" s="60" t="s">
        <v>1551</v>
      </c>
    </row>
    <row r="641" spans="1:28" s="60" customFormat="1" ht="15" customHeight="1">
      <c r="A641" s="49">
        <v>174</v>
      </c>
      <c r="B641" s="49" t="s">
        <v>290</v>
      </c>
      <c r="C641" s="50" t="s">
        <v>291</v>
      </c>
      <c r="D641" s="51" t="s">
        <v>1548</v>
      </c>
      <c r="E641" s="51" t="s">
        <v>1549</v>
      </c>
      <c r="F641" s="52" t="s">
        <v>801</v>
      </c>
      <c r="G641" s="51" t="s">
        <v>1520</v>
      </c>
      <c r="H641" s="65"/>
      <c r="I641" s="42" t="s">
        <v>379</v>
      </c>
      <c r="J641" s="51" t="s">
        <v>1521</v>
      </c>
      <c r="K641" s="51"/>
      <c r="L641" s="56" t="s">
        <v>1445</v>
      </c>
      <c r="M641" s="51" t="s">
        <v>1550</v>
      </c>
      <c r="N641" s="27"/>
      <c r="O641" s="73" t="s">
        <v>1523</v>
      </c>
      <c r="P641" s="28"/>
      <c r="Q641" s="28"/>
      <c r="R641" s="28"/>
      <c r="S641" s="28"/>
      <c r="T641" s="28"/>
      <c r="U641" s="1" t="s">
        <v>1524</v>
      </c>
      <c r="V641" s="60" t="s">
        <v>1551</v>
      </c>
    </row>
    <row r="642" spans="1:28" s="60" customFormat="1" ht="15" customHeight="1">
      <c r="A642" s="49">
        <v>174</v>
      </c>
      <c r="B642" s="49" t="s">
        <v>290</v>
      </c>
      <c r="C642" s="50" t="s">
        <v>291</v>
      </c>
      <c r="D642" s="51" t="s">
        <v>1548</v>
      </c>
      <c r="E642" s="67" t="s">
        <v>1552</v>
      </c>
      <c r="F642" s="52" t="s">
        <v>801</v>
      </c>
      <c r="G642" s="51" t="s">
        <v>1553</v>
      </c>
      <c r="H642" s="65"/>
      <c r="I642" s="42" t="s">
        <v>416</v>
      </c>
      <c r="J642" s="51" t="s">
        <v>1554</v>
      </c>
      <c r="K642" s="51"/>
      <c r="L642" s="56" t="s">
        <v>638</v>
      </c>
      <c r="M642" s="51" t="s">
        <v>1555</v>
      </c>
      <c r="N642" s="27"/>
      <c r="O642" s="73" t="s">
        <v>1523</v>
      </c>
      <c r="P642" s="28"/>
      <c r="Q642" s="28"/>
      <c r="R642" s="28"/>
      <c r="S642" s="28"/>
      <c r="T642" s="28"/>
      <c r="U642" s="1" t="s">
        <v>1524</v>
      </c>
      <c r="V642" s="60" t="s">
        <v>1556</v>
      </c>
    </row>
    <row r="643" spans="1:28" s="60" customFormat="1" ht="15" customHeight="1">
      <c r="A643" s="49">
        <v>174</v>
      </c>
      <c r="B643" s="49" t="s">
        <v>290</v>
      </c>
      <c r="C643" s="50" t="s">
        <v>291</v>
      </c>
      <c r="D643" s="51" t="s">
        <v>1548</v>
      </c>
      <c r="E643" s="51" t="s">
        <v>1557</v>
      </c>
      <c r="F643" s="52" t="s">
        <v>1445</v>
      </c>
      <c r="G643" s="51" t="s">
        <v>1558</v>
      </c>
      <c r="H643" s="65"/>
      <c r="I643" s="42" t="s">
        <v>377</v>
      </c>
      <c r="J643" s="51" t="s">
        <v>1559</v>
      </c>
      <c r="K643" s="51"/>
      <c r="L643" s="56" t="s">
        <v>638</v>
      </c>
      <c r="M643" s="51" t="s">
        <v>1560</v>
      </c>
      <c r="N643" s="27"/>
      <c r="O643" s="73" t="s">
        <v>1561</v>
      </c>
      <c r="P643" s="28"/>
      <c r="Q643" s="28"/>
      <c r="R643" s="28"/>
      <c r="S643" s="28"/>
      <c r="T643" s="28"/>
      <c r="U643" s="1" t="s">
        <v>1524</v>
      </c>
      <c r="V643" s="60" t="s">
        <v>1562</v>
      </c>
    </row>
    <row r="644" spans="1:28" s="60" customFormat="1" ht="15" customHeight="1">
      <c r="A644" s="49">
        <v>174</v>
      </c>
      <c r="B644" s="49" t="s">
        <v>290</v>
      </c>
      <c r="C644" s="50" t="s">
        <v>291</v>
      </c>
      <c r="D644" s="51" t="s">
        <v>1548</v>
      </c>
      <c r="E644" s="67" t="s">
        <v>1563</v>
      </c>
      <c r="F644" s="52" t="s">
        <v>638</v>
      </c>
      <c r="G644" s="51" t="s">
        <v>1564</v>
      </c>
      <c r="H644" s="65"/>
      <c r="I644" s="42" t="s">
        <v>416</v>
      </c>
      <c r="J644" s="51" t="s">
        <v>1565</v>
      </c>
      <c r="K644" s="51"/>
      <c r="L644" s="56" t="s">
        <v>638</v>
      </c>
      <c r="M644" s="51" t="s">
        <v>1566</v>
      </c>
      <c r="N644" s="27"/>
      <c r="O644" s="73" t="s">
        <v>1523</v>
      </c>
      <c r="P644" s="28"/>
      <c r="Q644" s="28"/>
      <c r="R644" s="28"/>
      <c r="S644" s="28"/>
      <c r="T644" s="28"/>
      <c r="U644" s="1" t="s">
        <v>1524</v>
      </c>
      <c r="V644" s="60" t="s">
        <v>1567</v>
      </c>
    </row>
    <row r="645" spans="1:28" s="60" customFormat="1" ht="15" customHeight="1">
      <c r="A645" s="49">
        <v>174</v>
      </c>
      <c r="B645" s="49" t="s">
        <v>290</v>
      </c>
      <c r="C645" s="50" t="s">
        <v>291</v>
      </c>
      <c r="D645" s="51" t="s">
        <v>530</v>
      </c>
      <c r="E645" s="51" t="s">
        <v>531</v>
      </c>
      <c r="F645" s="42" t="s">
        <v>405</v>
      </c>
      <c r="G645" s="51" t="s">
        <v>532</v>
      </c>
      <c r="H645" s="54"/>
      <c r="I645" s="42" t="s">
        <v>379</v>
      </c>
      <c r="J645" s="51" t="s">
        <v>533</v>
      </c>
      <c r="K645" s="51"/>
      <c r="L645" s="56" t="s">
        <v>377</v>
      </c>
      <c r="M645" s="51" t="s">
        <v>534</v>
      </c>
      <c r="N645" s="27"/>
      <c r="O645" s="53" t="s">
        <v>535</v>
      </c>
      <c r="P645" s="28"/>
      <c r="Q645" s="28"/>
      <c r="R645" s="28"/>
      <c r="S645" s="28"/>
      <c r="T645" s="28"/>
      <c r="U645" s="1" t="s">
        <v>536</v>
      </c>
      <c r="V645" s="60" t="s">
        <v>537</v>
      </c>
      <c r="W645" s="1" t="s">
        <v>538</v>
      </c>
      <c r="X645" s="60" t="s">
        <v>539</v>
      </c>
      <c r="Y645" s="1" t="s">
        <v>540</v>
      </c>
      <c r="Z645" s="60" t="s">
        <v>541</v>
      </c>
      <c r="AA645" s="1" t="s">
        <v>542</v>
      </c>
      <c r="AB645" s="60" t="s">
        <v>543</v>
      </c>
    </row>
    <row r="646" spans="1:28" s="60" customFormat="1" ht="15" customHeight="1">
      <c r="A646" s="49">
        <v>174</v>
      </c>
      <c r="B646" s="49" t="s">
        <v>290</v>
      </c>
      <c r="C646" s="50" t="s">
        <v>291</v>
      </c>
      <c r="D646" s="51" t="s">
        <v>530</v>
      </c>
      <c r="E646" s="51" t="s">
        <v>544</v>
      </c>
      <c r="F646" s="42" t="s">
        <v>405</v>
      </c>
      <c r="G646" s="51" t="s">
        <v>545</v>
      </c>
      <c r="H646" s="54"/>
      <c r="I646" s="42" t="s">
        <v>379</v>
      </c>
      <c r="J646" s="51" t="s">
        <v>546</v>
      </c>
      <c r="K646" s="51"/>
      <c r="L646" s="56" t="s">
        <v>377</v>
      </c>
      <c r="M646" s="51" t="s">
        <v>534</v>
      </c>
      <c r="N646" s="58"/>
      <c r="O646" s="53" t="s">
        <v>535</v>
      </c>
      <c r="P646" s="28"/>
      <c r="Q646" s="28"/>
      <c r="R646" s="28"/>
      <c r="S646" s="28"/>
      <c r="T646" s="28"/>
      <c r="U646" s="1" t="s">
        <v>536</v>
      </c>
      <c r="V646" s="60" t="s">
        <v>537</v>
      </c>
      <c r="W646" s="1" t="s">
        <v>538</v>
      </c>
      <c r="X646" s="60" t="s">
        <v>539</v>
      </c>
      <c r="Y646" s="1" t="s">
        <v>540</v>
      </c>
      <c r="Z646" s="60" t="s">
        <v>541</v>
      </c>
      <c r="AA646" s="1" t="s">
        <v>542</v>
      </c>
      <c r="AB646" s="60" t="s">
        <v>543</v>
      </c>
    </row>
    <row r="647" spans="1:28" s="60" customFormat="1" ht="15" customHeight="1">
      <c r="A647" s="49">
        <v>175</v>
      </c>
      <c r="B647" s="49" t="s">
        <v>293</v>
      </c>
      <c r="C647" s="50" t="s">
        <v>205</v>
      </c>
      <c r="D647" s="80" t="s">
        <v>849</v>
      </c>
      <c r="E647" s="80" t="s">
        <v>849</v>
      </c>
      <c r="F647" s="52"/>
      <c r="G647" s="51"/>
      <c r="H647" s="65"/>
      <c r="I647" s="42"/>
      <c r="J647" s="51"/>
      <c r="K647" s="51"/>
      <c r="L647" s="56"/>
      <c r="M647" s="51"/>
      <c r="N647" s="27"/>
      <c r="P647" s="28" t="s">
        <v>13</v>
      </c>
      <c r="Q647" s="28"/>
      <c r="R647" s="28"/>
      <c r="S647" s="28" t="s">
        <v>13</v>
      </c>
      <c r="T647" s="28"/>
    </row>
    <row r="648" spans="1:28" s="60" customFormat="1" ht="15" customHeight="1">
      <c r="A648" s="49">
        <v>176</v>
      </c>
      <c r="B648" s="49" t="s">
        <v>294</v>
      </c>
      <c r="C648" s="50" t="s">
        <v>209</v>
      </c>
      <c r="D648" s="51" t="s">
        <v>1519</v>
      </c>
      <c r="E648" s="115" t="s">
        <v>378</v>
      </c>
      <c r="F648" s="52" t="s">
        <v>801</v>
      </c>
      <c r="G648" s="51" t="s">
        <v>1520</v>
      </c>
      <c r="H648" s="65"/>
      <c r="I648" s="42" t="s">
        <v>379</v>
      </c>
      <c r="J648" s="51" t="s">
        <v>1521</v>
      </c>
      <c r="K648" s="51"/>
      <c r="L648" s="56" t="s">
        <v>1445</v>
      </c>
      <c r="M648" s="51" t="s">
        <v>1522</v>
      </c>
      <c r="N648" s="27"/>
      <c r="O648" s="73" t="s">
        <v>1523</v>
      </c>
      <c r="P648" s="28" t="s">
        <v>13</v>
      </c>
      <c r="Q648" s="28"/>
      <c r="R648" s="28"/>
      <c r="S648" s="28" t="s">
        <v>13</v>
      </c>
      <c r="T648" s="28"/>
      <c r="U648" s="1" t="s">
        <v>1524</v>
      </c>
      <c r="V648" s="60" t="s">
        <v>1551</v>
      </c>
    </row>
    <row r="649" spans="1:28" s="60" customFormat="1" ht="15" customHeight="1">
      <c r="A649" s="49">
        <v>176</v>
      </c>
      <c r="B649" s="49" t="s">
        <v>294</v>
      </c>
      <c r="C649" s="50" t="s">
        <v>209</v>
      </c>
      <c r="D649" s="51" t="s">
        <v>1548</v>
      </c>
      <c r="E649" s="63" t="s">
        <v>1549</v>
      </c>
      <c r="F649" s="52" t="s">
        <v>801</v>
      </c>
      <c r="G649" s="51" t="s">
        <v>1520</v>
      </c>
      <c r="H649" s="65"/>
      <c r="I649" s="42" t="s">
        <v>379</v>
      </c>
      <c r="J649" s="51" t="s">
        <v>1521</v>
      </c>
      <c r="K649" s="51"/>
      <c r="L649" s="56" t="s">
        <v>1445</v>
      </c>
      <c r="M649" s="51" t="s">
        <v>1550</v>
      </c>
      <c r="N649" s="27"/>
      <c r="O649" s="73" t="s">
        <v>1523</v>
      </c>
      <c r="P649" s="28"/>
      <c r="Q649" s="28"/>
      <c r="R649" s="28"/>
      <c r="S649" s="28"/>
      <c r="T649" s="28"/>
      <c r="U649" s="1" t="s">
        <v>1524</v>
      </c>
      <c r="V649" s="60" t="s">
        <v>1551</v>
      </c>
    </row>
    <row r="650" spans="1:28" s="60" customFormat="1" ht="15" customHeight="1">
      <c r="A650" s="49">
        <v>176</v>
      </c>
      <c r="B650" s="49" t="s">
        <v>294</v>
      </c>
      <c r="C650" s="50" t="s">
        <v>209</v>
      </c>
      <c r="D650" s="51" t="s">
        <v>1548</v>
      </c>
      <c r="E650" s="67" t="s">
        <v>1552</v>
      </c>
      <c r="F650" s="52" t="s">
        <v>801</v>
      </c>
      <c r="G650" s="51" t="s">
        <v>1553</v>
      </c>
      <c r="H650" s="65"/>
      <c r="I650" s="42" t="s">
        <v>416</v>
      </c>
      <c r="J650" s="51" t="s">
        <v>1554</v>
      </c>
      <c r="K650" s="51"/>
      <c r="L650" s="56" t="s">
        <v>638</v>
      </c>
      <c r="M650" s="51" t="s">
        <v>1555</v>
      </c>
      <c r="N650" s="27"/>
      <c r="O650" s="73" t="s">
        <v>1523</v>
      </c>
      <c r="P650" s="28"/>
      <c r="Q650" s="28"/>
      <c r="R650" s="28"/>
      <c r="S650" s="28"/>
      <c r="T650" s="28"/>
      <c r="U650" s="1" t="s">
        <v>1524</v>
      </c>
      <c r="V650" s="60" t="s">
        <v>1556</v>
      </c>
    </row>
    <row r="651" spans="1:28" s="60" customFormat="1" ht="15" customHeight="1">
      <c r="A651" s="49">
        <v>176</v>
      </c>
      <c r="B651" s="49" t="s">
        <v>294</v>
      </c>
      <c r="C651" s="50" t="s">
        <v>209</v>
      </c>
      <c r="D651" s="51" t="s">
        <v>1548</v>
      </c>
      <c r="E651" s="51" t="s">
        <v>1557</v>
      </c>
      <c r="F651" s="52" t="s">
        <v>1445</v>
      </c>
      <c r="G651" s="51" t="s">
        <v>1558</v>
      </c>
      <c r="H651" s="65"/>
      <c r="I651" s="42" t="s">
        <v>377</v>
      </c>
      <c r="J651" s="51" t="s">
        <v>1559</v>
      </c>
      <c r="K651" s="51"/>
      <c r="L651" s="56" t="s">
        <v>638</v>
      </c>
      <c r="M651" s="51" t="s">
        <v>1560</v>
      </c>
      <c r="N651" s="27"/>
      <c r="O651" s="73" t="s">
        <v>1561</v>
      </c>
      <c r="P651" s="28"/>
      <c r="Q651" s="28"/>
      <c r="R651" s="28"/>
      <c r="S651" s="28"/>
      <c r="T651" s="28"/>
      <c r="U651" s="1" t="s">
        <v>1524</v>
      </c>
      <c r="V651" s="60" t="s">
        <v>1562</v>
      </c>
    </row>
    <row r="652" spans="1:28" s="60" customFormat="1" ht="15" customHeight="1">
      <c r="A652" s="49">
        <v>176</v>
      </c>
      <c r="B652" s="49" t="s">
        <v>294</v>
      </c>
      <c r="C652" s="50" t="s">
        <v>209</v>
      </c>
      <c r="D652" s="51" t="s">
        <v>1548</v>
      </c>
      <c r="E652" s="67" t="s">
        <v>1563</v>
      </c>
      <c r="F652" s="52" t="s">
        <v>638</v>
      </c>
      <c r="G652" s="51" t="s">
        <v>1564</v>
      </c>
      <c r="H652" s="65"/>
      <c r="I652" s="42" t="s">
        <v>416</v>
      </c>
      <c r="J652" s="51" t="s">
        <v>1565</v>
      </c>
      <c r="K652" s="51"/>
      <c r="L652" s="56" t="s">
        <v>638</v>
      </c>
      <c r="M652" s="51" t="s">
        <v>1566</v>
      </c>
      <c r="N652" s="27"/>
      <c r="O652" s="73" t="s">
        <v>1523</v>
      </c>
      <c r="P652" s="28"/>
      <c r="Q652" s="28"/>
      <c r="R652" s="28"/>
      <c r="S652" s="28"/>
      <c r="T652" s="28"/>
      <c r="U652" s="1" t="s">
        <v>1524</v>
      </c>
      <c r="V652" s="60" t="s">
        <v>1567</v>
      </c>
    </row>
    <row r="653" spans="1:28" s="60" customFormat="1" ht="15" customHeight="1">
      <c r="A653" s="49">
        <v>176</v>
      </c>
      <c r="B653" s="49" t="s">
        <v>294</v>
      </c>
      <c r="C653" s="50" t="s">
        <v>209</v>
      </c>
      <c r="D653" s="51" t="s">
        <v>1526</v>
      </c>
      <c r="E653" s="115" t="s">
        <v>378</v>
      </c>
      <c r="F653" s="42" t="s">
        <v>405</v>
      </c>
      <c r="G653" s="51" t="s">
        <v>1527</v>
      </c>
      <c r="H653" s="65"/>
      <c r="I653" s="42" t="s">
        <v>379</v>
      </c>
      <c r="J653" s="51" t="s">
        <v>1528</v>
      </c>
      <c r="K653" s="51"/>
      <c r="L653" s="56" t="s">
        <v>377</v>
      </c>
      <c r="M653" s="51" t="s">
        <v>1529</v>
      </c>
      <c r="N653" s="27"/>
      <c r="P653" s="28"/>
      <c r="Q653" s="28"/>
      <c r="R653" s="28"/>
      <c r="S653" s="28"/>
      <c r="T653" s="28"/>
      <c r="U653" s="1" t="s">
        <v>1530</v>
      </c>
    </row>
    <row r="654" spans="1:28" s="60" customFormat="1" ht="15" customHeight="1">
      <c r="A654" s="49">
        <v>177</v>
      </c>
      <c r="B654" s="49" t="s">
        <v>295</v>
      </c>
      <c r="C654" s="50" t="s">
        <v>296</v>
      </c>
      <c r="D654" s="51" t="s">
        <v>1519</v>
      </c>
      <c r="E654" s="51" t="s">
        <v>1519</v>
      </c>
      <c r="F654" s="52" t="s">
        <v>801</v>
      </c>
      <c r="G654" s="51" t="s">
        <v>1520</v>
      </c>
      <c r="H654" s="65"/>
      <c r="I654" s="42" t="s">
        <v>379</v>
      </c>
      <c r="J654" s="51" t="s">
        <v>1521</v>
      </c>
      <c r="K654" s="51"/>
      <c r="L654" s="56" t="s">
        <v>1445</v>
      </c>
      <c r="M654" s="51" t="s">
        <v>1522</v>
      </c>
      <c r="N654" s="27"/>
      <c r="O654" s="73" t="s">
        <v>1523</v>
      </c>
      <c r="P654" s="28"/>
      <c r="Q654" s="28"/>
      <c r="R654" s="28"/>
      <c r="S654" s="28" t="s">
        <v>13</v>
      </c>
      <c r="T654" s="28"/>
      <c r="U654" s="1" t="s">
        <v>1524</v>
      </c>
      <c r="V654" s="60" t="s">
        <v>1551</v>
      </c>
    </row>
    <row r="655" spans="1:28" s="60" customFormat="1" ht="15" customHeight="1">
      <c r="A655" s="49">
        <v>177</v>
      </c>
      <c r="B655" s="49" t="s">
        <v>295</v>
      </c>
      <c r="C655" s="50" t="s">
        <v>296</v>
      </c>
      <c r="D655" s="51" t="s">
        <v>1548</v>
      </c>
      <c r="E655" s="63" t="s">
        <v>1549</v>
      </c>
      <c r="F655" s="52" t="s">
        <v>801</v>
      </c>
      <c r="G655" s="51" t="s">
        <v>1520</v>
      </c>
      <c r="H655" s="65"/>
      <c r="I655" s="42" t="s">
        <v>379</v>
      </c>
      <c r="J655" s="51" t="s">
        <v>1521</v>
      </c>
      <c r="K655" s="51"/>
      <c r="L655" s="56" t="s">
        <v>1445</v>
      </c>
      <c r="M655" s="51" t="s">
        <v>1550</v>
      </c>
      <c r="N655" s="27"/>
      <c r="O655" s="73" t="s">
        <v>1523</v>
      </c>
      <c r="P655" s="28"/>
      <c r="Q655" s="28"/>
      <c r="R655" s="28"/>
      <c r="S655" s="28"/>
      <c r="T655" s="28"/>
      <c r="U655" s="1" t="s">
        <v>1524</v>
      </c>
      <c r="V655" s="60" t="s">
        <v>1551</v>
      </c>
    </row>
    <row r="656" spans="1:28" s="60" customFormat="1" ht="15" customHeight="1">
      <c r="A656" s="49">
        <v>177</v>
      </c>
      <c r="B656" s="49" t="s">
        <v>295</v>
      </c>
      <c r="C656" s="50" t="s">
        <v>296</v>
      </c>
      <c r="D656" s="51" t="s">
        <v>1548</v>
      </c>
      <c r="E656" s="67" t="s">
        <v>1552</v>
      </c>
      <c r="F656" s="52" t="s">
        <v>801</v>
      </c>
      <c r="G656" s="51" t="s">
        <v>1553</v>
      </c>
      <c r="H656" s="65"/>
      <c r="I656" s="42" t="s">
        <v>416</v>
      </c>
      <c r="J656" s="51" t="s">
        <v>1554</v>
      </c>
      <c r="K656" s="51"/>
      <c r="L656" s="56" t="s">
        <v>638</v>
      </c>
      <c r="M656" s="51" t="s">
        <v>1555</v>
      </c>
      <c r="N656" s="27"/>
      <c r="O656" s="73" t="s">
        <v>1523</v>
      </c>
      <c r="P656" s="28"/>
      <c r="Q656" s="28"/>
      <c r="R656" s="28"/>
      <c r="S656" s="28"/>
      <c r="T656" s="28"/>
      <c r="U656" s="1" t="s">
        <v>1524</v>
      </c>
      <c r="V656" s="60" t="s">
        <v>1556</v>
      </c>
    </row>
    <row r="657" spans="1:22" s="60" customFormat="1" ht="15" customHeight="1">
      <c r="A657" s="49">
        <v>177</v>
      </c>
      <c r="B657" s="49" t="s">
        <v>295</v>
      </c>
      <c r="C657" s="50" t="s">
        <v>296</v>
      </c>
      <c r="D657" s="51" t="s">
        <v>1548</v>
      </c>
      <c r="E657" s="51" t="s">
        <v>1557</v>
      </c>
      <c r="F657" s="52" t="s">
        <v>1445</v>
      </c>
      <c r="G657" s="51" t="s">
        <v>1558</v>
      </c>
      <c r="H657" s="65"/>
      <c r="I657" s="42" t="s">
        <v>377</v>
      </c>
      <c r="J657" s="51" t="s">
        <v>1559</v>
      </c>
      <c r="K657" s="51"/>
      <c r="L657" s="56" t="s">
        <v>638</v>
      </c>
      <c r="M657" s="51" t="s">
        <v>1560</v>
      </c>
      <c r="N657" s="27"/>
      <c r="O657" s="73" t="s">
        <v>1561</v>
      </c>
      <c r="P657" s="28"/>
      <c r="Q657" s="28"/>
      <c r="R657" s="28"/>
      <c r="S657" s="28"/>
      <c r="T657" s="28"/>
      <c r="U657" s="1" t="s">
        <v>1524</v>
      </c>
      <c r="V657" s="60" t="s">
        <v>1562</v>
      </c>
    </row>
    <row r="658" spans="1:22" s="60" customFormat="1" ht="15" customHeight="1">
      <c r="A658" s="49">
        <v>177</v>
      </c>
      <c r="B658" s="49" t="s">
        <v>295</v>
      </c>
      <c r="C658" s="50" t="s">
        <v>296</v>
      </c>
      <c r="D658" s="51" t="s">
        <v>1548</v>
      </c>
      <c r="E658" s="67" t="s">
        <v>1563</v>
      </c>
      <c r="F658" s="52" t="s">
        <v>638</v>
      </c>
      <c r="G658" s="51" t="s">
        <v>1564</v>
      </c>
      <c r="H658" s="65"/>
      <c r="I658" s="42" t="s">
        <v>416</v>
      </c>
      <c r="J658" s="51" t="s">
        <v>1565</v>
      </c>
      <c r="K658" s="51"/>
      <c r="L658" s="56" t="s">
        <v>638</v>
      </c>
      <c r="M658" s="51" t="s">
        <v>1566</v>
      </c>
      <c r="N658" s="27"/>
      <c r="O658" s="73" t="s">
        <v>1523</v>
      </c>
      <c r="P658" s="28"/>
      <c r="Q658" s="28"/>
      <c r="R658" s="28"/>
      <c r="S658" s="28"/>
      <c r="T658" s="28"/>
      <c r="U658" s="1" t="s">
        <v>1524</v>
      </c>
      <c r="V658" s="60" t="s">
        <v>1567</v>
      </c>
    </row>
    <row r="659" spans="1:22" s="60" customFormat="1" ht="15" customHeight="1">
      <c r="A659" s="49">
        <v>178</v>
      </c>
      <c r="B659" s="49" t="s">
        <v>297</v>
      </c>
      <c r="C659" s="50" t="s">
        <v>298</v>
      </c>
      <c r="D659" s="51" t="s">
        <v>1519</v>
      </c>
      <c r="E659" s="51" t="s">
        <v>378</v>
      </c>
      <c r="F659" s="52" t="s">
        <v>801</v>
      </c>
      <c r="G659" s="51" t="s">
        <v>1520</v>
      </c>
      <c r="H659" s="65"/>
      <c r="I659" s="42" t="s">
        <v>379</v>
      </c>
      <c r="J659" s="51" t="s">
        <v>1521</v>
      </c>
      <c r="K659" s="51"/>
      <c r="L659" s="56" t="s">
        <v>1445</v>
      </c>
      <c r="M659" s="51" t="s">
        <v>1522</v>
      </c>
      <c r="N659" s="27"/>
      <c r="O659" s="73" t="s">
        <v>1523</v>
      </c>
      <c r="P659" s="28" t="s">
        <v>13</v>
      </c>
      <c r="Q659" s="28"/>
      <c r="R659" s="28"/>
      <c r="S659" s="28" t="s">
        <v>13</v>
      </c>
      <c r="T659" s="28"/>
      <c r="U659" s="1" t="s">
        <v>1524</v>
      </c>
      <c r="V659" s="60" t="s">
        <v>1551</v>
      </c>
    </row>
    <row r="660" spans="1:22" s="60" customFormat="1" ht="15" customHeight="1">
      <c r="A660" s="49">
        <v>178</v>
      </c>
      <c r="B660" s="49" t="s">
        <v>297</v>
      </c>
      <c r="C660" s="50" t="s">
        <v>298</v>
      </c>
      <c r="D660" s="51" t="s">
        <v>1548</v>
      </c>
      <c r="E660" s="63" t="s">
        <v>1549</v>
      </c>
      <c r="F660" s="52" t="s">
        <v>801</v>
      </c>
      <c r="G660" s="51" t="s">
        <v>1520</v>
      </c>
      <c r="H660" s="65"/>
      <c r="I660" s="42" t="s">
        <v>379</v>
      </c>
      <c r="J660" s="51" t="s">
        <v>1521</v>
      </c>
      <c r="K660" s="51"/>
      <c r="L660" s="56" t="s">
        <v>1445</v>
      </c>
      <c r="M660" s="51" t="s">
        <v>1550</v>
      </c>
      <c r="N660" s="27"/>
      <c r="O660" s="73" t="s">
        <v>1523</v>
      </c>
      <c r="P660" s="28"/>
      <c r="Q660" s="28"/>
      <c r="R660" s="28"/>
      <c r="S660" s="28"/>
      <c r="T660" s="28"/>
      <c r="U660" s="1" t="s">
        <v>1524</v>
      </c>
      <c r="V660" s="60" t="s">
        <v>1551</v>
      </c>
    </row>
    <row r="661" spans="1:22" s="60" customFormat="1" ht="15" customHeight="1">
      <c r="A661" s="49">
        <v>178</v>
      </c>
      <c r="B661" s="49" t="s">
        <v>297</v>
      </c>
      <c r="C661" s="50" t="s">
        <v>298</v>
      </c>
      <c r="D661" s="51" t="s">
        <v>1548</v>
      </c>
      <c r="E661" s="67" t="s">
        <v>1552</v>
      </c>
      <c r="F661" s="52" t="s">
        <v>801</v>
      </c>
      <c r="G661" s="51" t="s">
        <v>1553</v>
      </c>
      <c r="H661" s="65"/>
      <c r="I661" s="42" t="s">
        <v>416</v>
      </c>
      <c r="J661" s="51" t="s">
        <v>1554</v>
      </c>
      <c r="K661" s="51"/>
      <c r="L661" s="56" t="s">
        <v>638</v>
      </c>
      <c r="M661" s="51" t="s">
        <v>1555</v>
      </c>
      <c r="N661" s="27"/>
      <c r="O661" s="73" t="s">
        <v>1523</v>
      </c>
      <c r="P661" s="28"/>
      <c r="Q661" s="28"/>
      <c r="R661" s="28"/>
      <c r="S661" s="28"/>
      <c r="T661" s="28"/>
      <c r="U661" s="1" t="s">
        <v>1524</v>
      </c>
      <c r="V661" s="60" t="s">
        <v>1556</v>
      </c>
    </row>
    <row r="662" spans="1:22" s="60" customFormat="1" ht="15" customHeight="1">
      <c r="A662" s="49">
        <v>178</v>
      </c>
      <c r="B662" s="49" t="s">
        <v>297</v>
      </c>
      <c r="C662" s="50" t="s">
        <v>298</v>
      </c>
      <c r="D662" s="51" t="s">
        <v>1548</v>
      </c>
      <c r="E662" s="51" t="s">
        <v>1557</v>
      </c>
      <c r="F662" s="52" t="s">
        <v>1445</v>
      </c>
      <c r="G662" s="51" t="s">
        <v>1558</v>
      </c>
      <c r="H662" s="65"/>
      <c r="I662" s="42" t="s">
        <v>377</v>
      </c>
      <c r="J662" s="51" t="s">
        <v>1559</v>
      </c>
      <c r="K662" s="51"/>
      <c r="L662" s="56" t="s">
        <v>638</v>
      </c>
      <c r="M662" s="51" t="s">
        <v>1560</v>
      </c>
      <c r="N662" s="27"/>
      <c r="O662" s="73" t="s">
        <v>1561</v>
      </c>
      <c r="P662" s="28"/>
      <c r="Q662" s="28"/>
      <c r="R662" s="28"/>
      <c r="S662" s="28"/>
      <c r="T662" s="28"/>
      <c r="U662" s="1" t="s">
        <v>1524</v>
      </c>
      <c r="V662" s="60" t="s">
        <v>1562</v>
      </c>
    </row>
    <row r="663" spans="1:22" s="60" customFormat="1" ht="15" customHeight="1">
      <c r="A663" s="49">
        <v>178</v>
      </c>
      <c r="B663" s="49" t="s">
        <v>297</v>
      </c>
      <c r="C663" s="50" t="s">
        <v>298</v>
      </c>
      <c r="D663" s="51" t="s">
        <v>1548</v>
      </c>
      <c r="E663" s="67" t="s">
        <v>1563</v>
      </c>
      <c r="F663" s="52" t="s">
        <v>638</v>
      </c>
      <c r="G663" s="51" t="s">
        <v>1564</v>
      </c>
      <c r="H663" s="65"/>
      <c r="I663" s="42" t="s">
        <v>416</v>
      </c>
      <c r="J663" s="51" t="s">
        <v>1565</v>
      </c>
      <c r="K663" s="51"/>
      <c r="L663" s="56" t="s">
        <v>638</v>
      </c>
      <c r="M663" s="51" t="s">
        <v>1566</v>
      </c>
      <c r="N663" s="27"/>
      <c r="O663" s="73" t="s">
        <v>1523</v>
      </c>
      <c r="P663" s="28"/>
      <c r="Q663" s="28"/>
      <c r="R663" s="28"/>
      <c r="S663" s="28"/>
      <c r="T663" s="28"/>
      <c r="U663" s="1" t="s">
        <v>1524</v>
      </c>
      <c r="V663" s="60" t="s">
        <v>1567</v>
      </c>
    </row>
    <row r="664" spans="1:22" s="60" customFormat="1" ht="15" customHeight="1">
      <c r="A664" s="49">
        <v>179</v>
      </c>
      <c r="B664" s="49" t="s">
        <v>299</v>
      </c>
      <c r="C664" s="50" t="s">
        <v>205</v>
      </c>
      <c r="D664" s="51" t="s">
        <v>1519</v>
      </c>
      <c r="E664" s="51" t="s">
        <v>378</v>
      </c>
      <c r="F664" s="52" t="s">
        <v>801</v>
      </c>
      <c r="G664" s="51" t="s">
        <v>1520</v>
      </c>
      <c r="H664" s="65"/>
      <c r="I664" s="42" t="s">
        <v>379</v>
      </c>
      <c r="J664" s="51" t="s">
        <v>1521</v>
      </c>
      <c r="K664" s="51"/>
      <c r="L664" s="56" t="s">
        <v>1445</v>
      </c>
      <c r="M664" s="51" t="s">
        <v>1522</v>
      </c>
      <c r="N664" s="27"/>
      <c r="O664" s="73" t="s">
        <v>1523</v>
      </c>
      <c r="P664" s="28" t="s">
        <v>13</v>
      </c>
      <c r="Q664" s="28"/>
      <c r="R664" s="28"/>
      <c r="S664" s="28" t="s">
        <v>13</v>
      </c>
      <c r="T664" s="28"/>
      <c r="U664" s="1" t="s">
        <v>1524</v>
      </c>
      <c r="V664" s="60" t="s">
        <v>1551</v>
      </c>
    </row>
    <row r="665" spans="1:22" s="60" customFormat="1" ht="15" customHeight="1">
      <c r="A665" s="49">
        <v>179</v>
      </c>
      <c r="B665" s="49" t="s">
        <v>299</v>
      </c>
      <c r="C665" s="50" t="s">
        <v>205</v>
      </c>
      <c r="D665" s="51" t="s">
        <v>1548</v>
      </c>
      <c r="E665" s="63" t="s">
        <v>1549</v>
      </c>
      <c r="F665" s="52" t="s">
        <v>801</v>
      </c>
      <c r="G665" s="51" t="s">
        <v>1520</v>
      </c>
      <c r="H665" s="65"/>
      <c r="I665" s="42" t="s">
        <v>379</v>
      </c>
      <c r="J665" s="51" t="s">
        <v>1521</v>
      </c>
      <c r="K665" s="51"/>
      <c r="L665" s="56" t="s">
        <v>1445</v>
      </c>
      <c r="M665" s="51" t="s">
        <v>1550</v>
      </c>
      <c r="N665" s="27"/>
      <c r="O665" s="73" t="s">
        <v>1523</v>
      </c>
      <c r="P665" s="28"/>
      <c r="Q665" s="28"/>
      <c r="R665" s="28"/>
      <c r="S665" s="28"/>
      <c r="T665" s="28"/>
      <c r="U665" s="1" t="s">
        <v>1524</v>
      </c>
      <c r="V665" s="60" t="s">
        <v>1551</v>
      </c>
    </row>
    <row r="666" spans="1:22" s="60" customFormat="1" ht="15" customHeight="1">
      <c r="A666" s="49">
        <v>179</v>
      </c>
      <c r="B666" s="49" t="s">
        <v>299</v>
      </c>
      <c r="C666" s="50" t="s">
        <v>205</v>
      </c>
      <c r="D666" s="51" t="s">
        <v>1548</v>
      </c>
      <c r="E666" s="67" t="s">
        <v>1552</v>
      </c>
      <c r="F666" s="52" t="s">
        <v>801</v>
      </c>
      <c r="G666" s="51" t="s">
        <v>1553</v>
      </c>
      <c r="H666" s="65"/>
      <c r="I666" s="42" t="s">
        <v>416</v>
      </c>
      <c r="J666" s="51" t="s">
        <v>1554</v>
      </c>
      <c r="K666" s="51"/>
      <c r="L666" s="56" t="s">
        <v>638</v>
      </c>
      <c r="M666" s="51" t="s">
        <v>1555</v>
      </c>
      <c r="N666" s="27"/>
      <c r="O666" s="73" t="s">
        <v>1523</v>
      </c>
      <c r="P666" s="28"/>
      <c r="Q666" s="28"/>
      <c r="R666" s="28"/>
      <c r="S666" s="28"/>
      <c r="T666" s="28"/>
      <c r="U666" s="1" t="s">
        <v>1524</v>
      </c>
      <c r="V666" s="60" t="s">
        <v>1556</v>
      </c>
    </row>
    <row r="667" spans="1:22" s="60" customFormat="1" ht="15" customHeight="1">
      <c r="A667" s="49">
        <v>179</v>
      </c>
      <c r="B667" s="49" t="s">
        <v>299</v>
      </c>
      <c r="C667" s="50" t="s">
        <v>205</v>
      </c>
      <c r="D667" s="51" t="s">
        <v>1548</v>
      </c>
      <c r="E667" s="51" t="s">
        <v>1557</v>
      </c>
      <c r="F667" s="52" t="s">
        <v>1445</v>
      </c>
      <c r="G667" s="51" t="s">
        <v>1558</v>
      </c>
      <c r="H667" s="65"/>
      <c r="I667" s="42" t="s">
        <v>377</v>
      </c>
      <c r="J667" s="51" t="s">
        <v>1559</v>
      </c>
      <c r="K667" s="51"/>
      <c r="L667" s="56" t="s">
        <v>638</v>
      </c>
      <c r="M667" s="51" t="s">
        <v>1560</v>
      </c>
      <c r="N667" s="27"/>
      <c r="O667" s="73" t="s">
        <v>1561</v>
      </c>
      <c r="P667" s="28"/>
      <c r="Q667" s="28"/>
      <c r="R667" s="28"/>
      <c r="S667" s="28"/>
      <c r="T667" s="28"/>
      <c r="U667" s="1" t="s">
        <v>1524</v>
      </c>
      <c r="V667" s="60" t="s">
        <v>1562</v>
      </c>
    </row>
    <row r="668" spans="1:22" s="60" customFormat="1" ht="15" customHeight="1">
      <c r="A668" s="49">
        <v>179</v>
      </c>
      <c r="B668" s="49" t="s">
        <v>299</v>
      </c>
      <c r="C668" s="50" t="s">
        <v>205</v>
      </c>
      <c r="D668" s="51" t="s">
        <v>1548</v>
      </c>
      <c r="E668" s="67" t="s">
        <v>1563</v>
      </c>
      <c r="F668" s="52" t="s">
        <v>638</v>
      </c>
      <c r="G668" s="51" t="s">
        <v>1564</v>
      </c>
      <c r="H668" s="65"/>
      <c r="I668" s="42" t="s">
        <v>416</v>
      </c>
      <c r="J668" s="51" t="s">
        <v>1565</v>
      </c>
      <c r="K668" s="51"/>
      <c r="L668" s="56" t="s">
        <v>638</v>
      </c>
      <c r="M668" s="51" t="s">
        <v>1566</v>
      </c>
      <c r="N668" s="27"/>
      <c r="O668" s="73" t="s">
        <v>1523</v>
      </c>
      <c r="P668" s="28"/>
      <c r="Q668" s="28"/>
      <c r="R668" s="28"/>
      <c r="S668" s="28"/>
      <c r="T668" s="28"/>
      <c r="U668" s="1" t="s">
        <v>1524</v>
      </c>
      <c r="V668" s="60" t="s">
        <v>1567</v>
      </c>
    </row>
    <row r="669" spans="1:22" s="60" customFormat="1" ht="15" customHeight="1">
      <c r="A669" s="49">
        <v>180</v>
      </c>
      <c r="B669" s="28" t="s">
        <v>300</v>
      </c>
      <c r="C669" s="50" t="s">
        <v>205</v>
      </c>
      <c r="D669" s="51" t="s">
        <v>1519</v>
      </c>
      <c r="E669" s="51" t="s">
        <v>378</v>
      </c>
      <c r="F669" s="52" t="s">
        <v>801</v>
      </c>
      <c r="G669" s="51" t="s">
        <v>1520</v>
      </c>
      <c r="H669" s="65"/>
      <c r="I669" s="42" t="s">
        <v>379</v>
      </c>
      <c r="J669" s="51" t="s">
        <v>1521</v>
      </c>
      <c r="K669" s="51"/>
      <c r="L669" s="56" t="s">
        <v>1445</v>
      </c>
      <c r="M669" s="51" t="s">
        <v>1522</v>
      </c>
      <c r="N669" s="27"/>
      <c r="O669" s="73" t="s">
        <v>1523</v>
      </c>
      <c r="P669" s="28"/>
      <c r="Q669" s="28"/>
      <c r="R669" s="28"/>
      <c r="S669" s="28" t="s">
        <v>13</v>
      </c>
      <c r="T669" s="28"/>
      <c r="U669" s="1" t="s">
        <v>1524</v>
      </c>
      <c r="V669" s="60" t="s">
        <v>1551</v>
      </c>
    </row>
    <row r="670" spans="1:22" s="60" customFormat="1" ht="15" customHeight="1">
      <c r="A670" s="49">
        <v>180</v>
      </c>
      <c r="B670" s="28" t="s">
        <v>300</v>
      </c>
      <c r="C670" s="50" t="s">
        <v>205</v>
      </c>
      <c r="D670" s="51" t="s">
        <v>1548</v>
      </c>
      <c r="E670" s="63" t="s">
        <v>1549</v>
      </c>
      <c r="F670" s="52" t="s">
        <v>801</v>
      </c>
      <c r="G670" s="51" t="s">
        <v>1520</v>
      </c>
      <c r="H670" s="65"/>
      <c r="I670" s="42" t="s">
        <v>379</v>
      </c>
      <c r="J670" s="51" t="s">
        <v>1521</v>
      </c>
      <c r="K670" s="51"/>
      <c r="L670" s="56" t="s">
        <v>1445</v>
      </c>
      <c r="M670" s="51" t="s">
        <v>1550</v>
      </c>
      <c r="N670" s="27"/>
      <c r="O670" s="73" t="s">
        <v>1523</v>
      </c>
      <c r="P670" s="28"/>
      <c r="Q670" s="28"/>
      <c r="R670" s="28"/>
      <c r="S670" s="28"/>
      <c r="T670" s="28"/>
      <c r="U670" s="1" t="s">
        <v>1524</v>
      </c>
      <c r="V670" s="60" t="s">
        <v>1551</v>
      </c>
    </row>
    <row r="671" spans="1:22" s="60" customFormat="1" ht="15" customHeight="1">
      <c r="A671" s="49">
        <v>180</v>
      </c>
      <c r="B671" s="28" t="s">
        <v>300</v>
      </c>
      <c r="C671" s="50" t="s">
        <v>205</v>
      </c>
      <c r="D671" s="51" t="s">
        <v>1548</v>
      </c>
      <c r="E671" s="67" t="s">
        <v>1552</v>
      </c>
      <c r="F671" s="52" t="s">
        <v>801</v>
      </c>
      <c r="G671" s="51" t="s">
        <v>1553</v>
      </c>
      <c r="H671" s="65"/>
      <c r="I671" s="42" t="s">
        <v>416</v>
      </c>
      <c r="J671" s="51" t="s">
        <v>1554</v>
      </c>
      <c r="K671" s="51"/>
      <c r="L671" s="56" t="s">
        <v>638</v>
      </c>
      <c r="M671" s="51" t="s">
        <v>1555</v>
      </c>
      <c r="N671" s="27"/>
      <c r="O671" s="73" t="s">
        <v>1523</v>
      </c>
      <c r="P671" s="28"/>
      <c r="Q671" s="28"/>
      <c r="R671" s="28"/>
      <c r="S671" s="28"/>
      <c r="T671" s="28"/>
      <c r="U671" s="1" t="s">
        <v>1524</v>
      </c>
      <c r="V671" s="60" t="s">
        <v>1556</v>
      </c>
    </row>
    <row r="672" spans="1:22" s="60" customFormat="1" ht="15" customHeight="1">
      <c r="A672" s="49">
        <v>180</v>
      </c>
      <c r="B672" s="28" t="s">
        <v>300</v>
      </c>
      <c r="C672" s="50" t="s">
        <v>205</v>
      </c>
      <c r="D672" s="51" t="s">
        <v>1548</v>
      </c>
      <c r="E672" s="51" t="s">
        <v>1557</v>
      </c>
      <c r="F672" s="52" t="s">
        <v>1445</v>
      </c>
      <c r="G672" s="51" t="s">
        <v>1558</v>
      </c>
      <c r="H672" s="65"/>
      <c r="I672" s="42" t="s">
        <v>377</v>
      </c>
      <c r="J672" s="51" t="s">
        <v>1559</v>
      </c>
      <c r="K672" s="51"/>
      <c r="L672" s="56" t="s">
        <v>638</v>
      </c>
      <c r="M672" s="51" t="s">
        <v>1560</v>
      </c>
      <c r="N672" s="27"/>
      <c r="O672" s="73" t="s">
        <v>1561</v>
      </c>
      <c r="P672" s="28"/>
      <c r="Q672" s="28"/>
      <c r="R672" s="28"/>
      <c r="S672" s="28"/>
      <c r="T672" s="28"/>
      <c r="U672" s="1" t="s">
        <v>1524</v>
      </c>
      <c r="V672" s="60" t="s">
        <v>1562</v>
      </c>
    </row>
    <row r="673" spans="1:24" s="60" customFormat="1" ht="15" customHeight="1">
      <c r="A673" s="49">
        <v>180</v>
      </c>
      <c r="B673" s="28" t="s">
        <v>300</v>
      </c>
      <c r="C673" s="50" t="s">
        <v>205</v>
      </c>
      <c r="D673" s="51" t="s">
        <v>1548</v>
      </c>
      <c r="E673" s="67" t="s">
        <v>1563</v>
      </c>
      <c r="F673" s="52" t="s">
        <v>638</v>
      </c>
      <c r="G673" s="51" t="s">
        <v>1564</v>
      </c>
      <c r="H673" s="65"/>
      <c r="I673" s="42" t="s">
        <v>416</v>
      </c>
      <c r="J673" s="51" t="s">
        <v>1565</v>
      </c>
      <c r="K673" s="51"/>
      <c r="L673" s="56" t="s">
        <v>638</v>
      </c>
      <c r="M673" s="51" t="s">
        <v>1566</v>
      </c>
      <c r="N673" s="27"/>
      <c r="O673" s="73" t="s">
        <v>1523</v>
      </c>
      <c r="P673" s="28"/>
      <c r="Q673" s="28"/>
      <c r="R673" s="28"/>
      <c r="S673" s="28"/>
      <c r="T673" s="28"/>
      <c r="U673" s="1" t="s">
        <v>1524</v>
      </c>
      <c r="V673" s="60" t="s">
        <v>1567</v>
      </c>
    </row>
    <row r="674" spans="1:24" s="60" customFormat="1" ht="15" customHeight="1">
      <c r="A674" s="49">
        <v>181</v>
      </c>
      <c r="B674" s="49" t="s">
        <v>302</v>
      </c>
      <c r="C674" s="50" t="s">
        <v>205</v>
      </c>
      <c r="D674" s="51" t="s">
        <v>1630</v>
      </c>
      <c r="E674" s="51" t="s">
        <v>378</v>
      </c>
      <c r="F674" s="128" t="s">
        <v>379</v>
      </c>
      <c r="G674" s="51" t="s">
        <v>1631</v>
      </c>
      <c r="H674" s="67"/>
      <c r="I674" s="93" t="s">
        <v>416</v>
      </c>
      <c r="J674" s="51" t="s">
        <v>1632</v>
      </c>
      <c r="K674" s="51"/>
      <c r="L674" s="94" t="s">
        <v>416</v>
      </c>
      <c r="M674" s="51" t="s">
        <v>1633</v>
      </c>
      <c r="P674" s="85"/>
      <c r="Q674" s="85"/>
      <c r="R674" s="85"/>
      <c r="S674" s="85"/>
      <c r="T674" s="85"/>
      <c r="U674" s="3" t="s">
        <v>1634</v>
      </c>
      <c r="V674" s="60" t="s">
        <v>1635</v>
      </c>
      <c r="W674" s="3" t="s">
        <v>1636</v>
      </c>
      <c r="X674" s="60" t="s">
        <v>1637</v>
      </c>
    </row>
    <row r="675" spans="1:24" s="60" customFormat="1" ht="15" customHeight="1">
      <c r="A675" s="49">
        <v>181</v>
      </c>
      <c r="B675" s="49" t="s">
        <v>302</v>
      </c>
      <c r="C675" s="50" t="s">
        <v>205</v>
      </c>
      <c r="D675" s="51" t="s">
        <v>1548</v>
      </c>
      <c r="E675" s="63" t="s">
        <v>1549</v>
      </c>
      <c r="F675" s="52" t="s">
        <v>801</v>
      </c>
      <c r="G675" s="51" t="s">
        <v>1520</v>
      </c>
      <c r="H675" s="65"/>
      <c r="I675" s="42" t="s">
        <v>379</v>
      </c>
      <c r="J675" s="51" t="s">
        <v>1521</v>
      </c>
      <c r="K675" s="51"/>
      <c r="L675" s="56" t="s">
        <v>1445</v>
      </c>
      <c r="M675" s="51" t="s">
        <v>1550</v>
      </c>
      <c r="N675" s="27"/>
      <c r="O675" s="73" t="s">
        <v>1523</v>
      </c>
      <c r="P675" s="28"/>
      <c r="Q675" s="28"/>
      <c r="R675" s="28"/>
      <c r="S675" s="28"/>
      <c r="T675" s="28"/>
      <c r="U675" s="1" t="s">
        <v>1524</v>
      </c>
      <c r="V675" s="60" t="s">
        <v>1551</v>
      </c>
    </row>
    <row r="676" spans="1:24" s="60" customFormat="1" ht="15" customHeight="1">
      <c r="A676" s="49">
        <v>181</v>
      </c>
      <c r="B676" s="49" t="s">
        <v>302</v>
      </c>
      <c r="C676" s="50" t="s">
        <v>205</v>
      </c>
      <c r="D676" s="51" t="s">
        <v>1548</v>
      </c>
      <c r="E676" s="67" t="s">
        <v>1552</v>
      </c>
      <c r="F676" s="52" t="s">
        <v>801</v>
      </c>
      <c r="G676" s="51" t="s">
        <v>1553</v>
      </c>
      <c r="H676" s="65"/>
      <c r="I676" s="42" t="s">
        <v>416</v>
      </c>
      <c r="J676" s="51" t="s">
        <v>1554</v>
      </c>
      <c r="K676" s="51"/>
      <c r="L676" s="56" t="s">
        <v>638</v>
      </c>
      <c r="M676" s="51" t="s">
        <v>1555</v>
      </c>
      <c r="N676" s="27"/>
      <c r="O676" s="73" t="s">
        <v>1523</v>
      </c>
      <c r="P676" s="28"/>
      <c r="Q676" s="28"/>
      <c r="R676" s="28"/>
      <c r="S676" s="28"/>
      <c r="T676" s="28"/>
      <c r="U676" s="1" t="s">
        <v>1524</v>
      </c>
      <c r="V676" s="60" t="s">
        <v>1556</v>
      </c>
    </row>
    <row r="677" spans="1:24" s="60" customFormat="1" ht="15" customHeight="1">
      <c r="A677" s="49">
        <v>181</v>
      </c>
      <c r="B677" s="49" t="s">
        <v>302</v>
      </c>
      <c r="C677" s="50" t="s">
        <v>205</v>
      </c>
      <c r="D677" s="51" t="s">
        <v>1548</v>
      </c>
      <c r="E677" s="51" t="s">
        <v>1557</v>
      </c>
      <c r="F677" s="52" t="s">
        <v>1445</v>
      </c>
      <c r="G677" s="51" t="s">
        <v>1558</v>
      </c>
      <c r="H677" s="65"/>
      <c r="I677" s="42" t="s">
        <v>377</v>
      </c>
      <c r="J677" s="51" t="s">
        <v>1559</v>
      </c>
      <c r="K677" s="51"/>
      <c r="L677" s="56" t="s">
        <v>638</v>
      </c>
      <c r="M677" s="51" t="s">
        <v>1560</v>
      </c>
      <c r="N677" s="27"/>
      <c r="O677" s="73" t="s">
        <v>1561</v>
      </c>
      <c r="P677" s="28"/>
      <c r="Q677" s="28"/>
      <c r="R677" s="28"/>
      <c r="S677" s="28"/>
      <c r="T677" s="28"/>
      <c r="U677" s="1" t="s">
        <v>1524</v>
      </c>
      <c r="V677" s="60" t="s">
        <v>1562</v>
      </c>
    </row>
    <row r="678" spans="1:24" s="60" customFormat="1" ht="15" customHeight="1">
      <c r="A678" s="49">
        <v>181</v>
      </c>
      <c r="B678" s="49" t="s">
        <v>302</v>
      </c>
      <c r="C678" s="50" t="s">
        <v>205</v>
      </c>
      <c r="D678" s="51" t="s">
        <v>1548</v>
      </c>
      <c r="E678" s="67" t="s">
        <v>1563</v>
      </c>
      <c r="F678" s="52" t="s">
        <v>638</v>
      </c>
      <c r="G678" s="51" t="s">
        <v>1564</v>
      </c>
      <c r="H678" s="65"/>
      <c r="I678" s="42" t="s">
        <v>416</v>
      </c>
      <c r="J678" s="51" t="s">
        <v>1565</v>
      </c>
      <c r="K678" s="51"/>
      <c r="L678" s="56" t="s">
        <v>638</v>
      </c>
      <c r="M678" s="51" t="s">
        <v>1566</v>
      </c>
      <c r="N678" s="27"/>
      <c r="O678" s="73" t="s">
        <v>1523</v>
      </c>
      <c r="P678" s="28"/>
      <c r="Q678" s="28"/>
      <c r="R678" s="28"/>
      <c r="S678" s="28"/>
      <c r="T678" s="28"/>
      <c r="U678" s="1" t="s">
        <v>1524</v>
      </c>
      <c r="V678" s="60" t="s">
        <v>1567</v>
      </c>
    </row>
    <row r="679" spans="1:24" s="60" customFormat="1" ht="15" customHeight="1">
      <c r="A679" s="49">
        <v>182</v>
      </c>
      <c r="B679" s="49" t="s">
        <v>303</v>
      </c>
      <c r="C679" s="50" t="s">
        <v>207</v>
      </c>
      <c r="D679" s="51" t="s">
        <v>1638</v>
      </c>
      <c r="E679" s="51" t="s">
        <v>378</v>
      </c>
      <c r="F679" s="42" t="s">
        <v>405</v>
      </c>
      <c r="G679" s="51" t="s">
        <v>1639</v>
      </c>
      <c r="H679" s="65"/>
      <c r="I679" s="42" t="s">
        <v>377</v>
      </c>
      <c r="J679" s="51" t="s">
        <v>1640</v>
      </c>
      <c r="K679" s="51"/>
      <c r="L679" s="56" t="s">
        <v>416</v>
      </c>
      <c r="M679" s="51" t="s">
        <v>1641</v>
      </c>
      <c r="N679" s="27"/>
      <c r="P679" s="28"/>
      <c r="Q679" s="28"/>
      <c r="R679" s="28"/>
      <c r="S679" s="28" t="s">
        <v>13</v>
      </c>
      <c r="T679" s="28" t="s">
        <v>13</v>
      </c>
      <c r="U679" s="3" t="s">
        <v>1642</v>
      </c>
      <c r="V679" s="60" t="s">
        <v>1643</v>
      </c>
      <c r="W679" s="3" t="s">
        <v>1644</v>
      </c>
      <c r="X679" s="60" t="s">
        <v>1645</v>
      </c>
    </row>
    <row r="680" spans="1:24" s="60" customFormat="1" ht="15" customHeight="1">
      <c r="A680" s="49">
        <v>182</v>
      </c>
      <c r="B680" s="49" t="s">
        <v>303</v>
      </c>
      <c r="C680" s="50" t="s">
        <v>207</v>
      </c>
      <c r="D680" s="51" t="s">
        <v>1630</v>
      </c>
      <c r="E680" s="51" t="s">
        <v>378</v>
      </c>
      <c r="F680" s="128" t="s">
        <v>379</v>
      </c>
      <c r="G680" s="51" t="s">
        <v>1631</v>
      </c>
      <c r="H680" s="67"/>
      <c r="I680" s="93" t="s">
        <v>416</v>
      </c>
      <c r="J680" s="51" t="s">
        <v>1632</v>
      </c>
      <c r="K680" s="51"/>
      <c r="L680" s="94" t="s">
        <v>416</v>
      </c>
      <c r="M680" s="51" t="s">
        <v>1633</v>
      </c>
      <c r="P680" s="85"/>
      <c r="Q680" s="85"/>
      <c r="R680" s="85"/>
      <c r="S680" s="85"/>
      <c r="T680" s="85"/>
      <c r="U680" s="3" t="s">
        <v>1634</v>
      </c>
      <c r="V680" s="60" t="s">
        <v>1635</v>
      </c>
      <c r="W680" s="3" t="s">
        <v>1636</v>
      </c>
      <c r="X680" s="60" t="s">
        <v>1637</v>
      </c>
    </row>
    <row r="681" spans="1:24" s="60" customFormat="1" ht="15" customHeight="1">
      <c r="A681" s="49">
        <v>183</v>
      </c>
      <c r="B681" s="49" t="s">
        <v>304</v>
      </c>
      <c r="C681" s="50" t="s">
        <v>209</v>
      </c>
      <c r="D681" s="51" t="s">
        <v>1548</v>
      </c>
      <c r="E681" s="63" t="s">
        <v>1549</v>
      </c>
      <c r="F681" s="52" t="s">
        <v>801</v>
      </c>
      <c r="G681" s="51" t="s">
        <v>1520</v>
      </c>
      <c r="H681" s="65"/>
      <c r="I681" s="42" t="s">
        <v>379</v>
      </c>
      <c r="J681" s="51" t="s">
        <v>1521</v>
      </c>
      <c r="K681" s="51"/>
      <c r="L681" s="56" t="s">
        <v>1445</v>
      </c>
      <c r="M681" s="51" t="s">
        <v>1550</v>
      </c>
      <c r="N681" s="27"/>
      <c r="O681" s="73" t="s">
        <v>1523</v>
      </c>
      <c r="P681" s="28"/>
      <c r="Q681" s="28"/>
      <c r="R681" s="28"/>
      <c r="S681" s="28" t="s">
        <v>13</v>
      </c>
      <c r="T681" s="28"/>
      <c r="U681" s="1" t="s">
        <v>1524</v>
      </c>
      <c r="V681" s="60" t="s">
        <v>1551</v>
      </c>
    </row>
    <row r="682" spans="1:24" s="60" customFormat="1" ht="15" customHeight="1">
      <c r="A682" s="49">
        <v>183</v>
      </c>
      <c r="B682" s="49" t="s">
        <v>304</v>
      </c>
      <c r="C682" s="50" t="s">
        <v>209</v>
      </c>
      <c r="D682" s="51" t="s">
        <v>1548</v>
      </c>
      <c r="E682" s="67" t="s">
        <v>1552</v>
      </c>
      <c r="F682" s="52" t="s">
        <v>801</v>
      </c>
      <c r="G682" s="51" t="s">
        <v>1553</v>
      </c>
      <c r="H682" s="65"/>
      <c r="I682" s="42" t="s">
        <v>416</v>
      </c>
      <c r="J682" s="51" t="s">
        <v>1554</v>
      </c>
      <c r="K682" s="51"/>
      <c r="L682" s="56" t="s">
        <v>638</v>
      </c>
      <c r="M682" s="51" t="s">
        <v>1555</v>
      </c>
      <c r="N682" s="27"/>
      <c r="O682" s="73" t="s">
        <v>1523</v>
      </c>
      <c r="P682" s="28"/>
      <c r="Q682" s="28"/>
      <c r="R682" s="28"/>
      <c r="S682" s="28"/>
      <c r="T682" s="28"/>
      <c r="U682" s="1" t="s">
        <v>1524</v>
      </c>
      <c r="V682" s="60" t="s">
        <v>1551</v>
      </c>
    </row>
    <row r="683" spans="1:24" s="60" customFormat="1" ht="15" customHeight="1">
      <c r="A683" s="49">
        <v>183</v>
      </c>
      <c r="B683" s="49" t="s">
        <v>304</v>
      </c>
      <c r="C683" s="50" t="s">
        <v>209</v>
      </c>
      <c r="D683" s="63" t="s">
        <v>1548</v>
      </c>
      <c r="E683" s="51" t="s">
        <v>1557</v>
      </c>
      <c r="F683" s="52" t="s">
        <v>1445</v>
      </c>
      <c r="G683" s="51" t="s">
        <v>1558</v>
      </c>
      <c r="H683" s="65"/>
      <c r="I683" s="42" t="s">
        <v>377</v>
      </c>
      <c r="J683" s="51" t="s">
        <v>1559</v>
      </c>
      <c r="K683" s="51"/>
      <c r="L683" s="56" t="s">
        <v>638</v>
      </c>
      <c r="M683" s="51" t="s">
        <v>1560</v>
      </c>
      <c r="N683" s="27"/>
      <c r="O683" s="73" t="s">
        <v>1561</v>
      </c>
      <c r="P683" s="28"/>
      <c r="Q683" s="28"/>
      <c r="R683" s="28"/>
      <c r="S683" s="28"/>
      <c r="T683" s="28"/>
      <c r="U683" s="1" t="s">
        <v>1524</v>
      </c>
      <c r="V683" s="60" t="s">
        <v>1556</v>
      </c>
    </row>
    <row r="684" spans="1:24" s="60" customFormat="1" ht="15" customHeight="1">
      <c r="A684" s="49">
        <v>183</v>
      </c>
      <c r="B684" s="49" t="s">
        <v>304</v>
      </c>
      <c r="C684" s="50" t="s">
        <v>209</v>
      </c>
      <c r="D684" s="63" t="s">
        <v>1548</v>
      </c>
      <c r="E684" s="67" t="s">
        <v>1563</v>
      </c>
      <c r="F684" s="52" t="s">
        <v>638</v>
      </c>
      <c r="G684" s="51" t="s">
        <v>1564</v>
      </c>
      <c r="H684" s="65"/>
      <c r="I684" s="42" t="s">
        <v>416</v>
      </c>
      <c r="J684" s="51" t="s">
        <v>1565</v>
      </c>
      <c r="K684" s="51"/>
      <c r="L684" s="56" t="s">
        <v>638</v>
      </c>
      <c r="M684" s="51" t="s">
        <v>1566</v>
      </c>
      <c r="N684" s="27"/>
      <c r="O684" s="73" t="s">
        <v>1523</v>
      </c>
      <c r="P684" s="28"/>
      <c r="Q684" s="28"/>
      <c r="R684" s="28"/>
      <c r="S684" s="28"/>
      <c r="T684" s="28"/>
      <c r="U684" s="1" t="s">
        <v>1524</v>
      </c>
      <c r="V684" s="60" t="s">
        <v>1562</v>
      </c>
    </row>
    <row r="685" spans="1:24" s="60" customFormat="1" ht="15" customHeight="1">
      <c r="A685" s="49">
        <v>183</v>
      </c>
      <c r="B685" s="49" t="s">
        <v>304</v>
      </c>
      <c r="C685" s="50" t="s">
        <v>209</v>
      </c>
      <c r="D685" s="63" t="s">
        <v>1638</v>
      </c>
      <c r="E685" s="51" t="s">
        <v>378</v>
      </c>
      <c r="F685" s="42" t="s">
        <v>405</v>
      </c>
      <c r="G685" s="51" t="s">
        <v>1639</v>
      </c>
      <c r="H685" s="65"/>
      <c r="I685" s="42" t="s">
        <v>377</v>
      </c>
      <c r="J685" s="51" t="s">
        <v>1640</v>
      </c>
      <c r="K685" s="51"/>
      <c r="L685" s="56" t="s">
        <v>416</v>
      </c>
      <c r="M685" s="51" t="s">
        <v>1641</v>
      </c>
      <c r="N685" s="27"/>
      <c r="P685" s="28"/>
      <c r="Q685" s="28"/>
      <c r="R685" s="28"/>
      <c r="S685" s="28" t="s">
        <v>13</v>
      </c>
      <c r="T685" s="28" t="s">
        <v>13</v>
      </c>
      <c r="U685" s="3" t="s">
        <v>1642</v>
      </c>
      <c r="V685" s="60" t="s">
        <v>1643</v>
      </c>
      <c r="W685" s="3" t="s">
        <v>1644</v>
      </c>
      <c r="X685" s="60" t="s">
        <v>1645</v>
      </c>
    </row>
    <row r="686" spans="1:24" s="60" customFormat="1" ht="15" customHeight="1">
      <c r="A686" s="49">
        <v>184</v>
      </c>
      <c r="B686" s="49" t="s">
        <v>305</v>
      </c>
      <c r="C686" s="50" t="s">
        <v>205</v>
      </c>
      <c r="D686" s="63" t="s">
        <v>1630</v>
      </c>
      <c r="E686" s="51" t="s">
        <v>378</v>
      </c>
      <c r="F686" s="128" t="s">
        <v>379</v>
      </c>
      <c r="G686" s="51" t="s">
        <v>1631</v>
      </c>
      <c r="H686" s="67"/>
      <c r="I686" s="93" t="s">
        <v>416</v>
      </c>
      <c r="J686" s="51" t="s">
        <v>1632</v>
      </c>
      <c r="K686" s="51"/>
      <c r="L686" s="94" t="s">
        <v>416</v>
      </c>
      <c r="M686" s="51" t="s">
        <v>1633</v>
      </c>
      <c r="P686" s="85"/>
      <c r="Q686" s="85"/>
      <c r="R686" s="85"/>
      <c r="S686" s="85"/>
      <c r="T686" s="85"/>
      <c r="U686" s="3" t="s">
        <v>1634</v>
      </c>
      <c r="V686" s="60" t="s">
        <v>1635</v>
      </c>
      <c r="W686" s="3" t="s">
        <v>1636</v>
      </c>
      <c r="X686" s="60" t="s">
        <v>1637</v>
      </c>
    </row>
    <row r="687" spans="1:24" s="60" customFormat="1" ht="15" customHeight="1">
      <c r="A687" s="49">
        <v>184</v>
      </c>
      <c r="B687" s="49" t="s">
        <v>305</v>
      </c>
      <c r="C687" s="50" t="s">
        <v>205</v>
      </c>
      <c r="D687" s="63" t="s">
        <v>1548</v>
      </c>
      <c r="E687" s="63" t="s">
        <v>1549</v>
      </c>
      <c r="F687" s="52" t="s">
        <v>801</v>
      </c>
      <c r="G687" s="51" t="s">
        <v>1520</v>
      </c>
      <c r="H687" s="65"/>
      <c r="I687" s="42" t="s">
        <v>379</v>
      </c>
      <c r="J687" s="51" t="s">
        <v>1521</v>
      </c>
      <c r="K687" s="51"/>
      <c r="L687" s="56" t="s">
        <v>1445</v>
      </c>
      <c r="M687" s="51" t="s">
        <v>1550</v>
      </c>
      <c r="N687" s="27"/>
      <c r="O687" s="73" t="s">
        <v>1523</v>
      </c>
      <c r="P687" s="28"/>
      <c r="Q687" s="28"/>
      <c r="R687" s="28"/>
      <c r="S687" s="28"/>
      <c r="T687" s="28"/>
      <c r="U687" s="1" t="s">
        <v>1524</v>
      </c>
      <c r="V687" s="60" t="s">
        <v>1551</v>
      </c>
    </row>
    <row r="688" spans="1:24" s="60" customFormat="1" ht="15" customHeight="1">
      <c r="A688" s="49">
        <v>184</v>
      </c>
      <c r="B688" s="49" t="s">
        <v>305</v>
      </c>
      <c r="C688" s="50" t="s">
        <v>205</v>
      </c>
      <c r="D688" s="63" t="s">
        <v>1548</v>
      </c>
      <c r="E688" s="67" t="s">
        <v>1552</v>
      </c>
      <c r="F688" s="52" t="s">
        <v>801</v>
      </c>
      <c r="G688" s="51" t="s">
        <v>1553</v>
      </c>
      <c r="H688" s="65"/>
      <c r="I688" s="42" t="s">
        <v>416</v>
      </c>
      <c r="J688" s="51" t="s">
        <v>1554</v>
      </c>
      <c r="K688" s="51"/>
      <c r="L688" s="56" t="s">
        <v>638</v>
      </c>
      <c r="M688" s="51" t="s">
        <v>1555</v>
      </c>
      <c r="N688" s="27"/>
      <c r="O688" s="73" t="s">
        <v>1523</v>
      </c>
      <c r="P688" s="28"/>
      <c r="Q688" s="28"/>
      <c r="R688" s="28"/>
      <c r="S688" s="28"/>
      <c r="T688" s="28"/>
      <c r="U688" s="1" t="s">
        <v>1524</v>
      </c>
      <c r="V688" s="60" t="s">
        <v>1556</v>
      </c>
    </row>
    <row r="689" spans="1:24" s="60" customFormat="1" ht="15" customHeight="1">
      <c r="A689" s="49">
        <v>184</v>
      </c>
      <c r="B689" s="49" t="s">
        <v>305</v>
      </c>
      <c r="C689" s="50" t="s">
        <v>205</v>
      </c>
      <c r="D689" s="63" t="s">
        <v>1548</v>
      </c>
      <c r="E689" s="51" t="s">
        <v>1557</v>
      </c>
      <c r="F689" s="52" t="s">
        <v>1445</v>
      </c>
      <c r="G689" s="51" t="s">
        <v>1558</v>
      </c>
      <c r="H689" s="65"/>
      <c r="I689" s="42" t="s">
        <v>377</v>
      </c>
      <c r="J689" s="51" t="s">
        <v>1559</v>
      </c>
      <c r="K689" s="51"/>
      <c r="L689" s="56" t="s">
        <v>638</v>
      </c>
      <c r="M689" s="51" t="s">
        <v>1560</v>
      </c>
      <c r="N689" s="27"/>
      <c r="O689" s="73" t="s">
        <v>1561</v>
      </c>
      <c r="P689" s="28"/>
      <c r="Q689" s="28"/>
      <c r="R689" s="28"/>
      <c r="S689" s="28"/>
      <c r="T689" s="28"/>
      <c r="U689" s="1" t="s">
        <v>1524</v>
      </c>
      <c r="V689" s="60" t="s">
        <v>1562</v>
      </c>
    </row>
    <row r="690" spans="1:24" s="60" customFormat="1" ht="15" customHeight="1">
      <c r="A690" s="49">
        <v>184</v>
      </c>
      <c r="B690" s="49" t="s">
        <v>305</v>
      </c>
      <c r="C690" s="50" t="s">
        <v>205</v>
      </c>
      <c r="D690" s="63" t="s">
        <v>1548</v>
      </c>
      <c r="E690" s="67" t="s">
        <v>1563</v>
      </c>
      <c r="F690" s="52" t="s">
        <v>638</v>
      </c>
      <c r="G690" s="51" t="s">
        <v>1564</v>
      </c>
      <c r="H690" s="65"/>
      <c r="I690" s="42" t="s">
        <v>416</v>
      </c>
      <c r="J690" s="51" t="s">
        <v>1565</v>
      </c>
      <c r="K690" s="51"/>
      <c r="L690" s="56" t="s">
        <v>638</v>
      </c>
      <c r="M690" s="51" t="s">
        <v>1566</v>
      </c>
      <c r="N690" s="27"/>
      <c r="O690" s="73" t="s">
        <v>1523</v>
      </c>
      <c r="P690" s="28"/>
      <c r="Q690" s="28"/>
      <c r="R690" s="28"/>
      <c r="S690" s="28"/>
      <c r="T690" s="28"/>
      <c r="U690" s="1" t="s">
        <v>1524</v>
      </c>
      <c r="V690" s="60" t="s">
        <v>1567</v>
      </c>
    </row>
    <row r="691" spans="1:24" s="60" customFormat="1" ht="15" customHeight="1">
      <c r="A691" s="49">
        <v>185</v>
      </c>
      <c r="B691" s="49" t="s">
        <v>306</v>
      </c>
      <c r="C691" s="50" t="s">
        <v>205</v>
      </c>
      <c r="D691" s="63" t="s">
        <v>1646</v>
      </c>
      <c r="E691" s="51" t="s">
        <v>378</v>
      </c>
      <c r="F691" s="42" t="s">
        <v>405</v>
      </c>
      <c r="G691" s="51" t="s">
        <v>1647</v>
      </c>
      <c r="H691" s="65"/>
      <c r="I691" s="42" t="s">
        <v>405</v>
      </c>
      <c r="J691" s="51" t="s">
        <v>1648</v>
      </c>
      <c r="K691" s="51"/>
      <c r="L691" s="56" t="s">
        <v>377</v>
      </c>
      <c r="M691" s="51" t="s">
        <v>1649</v>
      </c>
      <c r="N691" s="27"/>
      <c r="P691" s="28"/>
      <c r="Q691" s="28"/>
      <c r="R691" s="28"/>
      <c r="S691" s="28" t="s">
        <v>13</v>
      </c>
      <c r="T691" s="28"/>
      <c r="U691" s="1" t="s">
        <v>1650</v>
      </c>
      <c r="V691" s="60" t="s">
        <v>1651</v>
      </c>
      <c r="W691" s="1" t="s">
        <v>1652</v>
      </c>
      <c r="X691" s="60" t="s">
        <v>1653</v>
      </c>
    </row>
    <row r="692" spans="1:24" s="60" customFormat="1" ht="15" customHeight="1">
      <c r="A692" s="49">
        <v>185</v>
      </c>
      <c r="B692" s="49" t="s">
        <v>306</v>
      </c>
      <c r="C692" s="50" t="s">
        <v>205</v>
      </c>
      <c r="D692" s="63" t="s">
        <v>1548</v>
      </c>
      <c r="E692" s="63" t="s">
        <v>1549</v>
      </c>
      <c r="F692" s="52" t="s">
        <v>801</v>
      </c>
      <c r="G692" s="51" t="s">
        <v>1520</v>
      </c>
      <c r="H692" s="65"/>
      <c r="I692" s="42" t="s">
        <v>379</v>
      </c>
      <c r="J692" s="51" t="s">
        <v>1521</v>
      </c>
      <c r="K692" s="51"/>
      <c r="L692" s="56" t="s">
        <v>1445</v>
      </c>
      <c r="M692" s="51" t="s">
        <v>1550</v>
      </c>
      <c r="N692" s="27"/>
      <c r="O692" s="73" t="s">
        <v>1523</v>
      </c>
      <c r="P692" s="28"/>
      <c r="Q692" s="28"/>
      <c r="R692" s="28"/>
      <c r="S692" s="28"/>
      <c r="T692" s="28"/>
      <c r="U692" s="1" t="s">
        <v>1524</v>
      </c>
      <c r="V692" s="60" t="s">
        <v>1551</v>
      </c>
    </row>
    <row r="693" spans="1:24" s="60" customFormat="1" ht="15" customHeight="1">
      <c r="A693" s="49">
        <v>185</v>
      </c>
      <c r="B693" s="49" t="s">
        <v>306</v>
      </c>
      <c r="C693" s="50" t="s">
        <v>205</v>
      </c>
      <c r="D693" s="63" t="s">
        <v>1548</v>
      </c>
      <c r="E693" s="67" t="s">
        <v>1552</v>
      </c>
      <c r="F693" s="52" t="s">
        <v>801</v>
      </c>
      <c r="G693" s="51" t="s">
        <v>1553</v>
      </c>
      <c r="H693" s="65"/>
      <c r="I693" s="42" t="s">
        <v>416</v>
      </c>
      <c r="J693" s="51" t="s">
        <v>1554</v>
      </c>
      <c r="K693" s="51"/>
      <c r="L693" s="56" t="s">
        <v>638</v>
      </c>
      <c r="M693" s="51" t="s">
        <v>1555</v>
      </c>
      <c r="N693" s="27"/>
      <c r="O693" s="73" t="s">
        <v>1523</v>
      </c>
      <c r="P693" s="28"/>
      <c r="Q693" s="28"/>
      <c r="R693" s="28"/>
      <c r="S693" s="28"/>
      <c r="T693" s="28"/>
      <c r="U693" s="1" t="s">
        <v>1524</v>
      </c>
      <c r="V693" s="60" t="s">
        <v>1556</v>
      </c>
    </row>
    <row r="694" spans="1:24" s="60" customFormat="1" ht="15" customHeight="1">
      <c r="A694" s="49">
        <v>185</v>
      </c>
      <c r="B694" s="49" t="s">
        <v>306</v>
      </c>
      <c r="C694" s="50" t="s">
        <v>205</v>
      </c>
      <c r="D694" s="63" t="s">
        <v>1548</v>
      </c>
      <c r="E694" s="51" t="s">
        <v>1557</v>
      </c>
      <c r="F694" s="52" t="s">
        <v>1445</v>
      </c>
      <c r="G694" s="51" t="s">
        <v>1558</v>
      </c>
      <c r="H694" s="65"/>
      <c r="I694" s="42" t="s">
        <v>377</v>
      </c>
      <c r="J694" s="51" t="s">
        <v>1559</v>
      </c>
      <c r="K694" s="51"/>
      <c r="L694" s="56" t="s">
        <v>638</v>
      </c>
      <c r="M694" s="51" t="s">
        <v>1560</v>
      </c>
      <c r="N694" s="27"/>
      <c r="O694" s="73" t="s">
        <v>1561</v>
      </c>
      <c r="P694" s="28"/>
      <c r="Q694" s="28"/>
      <c r="R694" s="28"/>
      <c r="S694" s="28"/>
      <c r="T694" s="28"/>
      <c r="U694" s="1" t="s">
        <v>1524</v>
      </c>
      <c r="V694" s="60" t="s">
        <v>1562</v>
      </c>
    </row>
    <row r="695" spans="1:24" s="60" customFormat="1" ht="15" customHeight="1">
      <c r="A695" s="49">
        <v>185</v>
      </c>
      <c r="B695" s="49" t="s">
        <v>306</v>
      </c>
      <c r="C695" s="50" t="s">
        <v>205</v>
      </c>
      <c r="D695" s="63" t="s">
        <v>1548</v>
      </c>
      <c r="E695" s="67" t="s">
        <v>1563</v>
      </c>
      <c r="F695" s="52" t="s">
        <v>638</v>
      </c>
      <c r="G695" s="51" t="s">
        <v>1564</v>
      </c>
      <c r="H695" s="65"/>
      <c r="I695" s="42" t="s">
        <v>416</v>
      </c>
      <c r="J695" s="51" t="s">
        <v>1565</v>
      </c>
      <c r="K695" s="51"/>
      <c r="L695" s="56" t="s">
        <v>638</v>
      </c>
      <c r="M695" s="51" t="s">
        <v>1566</v>
      </c>
      <c r="N695" s="27"/>
      <c r="O695" s="73" t="s">
        <v>1523</v>
      </c>
      <c r="P695" s="28"/>
      <c r="Q695" s="28"/>
      <c r="R695" s="28"/>
      <c r="S695" s="28"/>
      <c r="T695" s="28"/>
      <c r="U695" s="1" t="s">
        <v>1524</v>
      </c>
      <c r="V695" s="60" t="s">
        <v>1567</v>
      </c>
    </row>
    <row r="696" spans="1:24" s="60" customFormat="1" ht="15" customHeight="1">
      <c r="A696" s="49">
        <v>186</v>
      </c>
      <c r="B696" s="49" t="s">
        <v>307</v>
      </c>
      <c r="C696" s="50" t="s">
        <v>205</v>
      </c>
      <c r="D696" s="63" t="s">
        <v>1519</v>
      </c>
      <c r="E696" s="51" t="s">
        <v>378</v>
      </c>
      <c r="F696" s="52" t="s">
        <v>801</v>
      </c>
      <c r="G696" s="51" t="s">
        <v>1520</v>
      </c>
      <c r="H696" s="65"/>
      <c r="I696" s="42" t="s">
        <v>379</v>
      </c>
      <c r="J696" s="51" t="s">
        <v>1521</v>
      </c>
      <c r="K696" s="51"/>
      <c r="L696" s="56" t="s">
        <v>1445</v>
      </c>
      <c r="M696" s="51" t="s">
        <v>1522</v>
      </c>
      <c r="N696" s="27"/>
      <c r="O696" s="73" t="s">
        <v>1523</v>
      </c>
      <c r="P696" s="28"/>
      <c r="Q696" s="28"/>
      <c r="R696" s="28"/>
      <c r="S696" s="28" t="s">
        <v>13</v>
      </c>
      <c r="T696" s="28"/>
      <c r="U696" s="1" t="s">
        <v>1524</v>
      </c>
      <c r="V696" s="60" t="s">
        <v>1551</v>
      </c>
    </row>
    <row r="697" spans="1:24" s="60" customFormat="1" ht="15" customHeight="1">
      <c r="A697" s="49">
        <v>186</v>
      </c>
      <c r="B697" s="49" t="s">
        <v>307</v>
      </c>
      <c r="C697" s="50" t="s">
        <v>205</v>
      </c>
      <c r="D697" s="63" t="s">
        <v>1548</v>
      </c>
      <c r="E697" s="63" t="s">
        <v>1549</v>
      </c>
      <c r="F697" s="52" t="s">
        <v>801</v>
      </c>
      <c r="G697" s="51" t="s">
        <v>1520</v>
      </c>
      <c r="H697" s="65"/>
      <c r="I697" s="42" t="s">
        <v>379</v>
      </c>
      <c r="J697" s="51" t="s">
        <v>1521</v>
      </c>
      <c r="K697" s="51"/>
      <c r="L697" s="56" t="s">
        <v>1445</v>
      </c>
      <c r="M697" s="51" t="s">
        <v>1550</v>
      </c>
      <c r="N697" s="27"/>
      <c r="O697" s="73" t="s">
        <v>1523</v>
      </c>
      <c r="P697" s="28"/>
      <c r="Q697" s="28"/>
      <c r="R697" s="28"/>
      <c r="S697" s="28"/>
      <c r="T697" s="28"/>
      <c r="U697" s="1" t="s">
        <v>1524</v>
      </c>
      <c r="V697" s="60" t="s">
        <v>1551</v>
      </c>
    </row>
    <row r="698" spans="1:24" s="60" customFormat="1" ht="15" customHeight="1">
      <c r="A698" s="49">
        <v>186</v>
      </c>
      <c r="B698" s="49" t="s">
        <v>307</v>
      </c>
      <c r="C698" s="50" t="s">
        <v>205</v>
      </c>
      <c r="D698" s="63" t="s">
        <v>1548</v>
      </c>
      <c r="E698" s="67" t="s">
        <v>1552</v>
      </c>
      <c r="F698" s="52" t="s">
        <v>801</v>
      </c>
      <c r="G698" s="51" t="s">
        <v>1553</v>
      </c>
      <c r="H698" s="65"/>
      <c r="I698" s="42" t="s">
        <v>416</v>
      </c>
      <c r="J698" s="51" t="s">
        <v>1554</v>
      </c>
      <c r="K698" s="51"/>
      <c r="L698" s="56" t="s">
        <v>638</v>
      </c>
      <c r="M698" s="51" t="s">
        <v>1555</v>
      </c>
      <c r="N698" s="27"/>
      <c r="O698" s="73" t="s">
        <v>1523</v>
      </c>
      <c r="P698" s="28"/>
      <c r="Q698" s="28"/>
      <c r="R698" s="28"/>
      <c r="S698" s="28"/>
      <c r="T698" s="28"/>
      <c r="U698" s="1" t="s">
        <v>1524</v>
      </c>
      <c r="V698" s="60" t="s">
        <v>1556</v>
      </c>
    </row>
    <row r="699" spans="1:24" s="60" customFormat="1" ht="15" customHeight="1">
      <c r="A699" s="49">
        <v>186</v>
      </c>
      <c r="B699" s="49" t="s">
        <v>307</v>
      </c>
      <c r="C699" s="50" t="s">
        <v>205</v>
      </c>
      <c r="D699" s="63" t="s">
        <v>1548</v>
      </c>
      <c r="E699" s="51" t="s">
        <v>1557</v>
      </c>
      <c r="F699" s="52" t="s">
        <v>1445</v>
      </c>
      <c r="G699" s="51" t="s">
        <v>1558</v>
      </c>
      <c r="H699" s="65"/>
      <c r="I699" s="42" t="s">
        <v>377</v>
      </c>
      <c r="J699" s="51" t="s">
        <v>1559</v>
      </c>
      <c r="K699" s="51"/>
      <c r="L699" s="56" t="s">
        <v>638</v>
      </c>
      <c r="M699" s="51" t="s">
        <v>1560</v>
      </c>
      <c r="N699" s="27"/>
      <c r="O699" s="73" t="s">
        <v>1561</v>
      </c>
      <c r="P699" s="28"/>
      <c r="Q699" s="28"/>
      <c r="R699" s="28"/>
      <c r="S699" s="28"/>
      <c r="T699" s="28"/>
      <c r="U699" s="1" t="s">
        <v>1524</v>
      </c>
      <c r="V699" s="60" t="s">
        <v>1562</v>
      </c>
    </row>
    <row r="700" spans="1:24" s="60" customFormat="1" ht="15" customHeight="1">
      <c r="A700" s="49">
        <v>186</v>
      </c>
      <c r="B700" s="49" t="s">
        <v>307</v>
      </c>
      <c r="C700" s="50" t="s">
        <v>205</v>
      </c>
      <c r="D700" s="63" t="s">
        <v>1548</v>
      </c>
      <c r="E700" s="67" t="s">
        <v>1563</v>
      </c>
      <c r="F700" s="52" t="s">
        <v>638</v>
      </c>
      <c r="G700" s="51" t="s">
        <v>1564</v>
      </c>
      <c r="H700" s="65"/>
      <c r="I700" s="42" t="s">
        <v>416</v>
      </c>
      <c r="J700" s="51" t="s">
        <v>1565</v>
      </c>
      <c r="K700" s="51"/>
      <c r="L700" s="56" t="s">
        <v>638</v>
      </c>
      <c r="M700" s="51" t="s">
        <v>1566</v>
      </c>
      <c r="N700" s="27"/>
      <c r="O700" s="73" t="s">
        <v>1523</v>
      </c>
      <c r="P700" s="28"/>
      <c r="Q700" s="28"/>
      <c r="R700" s="28"/>
      <c r="S700" s="28"/>
      <c r="T700" s="28"/>
      <c r="U700" s="1" t="s">
        <v>1524</v>
      </c>
      <c r="V700" s="60" t="s">
        <v>1567</v>
      </c>
    </row>
    <row r="701" spans="1:24" s="60" customFormat="1" ht="15" customHeight="1">
      <c r="A701" s="49">
        <v>186</v>
      </c>
      <c r="B701" s="49" t="s">
        <v>307</v>
      </c>
      <c r="C701" s="50" t="s">
        <v>205</v>
      </c>
      <c r="D701" s="63" t="s">
        <v>1646</v>
      </c>
      <c r="E701" s="51" t="s">
        <v>378</v>
      </c>
      <c r="F701" s="42" t="s">
        <v>405</v>
      </c>
      <c r="G701" s="51" t="s">
        <v>1647</v>
      </c>
      <c r="H701" s="65"/>
      <c r="I701" s="42" t="s">
        <v>405</v>
      </c>
      <c r="J701" s="51" t="s">
        <v>1648</v>
      </c>
      <c r="K701" s="51"/>
      <c r="L701" s="56" t="s">
        <v>377</v>
      </c>
      <c r="M701" s="51" t="s">
        <v>1649</v>
      </c>
      <c r="N701" s="27"/>
      <c r="P701" s="28"/>
      <c r="Q701" s="28"/>
      <c r="R701" s="28"/>
      <c r="S701" s="28" t="s">
        <v>13</v>
      </c>
      <c r="T701" s="28"/>
      <c r="U701" s="1" t="s">
        <v>1650</v>
      </c>
      <c r="V701" s="60" t="s">
        <v>1651</v>
      </c>
      <c r="W701" s="1" t="s">
        <v>1652</v>
      </c>
      <c r="X701" s="60" t="s">
        <v>1653</v>
      </c>
    </row>
    <row r="702" spans="1:24" s="60" customFormat="1" ht="15" customHeight="1">
      <c r="A702" s="49">
        <v>186</v>
      </c>
      <c r="B702" s="49" t="s">
        <v>307</v>
      </c>
      <c r="C702" s="50" t="s">
        <v>205</v>
      </c>
      <c r="D702" s="63" t="s">
        <v>1630</v>
      </c>
      <c r="E702" s="51" t="s">
        <v>378</v>
      </c>
      <c r="F702" s="128" t="s">
        <v>379</v>
      </c>
      <c r="G702" s="51" t="s">
        <v>1631</v>
      </c>
      <c r="H702" s="67"/>
      <c r="I702" s="93" t="s">
        <v>416</v>
      </c>
      <c r="J702" s="51" t="s">
        <v>1632</v>
      </c>
      <c r="K702" s="51"/>
      <c r="L702" s="94" t="s">
        <v>416</v>
      </c>
      <c r="M702" s="51" t="s">
        <v>1633</v>
      </c>
      <c r="P702" s="85"/>
      <c r="Q702" s="85"/>
      <c r="R702" s="85"/>
      <c r="S702" s="85"/>
      <c r="T702" s="85"/>
      <c r="U702" s="3" t="s">
        <v>1634</v>
      </c>
      <c r="V702" s="60" t="s">
        <v>1635</v>
      </c>
      <c r="W702" s="3" t="s">
        <v>1636</v>
      </c>
      <c r="X702" s="60" t="s">
        <v>1637</v>
      </c>
    </row>
    <row r="703" spans="1:24" s="60" customFormat="1" ht="15" customHeight="1">
      <c r="A703" s="49">
        <v>187</v>
      </c>
      <c r="B703" s="49" t="s">
        <v>308</v>
      </c>
      <c r="C703" s="50" t="s">
        <v>205</v>
      </c>
      <c r="D703" s="63" t="s">
        <v>1519</v>
      </c>
      <c r="E703" s="51" t="s">
        <v>378</v>
      </c>
      <c r="F703" s="52" t="s">
        <v>801</v>
      </c>
      <c r="G703" s="51" t="s">
        <v>1520</v>
      </c>
      <c r="H703" s="65"/>
      <c r="I703" s="42" t="s">
        <v>379</v>
      </c>
      <c r="J703" s="51" t="s">
        <v>1521</v>
      </c>
      <c r="K703" s="51"/>
      <c r="L703" s="56" t="s">
        <v>1445</v>
      </c>
      <c r="M703" s="51" t="s">
        <v>1522</v>
      </c>
      <c r="N703" s="27"/>
      <c r="O703" s="73" t="s">
        <v>1523</v>
      </c>
      <c r="P703" s="28"/>
      <c r="Q703" s="28"/>
      <c r="R703" s="28"/>
      <c r="S703" s="28" t="s">
        <v>13</v>
      </c>
      <c r="T703" s="28"/>
      <c r="U703" s="1" t="s">
        <v>1524</v>
      </c>
      <c r="V703" s="60" t="s">
        <v>1551</v>
      </c>
    </row>
    <row r="704" spans="1:24" s="60" customFormat="1" ht="15" customHeight="1">
      <c r="A704" s="49">
        <v>187</v>
      </c>
      <c r="B704" s="49" t="s">
        <v>308</v>
      </c>
      <c r="C704" s="50" t="s">
        <v>205</v>
      </c>
      <c r="D704" s="63" t="s">
        <v>1548</v>
      </c>
      <c r="E704" s="63" t="s">
        <v>1549</v>
      </c>
      <c r="F704" s="52" t="s">
        <v>801</v>
      </c>
      <c r="G704" s="51" t="s">
        <v>1520</v>
      </c>
      <c r="H704" s="65"/>
      <c r="I704" s="42" t="s">
        <v>379</v>
      </c>
      <c r="J704" s="51" t="s">
        <v>1521</v>
      </c>
      <c r="K704" s="51"/>
      <c r="L704" s="56" t="s">
        <v>1445</v>
      </c>
      <c r="M704" s="51" t="s">
        <v>1550</v>
      </c>
      <c r="N704" s="27"/>
      <c r="O704" s="73" t="s">
        <v>1523</v>
      </c>
      <c r="P704" s="28"/>
      <c r="Q704" s="28"/>
      <c r="R704" s="28"/>
      <c r="S704" s="28"/>
      <c r="T704" s="28"/>
      <c r="U704" s="1" t="s">
        <v>1524</v>
      </c>
      <c r="V704" s="60" t="s">
        <v>1551</v>
      </c>
    </row>
    <row r="705" spans="1:24" s="60" customFormat="1" ht="15" customHeight="1">
      <c r="A705" s="49">
        <v>187</v>
      </c>
      <c r="B705" s="49" t="s">
        <v>308</v>
      </c>
      <c r="C705" s="50" t="s">
        <v>205</v>
      </c>
      <c r="D705" s="63" t="s">
        <v>1548</v>
      </c>
      <c r="E705" s="67" t="s">
        <v>1552</v>
      </c>
      <c r="F705" s="52" t="s">
        <v>801</v>
      </c>
      <c r="G705" s="51" t="s">
        <v>1553</v>
      </c>
      <c r="H705" s="65"/>
      <c r="I705" s="42" t="s">
        <v>416</v>
      </c>
      <c r="J705" s="51" t="s">
        <v>1554</v>
      </c>
      <c r="K705" s="51"/>
      <c r="L705" s="56" t="s">
        <v>638</v>
      </c>
      <c r="M705" s="51" t="s">
        <v>1555</v>
      </c>
      <c r="N705" s="27"/>
      <c r="O705" s="73" t="s">
        <v>1523</v>
      </c>
      <c r="P705" s="28"/>
      <c r="Q705" s="28"/>
      <c r="R705" s="28"/>
      <c r="S705" s="28"/>
      <c r="T705" s="28"/>
      <c r="U705" s="1" t="s">
        <v>1524</v>
      </c>
      <c r="V705" s="60" t="s">
        <v>1556</v>
      </c>
    </row>
    <row r="706" spans="1:24" s="60" customFormat="1" ht="15" customHeight="1">
      <c r="A706" s="49">
        <v>187</v>
      </c>
      <c r="B706" s="49" t="s">
        <v>308</v>
      </c>
      <c r="C706" s="50" t="s">
        <v>205</v>
      </c>
      <c r="D706" s="63" t="s">
        <v>1548</v>
      </c>
      <c r="E706" s="51" t="s">
        <v>1557</v>
      </c>
      <c r="F706" s="52" t="s">
        <v>1445</v>
      </c>
      <c r="G706" s="51" t="s">
        <v>1558</v>
      </c>
      <c r="H706" s="65"/>
      <c r="I706" s="42" t="s">
        <v>377</v>
      </c>
      <c r="J706" s="51" t="s">
        <v>1559</v>
      </c>
      <c r="K706" s="51"/>
      <c r="L706" s="56" t="s">
        <v>638</v>
      </c>
      <c r="M706" s="51" t="s">
        <v>1560</v>
      </c>
      <c r="N706" s="27"/>
      <c r="O706" s="73" t="s">
        <v>1561</v>
      </c>
      <c r="P706" s="28"/>
      <c r="Q706" s="28"/>
      <c r="R706" s="28"/>
      <c r="S706" s="28"/>
      <c r="T706" s="28"/>
      <c r="U706" s="1" t="s">
        <v>1524</v>
      </c>
      <c r="V706" s="60" t="s">
        <v>1562</v>
      </c>
    </row>
    <row r="707" spans="1:24" s="60" customFormat="1" ht="15" customHeight="1">
      <c r="A707" s="49">
        <v>187</v>
      </c>
      <c r="B707" s="49" t="s">
        <v>308</v>
      </c>
      <c r="C707" s="50" t="s">
        <v>205</v>
      </c>
      <c r="D707" s="63" t="s">
        <v>1548</v>
      </c>
      <c r="E707" s="67" t="s">
        <v>1563</v>
      </c>
      <c r="F707" s="52" t="s">
        <v>638</v>
      </c>
      <c r="G707" s="51" t="s">
        <v>1564</v>
      </c>
      <c r="H707" s="65"/>
      <c r="I707" s="42" t="s">
        <v>416</v>
      </c>
      <c r="J707" s="51" t="s">
        <v>1565</v>
      </c>
      <c r="K707" s="51"/>
      <c r="L707" s="56" t="s">
        <v>638</v>
      </c>
      <c r="M707" s="51" t="s">
        <v>1566</v>
      </c>
      <c r="N707" s="27"/>
      <c r="O707" s="73" t="s">
        <v>1523</v>
      </c>
      <c r="P707" s="28"/>
      <c r="Q707" s="28"/>
      <c r="R707" s="28"/>
      <c r="S707" s="28"/>
      <c r="T707" s="28"/>
      <c r="U707" s="1" t="s">
        <v>1524</v>
      </c>
      <c r="V707" s="60" t="s">
        <v>1567</v>
      </c>
    </row>
    <row r="708" spans="1:24" s="60" customFormat="1" ht="15" customHeight="1">
      <c r="A708" s="49">
        <v>188</v>
      </c>
      <c r="B708" s="49" t="s">
        <v>309</v>
      </c>
      <c r="C708" s="50" t="s">
        <v>310</v>
      </c>
      <c r="D708" s="63" t="s">
        <v>1646</v>
      </c>
      <c r="E708" s="51" t="s">
        <v>378</v>
      </c>
      <c r="F708" s="42" t="s">
        <v>405</v>
      </c>
      <c r="G708" s="51" t="s">
        <v>1647</v>
      </c>
      <c r="H708" s="65"/>
      <c r="I708" s="42" t="s">
        <v>405</v>
      </c>
      <c r="J708" s="51" t="s">
        <v>1648</v>
      </c>
      <c r="K708" s="51"/>
      <c r="L708" s="56" t="s">
        <v>377</v>
      </c>
      <c r="M708" s="51" t="s">
        <v>1649</v>
      </c>
      <c r="N708" s="27"/>
      <c r="P708" s="28"/>
      <c r="Q708" s="28"/>
      <c r="R708" s="28"/>
      <c r="S708" s="28" t="s">
        <v>13</v>
      </c>
      <c r="T708" s="28"/>
      <c r="U708" s="1" t="s">
        <v>1650</v>
      </c>
      <c r="V708" s="60" t="s">
        <v>1651</v>
      </c>
      <c r="W708" s="1" t="s">
        <v>1652</v>
      </c>
      <c r="X708" s="60" t="s">
        <v>1653</v>
      </c>
    </row>
    <row r="709" spans="1:24" s="60" customFormat="1" ht="15" customHeight="1">
      <c r="A709" s="49">
        <v>188</v>
      </c>
      <c r="B709" s="49" t="s">
        <v>309</v>
      </c>
      <c r="C709" s="50" t="s">
        <v>310</v>
      </c>
      <c r="D709" s="63" t="s">
        <v>1548</v>
      </c>
      <c r="E709" s="63" t="s">
        <v>1549</v>
      </c>
      <c r="F709" s="52" t="s">
        <v>801</v>
      </c>
      <c r="G709" s="51" t="s">
        <v>1520</v>
      </c>
      <c r="H709" s="65"/>
      <c r="I709" s="42" t="s">
        <v>379</v>
      </c>
      <c r="J709" s="51" t="s">
        <v>1521</v>
      </c>
      <c r="K709" s="51"/>
      <c r="L709" s="56" t="s">
        <v>1445</v>
      </c>
      <c r="M709" s="51" t="s">
        <v>1550</v>
      </c>
      <c r="N709" s="27"/>
      <c r="O709" s="73" t="s">
        <v>1523</v>
      </c>
      <c r="P709" s="28"/>
      <c r="Q709" s="28"/>
      <c r="R709" s="28"/>
      <c r="S709" s="28"/>
      <c r="T709" s="28"/>
      <c r="U709" s="1" t="s">
        <v>1524</v>
      </c>
      <c r="V709" s="60" t="s">
        <v>1551</v>
      </c>
    </row>
    <row r="710" spans="1:24" s="60" customFormat="1" ht="15" customHeight="1">
      <c r="A710" s="49">
        <v>188</v>
      </c>
      <c r="B710" s="49" t="s">
        <v>309</v>
      </c>
      <c r="C710" s="50" t="s">
        <v>310</v>
      </c>
      <c r="D710" s="63" t="s">
        <v>1548</v>
      </c>
      <c r="E710" s="67" t="s">
        <v>1552</v>
      </c>
      <c r="F710" s="52" t="s">
        <v>801</v>
      </c>
      <c r="G710" s="51" t="s">
        <v>1553</v>
      </c>
      <c r="H710" s="65"/>
      <c r="I710" s="42" t="s">
        <v>416</v>
      </c>
      <c r="J710" s="51" t="s">
        <v>1554</v>
      </c>
      <c r="K710" s="51"/>
      <c r="L710" s="56" t="s">
        <v>638</v>
      </c>
      <c r="M710" s="51" t="s">
        <v>1555</v>
      </c>
      <c r="N710" s="27"/>
      <c r="O710" s="73" t="s">
        <v>1523</v>
      </c>
      <c r="P710" s="28"/>
      <c r="Q710" s="28"/>
      <c r="R710" s="28"/>
      <c r="S710" s="28"/>
      <c r="T710" s="28"/>
      <c r="U710" s="1" t="s">
        <v>1524</v>
      </c>
      <c r="V710" s="60" t="s">
        <v>1556</v>
      </c>
    </row>
    <row r="711" spans="1:24" s="60" customFormat="1" ht="15" customHeight="1">
      <c r="A711" s="49">
        <v>188</v>
      </c>
      <c r="B711" s="49" t="s">
        <v>309</v>
      </c>
      <c r="C711" s="50" t="s">
        <v>310</v>
      </c>
      <c r="D711" s="63" t="s">
        <v>1548</v>
      </c>
      <c r="E711" s="51" t="s">
        <v>1557</v>
      </c>
      <c r="F711" s="52" t="s">
        <v>1445</v>
      </c>
      <c r="G711" s="51" t="s">
        <v>1558</v>
      </c>
      <c r="H711" s="65"/>
      <c r="I711" s="42" t="s">
        <v>377</v>
      </c>
      <c r="J711" s="51" t="s">
        <v>1559</v>
      </c>
      <c r="K711" s="51"/>
      <c r="L711" s="56" t="s">
        <v>638</v>
      </c>
      <c r="M711" s="51" t="s">
        <v>1560</v>
      </c>
      <c r="N711" s="27"/>
      <c r="O711" s="73" t="s">
        <v>1561</v>
      </c>
      <c r="P711" s="28"/>
      <c r="Q711" s="28"/>
      <c r="R711" s="28"/>
      <c r="S711" s="28"/>
      <c r="T711" s="28"/>
      <c r="U711" s="1" t="s">
        <v>1524</v>
      </c>
      <c r="V711" s="60" t="s">
        <v>1562</v>
      </c>
    </row>
    <row r="712" spans="1:24" s="60" customFormat="1" ht="15" customHeight="1">
      <c r="A712" s="49">
        <v>188</v>
      </c>
      <c r="B712" s="49" t="s">
        <v>309</v>
      </c>
      <c r="C712" s="50" t="s">
        <v>310</v>
      </c>
      <c r="D712" s="63" t="s">
        <v>1548</v>
      </c>
      <c r="E712" s="67" t="s">
        <v>1563</v>
      </c>
      <c r="F712" s="52" t="s">
        <v>638</v>
      </c>
      <c r="G712" s="51" t="s">
        <v>1564</v>
      </c>
      <c r="H712" s="65"/>
      <c r="I712" s="42" t="s">
        <v>416</v>
      </c>
      <c r="J712" s="51" t="s">
        <v>1565</v>
      </c>
      <c r="K712" s="51"/>
      <c r="L712" s="56" t="s">
        <v>638</v>
      </c>
      <c r="M712" s="51" t="s">
        <v>1566</v>
      </c>
      <c r="N712" s="27"/>
      <c r="O712" s="73" t="s">
        <v>1523</v>
      </c>
      <c r="P712" s="28"/>
      <c r="Q712" s="28"/>
      <c r="R712" s="28"/>
      <c r="S712" s="28"/>
      <c r="T712" s="28"/>
      <c r="U712" s="1" t="s">
        <v>1524</v>
      </c>
      <c r="V712" s="60" t="s">
        <v>1567</v>
      </c>
    </row>
    <row r="713" spans="1:24" s="60" customFormat="1" ht="15" customHeight="1">
      <c r="A713" s="49">
        <v>189</v>
      </c>
      <c r="B713" s="49" t="s">
        <v>311</v>
      </c>
      <c r="C713" s="50" t="s">
        <v>255</v>
      </c>
      <c r="D713" s="63" t="s">
        <v>1646</v>
      </c>
      <c r="E713" s="51" t="s">
        <v>378</v>
      </c>
      <c r="F713" s="42" t="s">
        <v>405</v>
      </c>
      <c r="G713" s="51" t="s">
        <v>1647</v>
      </c>
      <c r="H713" s="65"/>
      <c r="I713" s="42" t="s">
        <v>405</v>
      </c>
      <c r="J713" s="51" t="s">
        <v>1648</v>
      </c>
      <c r="K713" s="51"/>
      <c r="L713" s="56" t="s">
        <v>377</v>
      </c>
      <c r="M713" s="51" t="s">
        <v>1649</v>
      </c>
      <c r="N713" s="27"/>
      <c r="P713" s="28"/>
      <c r="Q713" s="28"/>
      <c r="R713" s="28"/>
      <c r="S713" s="28" t="s">
        <v>13</v>
      </c>
      <c r="T713" s="28"/>
      <c r="U713" s="1" t="s">
        <v>1650</v>
      </c>
      <c r="V713" s="60" t="s">
        <v>1651</v>
      </c>
      <c r="W713" s="1" t="s">
        <v>1652</v>
      </c>
      <c r="X713" s="60" t="s">
        <v>1653</v>
      </c>
    </row>
    <row r="714" spans="1:24" s="60" customFormat="1" ht="15" customHeight="1">
      <c r="A714" s="49">
        <v>189</v>
      </c>
      <c r="B714" s="49" t="s">
        <v>311</v>
      </c>
      <c r="C714" s="50" t="s">
        <v>255</v>
      </c>
      <c r="D714" s="63" t="s">
        <v>1630</v>
      </c>
      <c r="E714" s="51" t="s">
        <v>378</v>
      </c>
      <c r="F714" s="128" t="s">
        <v>379</v>
      </c>
      <c r="G714" s="51" t="s">
        <v>1631</v>
      </c>
      <c r="H714" s="67"/>
      <c r="I714" s="93" t="s">
        <v>416</v>
      </c>
      <c r="J714" s="51" t="s">
        <v>1632</v>
      </c>
      <c r="K714" s="51"/>
      <c r="L714" s="94" t="s">
        <v>416</v>
      </c>
      <c r="M714" s="51" t="s">
        <v>1633</v>
      </c>
      <c r="P714" s="85"/>
      <c r="Q714" s="85"/>
      <c r="R714" s="85"/>
      <c r="S714" s="85"/>
      <c r="T714" s="85"/>
      <c r="U714" s="3" t="s">
        <v>1634</v>
      </c>
      <c r="V714" s="60" t="s">
        <v>1635</v>
      </c>
      <c r="W714" s="3" t="s">
        <v>1636</v>
      </c>
      <c r="X714" s="60" t="s">
        <v>1637</v>
      </c>
    </row>
    <row r="715" spans="1:24" s="60" customFormat="1" ht="15" customHeight="1">
      <c r="A715" s="49">
        <v>189</v>
      </c>
      <c r="B715" s="49" t="s">
        <v>311</v>
      </c>
      <c r="C715" s="50" t="s">
        <v>255</v>
      </c>
      <c r="D715" s="63" t="s">
        <v>1638</v>
      </c>
      <c r="E715" s="51" t="s">
        <v>378</v>
      </c>
      <c r="F715" s="42" t="s">
        <v>405</v>
      </c>
      <c r="G715" s="51" t="s">
        <v>1639</v>
      </c>
      <c r="H715" s="65"/>
      <c r="I715" s="42" t="s">
        <v>377</v>
      </c>
      <c r="J715" s="51" t="s">
        <v>1640</v>
      </c>
      <c r="K715" s="51"/>
      <c r="L715" s="56" t="s">
        <v>416</v>
      </c>
      <c r="M715" s="51" t="s">
        <v>1641</v>
      </c>
      <c r="N715" s="27"/>
      <c r="P715" s="28"/>
      <c r="Q715" s="28"/>
      <c r="R715" s="28"/>
      <c r="S715" s="28" t="s">
        <v>13</v>
      </c>
      <c r="T715" s="28" t="s">
        <v>13</v>
      </c>
      <c r="U715" s="3" t="s">
        <v>1642</v>
      </c>
      <c r="V715" s="60" t="s">
        <v>1643</v>
      </c>
      <c r="W715" s="3" t="s">
        <v>1644</v>
      </c>
      <c r="X715" s="60" t="s">
        <v>1645</v>
      </c>
    </row>
    <row r="716" spans="1:24" s="60" customFormat="1" ht="15" customHeight="1">
      <c r="A716" s="49">
        <v>190</v>
      </c>
      <c r="B716" s="49" t="s">
        <v>312</v>
      </c>
      <c r="C716" s="50" t="s">
        <v>205</v>
      </c>
      <c r="D716" s="63" t="s">
        <v>1548</v>
      </c>
      <c r="E716" s="63" t="s">
        <v>1549</v>
      </c>
      <c r="F716" s="52" t="s">
        <v>801</v>
      </c>
      <c r="G716" s="51" t="s">
        <v>1520</v>
      </c>
      <c r="H716" s="65"/>
      <c r="I716" s="42" t="s">
        <v>379</v>
      </c>
      <c r="J716" s="51" t="s">
        <v>1521</v>
      </c>
      <c r="K716" s="51"/>
      <c r="L716" s="56" t="s">
        <v>1445</v>
      </c>
      <c r="M716" s="51" t="s">
        <v>1550</v>
      </c>
      <c r="N716" s="27"/>
      <c r="O716" s="73" t="s">
        <v>1523</v>
      </c>
      <c r="P716" s="28"/>
      <c r="Q716" s="28"/>
      <c r="R716" s="28"/>
      <c r="S716" s="28" t="s">
        <v>13</v>
      </c>
      <c r="T716" s="28"/>
      <c r="U716" s="1" t="s">
        <v>1524</v>
      </c>
      <c r="V716" s="60" t="s">
        <v>1551</v>
      </c>
    </row>
    <row r="717" spans="1:24" s="60" customFormat="1" ht="15" customHeight="1">
      <c r="A717" s="49">
        <v>190</v>
      </c>
      <c r="B717" s="49" t="s">
        <v>312</v>
      </c>
      <c r="C717" s="50" t="s">
        <v>205</v>
      </c>
      <c r="D717" s="63" t="s">
        <v>1548</v>
      </c>
      <c r="E717" s="67" t="s">
        <v>1552</v>
      </c>
      <c r="F717" s="52" t="s">
        <v>801</v>
      </c>
      <c r="G717" s="51" t="s">
        <v>1553</v>
      </c>
      <c r="H717" s="65"/>
      <c r="I717" s="42" t="s">
        <v>416</v>
      </c>
      <c r="J717" s="51" t="s">
        <v>1554</v>
      </c>
      <c r="K717" s="51"/>
      <c r="L717" s="56" t="s">
        <v>638</v>
      </c>
      <c r="M717" s="51" t="s">
        <v>1555</v>
      </c>
      <c r="N717" s="27"/>
      <c r="O717" s="73" t="s">
        <v>1523</v>
      </c>
      <c r="P717" s="28"/>
      <c r="Q717" s="28"/>
      <c r="R717" s="28"/>
      <c r="S717" s="28"/>
      <c r="T717" s="28"/>
      <c r="U717" s="1" t="s">
        <v>1524</v>
      </c>
      <c r="V717" s="60" t="s">
        <v>1551</v>
      </c>
    </row>
    <row r="718" spans="1:24" s="60" customFormat="1" ht="15" customHeight="1">
      <c r="A718" s="49">
        <v>190</v>
      </c>
      <c r="B718" s="49" t="s">
        <v>312</v>
      </c>
      <c r="C718" s="50" t="s">
        <v>205</v>
      </c>
      <c r="D718" s="63" t="s">
        <v>1548</v>
      </c>
      <c r="E718" s="51" t="s">
        <v>1557</v>
      </c>
      <c r="F718" s="52" t="s">
        <v>1445</v>
      </c>
      <c r="G718" s="51" t="s">
        <v>1558</v>
      </c>
      <c r="H718" s="65"/>
      <c r="I718" s="42" t="s">
        <v>377</v>
      </c>
      <c r="J718" s="51" t="s">
        <v>1559</v>
      </c>
      <c r="K718" s="51"/>
      <c r="L718" s="56" t="s">
        <v>638</v>
      </c>
      <c r="M718" s="51" t="s">
        <v>1560</v>
      </c>
      <c r="N718" s="27"/>
      <c r="O718" s="73" t="s">
        <v>1561</v>
      </c>
      <c r="P718" s="28"/>
      <c r="Q718" s="28"/>
      <c r="R718" s="28"/>
      <c r="S718" s="28"/>
      <c r="T718" s="28"/>
      <c r="U718" s="1" t="s">
        <v>1524</v>
      </c>
      <c r="V718" s="60" t="s">
        <v>1556</v>
      </c>
    </row>
    <row r="719" spans="1:24" s="60" customFormat="1" ht="15" customHeight="1">
      <c r="A719" s="49">
        <v>190</v>
      </c>
      <c r="B719" s="49" t="s">
        <v>312</v>
      </c>
      <c r="C719" s="50" t="s">
        <v>205</v>
      </c>
      <c r="D719" s="63" t="s">
        <v>1548</v>
      </c>
      <c r="E719" s="67" t="s">
        <v>1563</v>
      </c>
      <c r="F719" s="52" t="s">
        <v>638</v>
      </c>
      <c r="G719" s="51" t="s">
        <v>1564</v>
      </c>
      <c r="H719" s="65"/>
      <c r="I719" s="42" t="s">
        <v>416</v>
      </c>
      <c r="J719" s="51" t="s">
        <v>1565</v>
      </c>
      <c r="K719" s="51"/>
      <c r="L719" s="56" t="s">
        <v>638</v>
      </c>
      <c r="M719" s="51" t="s">
        <v>1566</v>
      </c>
      <c r="N719" s="27"/>
      <c r="O719" s="73" t="s">
        <v>1523</v>
      </c>
      <c r="P719" s="28"/>
      <c r="Q719" s="28"/>
      <c r="R719" s="28"/>
      <c r="S719" s="28"/>
      <c r="T719" s="28"/>
      <c r="U719" s="1" t="s">
        <v>1524</v>
      </c>
      <c r="V719" s="60" t="s">
        <v>1562</v>
      </c>
    </row>
    <row r="720" spans="1:24" s="60" customFormat="1" ht="15" customHeight="1">
      <c r="A720" s="49">
        <v>190</v>
      </c>
      <c r="B720" s="49" t="s">
        <v>312</v>
      </c>
      <c r="C720" s="50" t="s">
        <v>205</v>
      </c>
      <c r="D720" s="63" t="s">
        <v>1630</v>
      </c>
      <c r="E720" s="51" t="s">
        <v>378</v>
      </c>
      <c r="F720" s="128" t="s">
        <v>379</v>
      </c>
      <c r="G720" s="51" t="s">
        <v>1631</v>
      </c>
      <c r="H720" s="67"/>
      <c r="I720" s="93" t="s">
        <v>416</v>
      </c>
      <c r="J720" s="51" t="s">
        <v>1632</v>
      </c>
      <c r="K720" s="51"/>
      <c r="L720" s="94" t="s">
        <v>416</v>
      </c>
      <c r="M720" s="51" t="s">
        <v>1633</v>
      </c>
      <c r="P720" s="85"/>
      <c r="Q720" s="85"/>
      <c r="R720" s="85"/>
      <c r="S720" s="85"/>
      <c r="T720" s="85"/>
      <c r="U720" s="3" t="s">
        <v>1634</v>
      </c>
      <c r="V720" s="60" t="s">
        <v>1635</v>
      </c>
      <c r="W720" s="3" t="s">
        <v>1636</v>
      </c>
      <c r="X720" s="60" t="s">
        <v>1637</v>
      </c>
    </row>
    <row r="721" spans="1:24" s="60" customFormat="1" ht="15" customHeight="1">
      <c r="A721" s="49">
        <v>190</v>
      </c>
      <c r="B721" s="49" t="s">
        <v>312</v>
      </c>
      <c r="C721" s="50" t="s">
        <v>205</v>
      </c>
      <c r="D721" s="63" t="s">
        <v>1646</v>
      </c>
      <c r="E721" s="51" t="s">
        <v>378</v>
      </c>
      <c r="F721" s="42" t="s">
        <v>405</v>
      </c>
      <c r="G721" s="51" t="s">
        <v>1647</v>
      </c>
      <c r="H721" s="65"/>
      <c r="I721" s="42" t="s">
        <v>405</v>
      </c>
      <c r="J721" s="51" t="s">
        <v>1648</v>
      </c>
      <c r="K721" s="51"/>
      <c r="L721" s="56" t="s">
        <v>377</v>
      </c>
      <c r="M721" s="51" t="s">
        <v>1649</v>
      </c>
      <c r="N721" s="27"/>
      <c r="P721" s="28"/>
      <c r="Q721" s="28"/>
      <c r="R721" s="28"/>
      <c r="S721" s="28" t="s">
        <v>13</v>
      </c>
      <c r="T721" s="28"/>
      <c r="U721" s="1" t="s">
        <v>1650</v>
      </c>
      <c r="V721" s="60" t="s">
        <v>1651</v>
      </c>
      <c r="W721" s="1" t="s">
        <v>1652</v>
      </c>
      <c r="X721" s="60" t="s">
        <v>1653</v>
      </c>
    </row>
    <row r="722" spans="1:24" s="60" customFormat="1" ht="15" customHeight="1">
      <c r="A722" s="49">
        <v>191</v>
      </c>
      <c r="B722" s="49" t="s">
        <v>313</v>
      </c>
      <c r="C722" s="50" t="s">
        <v>314</v>
      </c>
      <c r="D722" s="63" t="s">
        <v>1519</v>
      </c>
      <c r="E722" s="51" t="s">
        <v>378</v>
      </c>
      <c r="F722" s="52" t="s">
        <v>801</v>
      </c>
      <c r="G722" s="51" t="s">
        <v>1520</v>
      </c>
      <c r="H722" s="65"/>
      <c r="I722" s="42" t="s">
        <v>379</v>
      </c>
      <c r="J722" s="51" t="s">
        <v>1521</v>
      </c>
      <c r="K722" s="51"/>
      <c r="L722" s="56" t="s">
        <v>1445</v>
      </c>
      <c r="M722" s="51" t="s">
        <v>1522</v>
      </c>
      <c r="N722" s="27"/>
      <c r="O722" s="73" t="s">
        <v>1523</v>
      </c>
      <c r="P722" s="28"/>
      <c r="Q722" s="28"/>
      <c r="R722" s="28"/>
      <c r="S722" s="28" t="s">
        <v>13</v>
      </c>
      <c r="T722" s="28"/>
      <c r="U722" s="1" t="s">
        <v>1524</v>
      </c>
      <c r="V722" s="60" t="s">
        <v>1551</v>
      </c>
    </row>
    <row r="723" spans="1:24" s="60" customFormat="1" ht="15" customHeight="1">
      <c r="A723" s="49">
        <v>191</v>
      </c>
      <c r="B723" s="49" t="s">
        <v>313</v>
      </c>
      <c r="C723" s="50" t="s">
        <v>314</v>
      </c>
      <c r="D723" s="63" t="s">
        <v>1548</v>
      </c>
      <c r="E723" s="63" t="s">
        <v>1549</v>
      </c>
      <c r="F723" s="52" t="s">
        <v>801</v>
      </c>
      <c r="G723" s="51" t="s">
        <v>1520</v>
      </c>
      <c r="H723" s="65"/>
      <c r="I723" s="42" t="s">
        <v>379</v>
      </c>
      <c r="J723" s="51" t="s">
        <v>1521</v>
      </c>
      <c r="K723" s="51"/>
      <c r="L723" s="56" t="s">
        <v>1445</v>
      </c>
      <c r="M723" s="51" t="s">
        <v>1550</v>
      </c>
      <c r="N723" s="27"/>
      <c r="O723" s="73" t="s">
        <v>1523</v>
      </c>
      <c r="P723" s="28"/>
      <c r="Q723" s="28"/>
      <c r="R723" s="28"/>
      <c r="S723" s="28"/>
      <c r="T723" s="28"/>
      <c r="U723" s="1" t="s">
        <v>1524</v>
      </c>
      <c r="V723" s="60" t="s">
        <v>1551</v>
      </c>
    </row>
    <row r="724" spans="1:24" s="60" customFormat="1" ht="15" customHeight="1">
      <c r="A724" s="49">
        <v>191</v>
      </c>
      <c r="B724" s="49" t="s">
        <v>313</v>
      </c>
      <c r="C724" s="50" t="s">
        <v>314</v>
      </c>
      <c r="D724" s="63" t="s">
        <v>1548</v>
      </c>
      <c r="E724" s="67" t="s">
        <v>1552</v>
      </c>
      <c r="F724" s="52" t="s">
        <v>801</v>
      </c>
      <c r="G724" s="51" t="s">
        <v>1553</v>
      </c>
      <c r="H724" s="65"/>
      <c r="I724" s="42" t="s">
        <v>416</v>
      </c>
      <c r="J724" s="51" t="s">
        <v>1554</v>
      </c>
      <c r="K724" s="51"/>
      <c r="L724" s="56" t="s">
        <v>638</v>
      </c>
      <c r="M724" s="51" t="s">
        <v>1555</v>
      </c>
      <c r="N724" s="27"/>
      <c r="O724" s="73" t="s">
        <v>1523</v>
      </c>
      <c r="P724" s="28"/>
      <c r="Q724" s="28"/>
      <c r="R724" s="28"/>
      <c r="S724" s="28"/>
      <c r="T724" s="28"/>
      <c r="U724" s="1" t="s">
        <v>1524</v>
      </c>
      <c r="V724" s="60" t="s">
        <v>1556</v>
      </c>
    </row>
    <row r="725" spans="1:24" s="60" customFormat="1" ht="15" customHeight="1">
      <c r="A725" s="49">
        <v>191</v>
      </c>
      <c r="B725" s="49" t="s">
        <v>313</v>
      </c>
      <c r="C725" s="50" t="s">
        <v>314</v>
      </c>
      <c r="D725" s="63" t="s">
        <v>1548</v>
      </c>
      <c r="E725" s="51" t="s">
        <v>1557</v>
      </c>
      <c r="F725" s="52" t="s">
        <v>1445</v>
      </c>
      <c r="G725" s="51" t="s">
        <v>1558</v>
      </c>
      <c r="H725" s="65"/>
      <c r="I725" s="42" t="s">
        <v>377</v>
      </c>
      <c r="J725" s="51" t="s">
        <v>1559</v>
      </c>
      <c r="K725" s="51"/>
      <c r="L725" s="56" t="s">
        <v>638</v>
      </c>
      <c r="M725" s="51" t="s">
        <v>1560</v>
      </c>
      <c r="N725" s="27"/>
      <c r="O725" s="73" t="s">
        <v>1561</v>
      </c>
      <c r="P725" s="28"/>
      <c r="Q725" s="28"/>
      <c r="R725" s="28"/>
      <c r="S725" s="28"/>
      <c r="T725" s="28"/>
      <c r="U725" s="1" t="s">
        <v>1524</v>
      </c>
      <c r="V725" s="60" t="s">
        <v>1562</v>
      </c>
    </row>
    <row r="726" spans="1:24" s="60" customFormat="1" ht="15" customHeight="1">
      <c r="A726" s="49">
        <v>191</v>
      </c>
      <c r="B726" s="49" t="s">
        <v>313</v>
      </c>
      <c r="C726" s="50" t="s">
        <v>314</v>
      </c>
      <c r="D726" s="63" t="s">
        <v>1548</v>
      </c>
      <c r="E726" s="67" t="s">
        <v>1563</v>
      </c>
      <c r="F726" s="52" t="s">
        <v>638</v>
      </c>
      <c r="G726" s="51" t="s">
        <v>1564</v>
      </c>
      <c r="H726" s="65"/>
      <c r="I726" s="42" t="s">
        <v>416</v>
      </c>
      <c r="J726" s="51" t="s">
        <v>1565</v>
      </c>
      <c r="K726" s="51"/>
      <c r="L726" s="56" t="s">
        <v>638</v>
      </c>
      <c r="M726" s="51" t="s">
        <v>1566</v>
      </c>
      <c r="N726" s="27"/>
      <c r="O726" s="73" t="s">
        <v>1523</v>
      </c>
      <c r="P726" s="28"/>
      <c r="Q726" s="28"/>
      <c r="R726" s="28"/>
      <c r="S726" s="28"/>
      <c r="T726" s="28"/>
      <c r="U726" s="1" t="s">
        <v>1524</v>
      </c>
      <c r="V726" s="60" t="s">
        <v>1567</v>
      </c>
    </row>
    <row r="727" spans="1:24" s="60" customFormat="1" ht="15" customHeight="1">
      <c r="A727" s="49">
        <v>191</v>
      </c>
      <c r="B727" s="49" t="s">
        <v>313</v>
      </c>
      <c r="C727" s="50" t="s">
        <v>314</v>
      </c>
      <c r="D727" s="63" t="s">
        <v>1646</v>
      </c>
      <c r="E727" s="51" t="s">
        <v>378</v>
      </c>
      <c r="F727" s="42" t="s">
        <v>405</v>
      </c>
      <c r="G727" s="51" t="s">
        <v>1647</v>
      </c>
      <c r="H727" s="65"/>
      <c r="I727" s="42" t="s">
        <v>405</v>
      </c>
      <c r="J727" s="51" t="s">
        <v>1648</v>
      </c>
      <c r="K727" s="51"/>
      <c r="L727" s="56" t="s">
        <v>377</v>
      </c>
      <c r="M727" s="51" t="s">
        <v>1649</v>
      </c>
      <c r="N727" s="27"/>
      <c r="P727" s="28"/>
      <c r="Q727" s="28"/>
      <c r="R727" s="28"/>
      <c r="S727" s="28" t="s">
        <v>13</v>
      </c>
      <c r="T727" s="28"/>
      <c r="U727" s="1" t="s">
        <v>1650</v>
      </c>
      <c r="V727" s="60" t="s">
        <v>1651</v>
      </c>
      <c r="W727" s="1" t="s">
        <v>1652</v>
      </c>
      <c r="X727" s="60" t="s">
        <v>1653</v>
      </c>
    </row>
    <row r="728" spans="1:24" s="60" customFormat="1" ht="15" customHeight="1">
      <c r="A728" s="49">
        <v>191</v>
      </c>
      <c r="B728" s="49" t="s">
        <v>313</v>
      </c>
      <c r="C728" s="50" t="s">
        <v>314</v>
      </c>
      <c r="D728" s="63" t="s">
        <v>1630</v>
      </c>
      <c r="E728" s="51" t="s">
        <v>378</v>
      </c>
      <c r="F728" s="128" t="s">
        <v>379</v>
      </c>
      <c r="G728" s="51" t="s">
        <v>1631</v>
      </c>
      <c r="H728" s="67"/>
      <c r="I728" s="93" t="s">
        <v>416</v>
      </c>
      <c r="J728" s="51" t="s">
        <v>1632</v>
      </c>
      <c r="K728" s="51"/>
      <c r="L728" s="94" t="s">
        <v>416</v>
      </c>
      <c r="M728" s="51" t="s">
        <v>1633</v>
      </c>
      <c r="P728" s="85"/>
      <c r="Q728" s="85"/>
      <c r="R728" s="85"/>
      <c r="S728" s="85"/>
      <c r="T728" s="85"/>
      <c r="U728" s="3" t="s">
        <v>1634</v>
      </c>
      <c r="V728" s="60" t="s">
        <v>1635</v>
      </c>
      <c r="W728" s="3" t="s">
        <v>1636</v>
      </c>
      <c r="X728" s="60" t="s">
        <v>1637</v>
      </c>
    </row>
    <row r="729" spans="1:24" s="60" customFormat="1" ht="15" customHeight="1">
      <c r="A729" s="49">
        <v>192</v>
      </c>
      <c r="B729" s="49" t="s">
        <v>315</v>
      </c>
      <c r="C729" s="50" t="s">
        <v>316</v>
      </c>
      <c r="D729" s="63" t="s">
        <v>1519</v>
      </c>
      <c r="E729" s="51" t="s">
        <v>378</v>
      </c>
      <c r="F729" s="52" t="s">
        <v>801</v>
      </c>
      <c r="G729" s="51" t="s">
        <v>1520</v>
      </c>
      <c r="H729" s="65"/>
      <c r="I729" s="42" t="s">
        <v>379</v>
      </c>
      <c r="J729" s="51" t="s">
        <v>1521</v>
      </c>
      <c r="K729" s="51"/>
      <c r="L729" s="56" t="s">
        <v>1445</v>
      </c>
      <c r="M729" s="51" t="s">
        <v>1522</v>
      </c>
      <c r="N729" s="27"/>
      <c r="O729" s="73" t="s">
        <v>1523</v>
      </c>
      <c r="P729" s="28"/>
      <c r="Q729" s="28"/>
      <c r="R729" s="28"/>
      <c r="S729" s="28" t="s">
        <v>13</v>
      </c>
      <c r="T729" s="28" t="s">
        <v>13</v>
      </c>
      <c r="U729" s="1" t="s">
        <v>1524</v>
      </c>
      <c r="V729" s="60" t="s">
        <v>1545</v>
      </c>
    </row>
    <row r="730" spans="1:24" s="60" customFormat="1" ht="15" customHeight="1">
      <c r="A730" s="49">
        <v>192</v>
      </c>
      <c r="B730" s="49" t="s">
        <v>315</v>
      </c>
      <c r="C730" s="50" t="s">
        <v>316</v>
      </c>
      <c r="D730" s="63" t="s">
        <v>1548</v>
      </c>
      <c r="E730" s="63" t="s">
        <v>1549</v>
      </c>
      <c r="F730" s="52" t="s">
        <v>801</v>
      </c>
      <c r="G730" s="51" t="s">
        <v>1520</v>
      </c>
      <c r="H730" s="65"/>
      <c r="I730" s="42" t="s">
        <v>379</v>
      </c>
      <c r="J730" s="51" t="s">
        <v>1521</v>
      </c>
      <c r="K730" s="51"/>
      <c r="L730" s="56" t="s">
        <v>1445</v>
      </c>
      <c r="M730" s="51" t="s">
        <v>1550</v>
      </c>
      <c r="N730" s="27"/>
      <c r="O730" s="73" t="s">
        <v>1523</v>
      </c>
      <c r="P730" s="28"/>
      <c r="Q730" s="28"/>
      <c r="R730" s="28"/>
      <c r="S730" s="28"/>
      <c r="T730" s="28"/>
      <c r="U730" s="1" t="s">
        <v>1524</v>
      </c>
      <c r="V730" s="60" t="s">
        <v>1551</v>
      </c>
    </row>
    <row r="731" spans="1:24" s="60" customFormat="1" ht="15" customHeight="1">
      <c r="A731" s="49">
        <v>192</v>
      </c>
      <c r="B731" s="49" t="s">
        <v>315</v>
      </c>
      <c r="C731" s="50" t="s">
        <v>316</v>
      </c>
      <c r="D731" s="63" t="s">
        <v>1548</v>
      </c>
      <c r="E731" s="67" t="s">
        <v>1552</v>
      </c>
      <c r="F731" s="52" t="s">
        <v>801</v>
      </c>
      <c r="G731" s="51" t="s">
        <v>1553</v>
      </c>
      <c r="H731" s="65"/>
      <c r="I731" s="42" t="s">
        <v>416</v>
      </c>
      <c r="J731" s="51" t="s">
        <v>1554</v>
      </c>
      <c r="K731" s="51"/>
      <c r="L731" s="56" t="s">
        <v>638</v>
      </c>
      <c r="M731" s="51" t="s">
        <v>1555</v>
      </c>
      <c r="N731" s="27"/>
      <c r="O731" s="73" t="s">
        <v>1523</v>
      </c>
      <c r="P731" s="28"/>
      <c r="Q731" s="28"/>
      <c r="R731" s="28"/>
      <c r="S731" s="28"/>
      <c r="T731" s="28"/>
      <c r="U731" s="1" t="s">
        <v>1524</v>
      </c>
      <c r="V731" s="60" t="s">
        <v>1556</v>
      </c>
    </row>
    <row r="732" spans="1:24" s="60" customFormat="1" ht="15" customHeight="1">
      <c r="A732" s="49">
        <v>192</v>
      </c>
      <c r="B732" s="49" t="s">
        <v>315</v>
      </c>
      <c r="C732" s="50" t="s">
        <v>316</v>
      </c>
      <c r="D732" s="63" t="s">
        <v>1548</v>
      </c>
      <c r="E732" s="51" t="s">
        <v>1557</v>
      </c>
      <c r="F732" s="52" t="s">
        <v>1445</v>
      </c>
      <c r="G732" s="51" t="s">
        <v>1558</v>
      </c>
      <c r="H732" s="65"/>
      <c r="I732" s="42" t="s">
        <v>377</v>
      </c>
      <c r="J732" s="51" t="s">
        <v>1559</v>
      </c>
      <c r="K732" s="51"/>
      <c r="L732" s="56" t="s">
        <v>638</v>
      </c>
      <c r="M732" s="51" t="s">
        <v>1560</v>
      </c>
      <c r="N732" s="27"/>
      <c r="O732" s="73" t="s">
        <v>1561</v>
      </c>
      <c r="P732" s="28"/>
      <c r="Q732" s="28"/>
      <c r="R732" s="28"/>
      <c r="S732" s="28"/>
      <c r="T732" s="28"/>
      <c r="U732" s="1" t="s">
        <v>1524</v>
      </c>
      <c r="V732" s="60" t="s">
        <v>1562</v>
      </c>
    </row>
    <row r="733" spans="1:24" s="60" customFormat="1" ht="15" customHeight="1">
      <c r="A733" s="49">
        <v>192</v>
      </c>
      <c r="B733" s="49" t="s">
        <v>315</v>
      </c>
      <c r="C733" s="50" t="s">
        <v>316</v>
      </c>
      <c r="D733" s="63" t="s">
        <v>1548</v>
      </c>
      <c r="E733" s="67" t="s">
        <v>1563</v>
      </c>
      <c r="F733" s="52" t="s">
        <v>638</v>
      </c>
      <c r="G733" s="51" t="s">
        <v>1564</v>
      </c>
      <c r="H733" s="65"/>
      <c r="I733" s="42" t="s">
        <v>416</v>
      </c>
      <c r="J733" s="51" t="s">
        <v>1565</v>
      </c>
      <c r="K733" s="51"/>
      <c r="L733" s="56" t="s">
        <v>638</v>
      </c>
      <c r="M733" s="51" t="s">
        <v>1566</v>
      </c>
      <c r="N733" s="27"/>
      <c r="O733" s="73" t="s">
        <v>1523</v>
      </c>
      <c r="P733" s="28"/>
      <c r="Q733" s="28"/>
      <c r="R733" s="28"/>
      <c r="S733" s="28"/>
      <c r="T733" s="28"/>
      <c r="U733" s="1" t="s">
        <v>1524</v>
      </c>
      <c r="V733" s="60" t="s">
        <v>1567</v>
      </c>
    </row>
    <row r="734" spans="1:24" s="60" customFormat="1" ht="15" customHeight="1">
      <c r="A734" s="49">
        <v>192</v>
      </c>
      <c r="B734" s="49" t="s">
        <v>315</v>
      </c>
      <c r="C734" s="50" t="s">
        <v>316</v>
      </c>
      <c r="D734" s="63" t="s">
        <v>1646</v>
      </c>
      <c r="E734" s="51" t="s">
        <v>378</v>
      </c>
      <c r="F734" s="42" t="s">
        <v>405</v>
      </c>
      <c r="G734" s="51" t="s">
        <v>1647</v>
      </c>
      <c r="H734" s="65"/>
      <c r="I734" s="42" t="s">
        <v>405</v>
      </c>
      <c r="J734" s="51" t="s">
        <v>1648</v>
      </c>
      <c r="K734" s="51"/>
      <c r="L734" s="56" t="s">
        <v>377</v>
      </c>
      <c r="M734" s="51" t="s">
        <v>1649</v>
      </c>
      <c r="N734" s="27"/>
      <c r="P734" s="28"/>
      <c r="Q734" s="28"/>
      <c r="R734" s="28"/>
      <c r="S734" s="28" t="s">
        <v>13</v>
      </c>
      <c r="T734" s="28"/>
      <c r="U734" s="1" t="s">
        <v>1650</v>
      </c>
      <c r="V734" s="60" t="s">
        <v>1651</v>
      </c>
      <c r="W734" s="1" t="s">
        <v>1652</v>
      </c>
      <c r="X734" s="60" t="s">
        <v>1653</v>
      </c>
    </row>
    <row r="735" spans="1:24" s="60" customFormat="1" ht="15" customHeight="1">
      <c r="A735" s="49">
        <v>192</v>
      </c>
      <c r="B735" s="49" t="s">
        <v>315</v>
      </c>
      <c r="C735" s="50" t="s">
        <v>316</v>
      </c>
      <c r="D735" s="63" t="s">
        <v>1630</v>
      </c>
      <c r="E735" s="51" t="s">
        <v>378</v>
      </c>
      <c r="F735" s="128" t="s">
        <v>379</v>
      </c>
      <c r="G735" s="51" t="s">
        <v>1631</v>
      </c>
      <c r="H735" s="67"/>
      <c r="I735" s="93" t="s">
        <v>416</v>
      </c>
      <c r="J735" s="51" t="s">
        <v>1632</v>
      </c>
      <c r="K735" s="51"/>
      <c r="L735" s="94" t="s">
        <v>416</v>
      </c>
      <c r="M735" s="51" t="s">
        <v>1633</v>
      </c>
      <c r="P735" s="85"/>
      <c r="Q735" s="85"/>
      <c r="R735" s="85"/>
      <c r="S735" s="85"/>
      <c r="T735" s="85"/>
      <c r="U735" s="3" t="s">
        <v>1634</v>
      </c>
      <c r="V735" s="60" t="s">
        <v>1635</v>
      </c>
      <c r="W735" s="3" t="s">
        <v>1636</v>
      </c>
      <c r="X735" s="60" t="s">
        <v>1637</v>
      </c>
    </row>
    <row r="736" spans="1:24" s="60" customFormat="1" ht="15" customHeight="1">
      <c r="A736" s="49">
        <v>193</v>
      </c>
      <c r="B736" s="49" t="s">
        <v>317</v>
      </c>
      <c r="C736" s="50" t="s">
        <v>209</v>
      </c>
      <c r="D736" s="63" t="s">
        <v>1646</v>
      </c>
      <c r="E736" s="51" t="s">
        <v>378</v>
      </c>
      <c r="F736" s="42" t="s">
        <v>405</v>
      </c>
      <c r="G736" s="51" t="s">
        <v>1647</v>
      </c>
      <c r="H736" s="65"/>
      <c r="I736" s="42" t="s">
        <v>405</v>
      </c>
      <c r="J736" s="51" t="s">
        <v>1648</v>
      </c>
      <c r="K736" s="51"/>
      <c r="L736" s="56" t="s">
        <v>377</v>
      </c>
      <c r="M736" s="51" t="s">
        <v>1649</v>
      </c>
      <c r="N736" s="27"/>
      <c r="P736" s="28"/>
      <c r="Q736" s="28"/>
      <c r="R736" s="28"/>
      <c r="S736" s="28" t="s">
        <v>13</v>
      </c>
      <c r="T736" s="28"/>
      <c r="U736" s="1" t="s">
        <v>1650</v>
      </c>
      <c r="V736" s="60" t="s">
        <v>1651</v>
      </c>
      <c r="W736" s="1" t="s">
        <v>1652</v>
      </c>
      <c r="X736" s="60" t="s">
        <v>1653</v>
      </c>
    </row>
    <row r="737" spans="1:24" s="60" customFormat="1" ht="15" customHeight="1">
      <c r="A737" s="49">
        <v>194</v>
      </c>
      <c r="B737" s="49" t="s">
        <v>318</v>
      </c>
      <c r="C737" s="50" t="s">
        <v>319</v>
      </c>
      <c r="D737" s="63" t="s">
        <v>1646</v>
      </c>
      <c r="E737" s="51" t="s">
        <v>378</v>
      </c>
      <c r="F737" s="42" t="s">
        <v>405</v>
      </c>
      <c r="G737" s="51" t="s">
        <v>1647</v>
      </c>
      <c r="H737" s="65"/>
      <c r="I737" s="42" t="s">
        <v>405</v>
      </c>
      <c r="J737" s="51" t="s">
        <v>1648</v>
      </c>
      <c r="K737" s="51"/>
      <c r="L737" s="56" t="s">
        <v>377</v>
      </c>
      <c r="M737" s="51" t="s">
        <v>1649</v>
      </c>
      <c r="N737" s="27"/>
      <c r="P737" s="28"/>
      <c r="Q737" s="28"/>
      <c r="R737" s="28"/>
      <c r="S737" s="28" t="s">
        <v>13</v>
      </c>
      <c r="T737" s="28"/>
      <c r="U737" s="1" t="s">
        <v>1650</v>
      </c>
      <c r="V737" s="60" t="s">
        <v>1651</v>
      </c>
      <c r="W737" s="1" t="s">
        <v>1652</v>
      </c>
      <c r="X737" s="60" t="s">
        <v>1653</v>
      </c>
    </row>
    <row r="738" spans="1:24" s="60" customFormat="1" ht="15" customHeight="1">
      <c r="A738" s="49">
        <v>195</v>
      </c>
      <c r="B738" s="49" t="s">
        <v>320</v>
      </c>
      <c r="C738" s="50" t="s">
        <v>319</v>
      </c>
      <c r="D738" s="63" t="s">
        <v>1646</v>
      </c>
      <c r="E738" s="51" t="s">
        <v>378</v>
      </c>
      <c r="F738" s="42" t="s">
        <v>405</v>
      </c>
      <c r="G738" s="51" t="s">
        <v>1647</v>
      </c>
      <c r="H738" s="65"/>
      <c r="I738" s="42" t="s">
        <v>405</v>
      </c>
      <c r="J738" s="51" t="s">
        <v>1648</v>
      </c>
      <c r="K738" s="51"/>
      <c r="L738" s="56" t="s">
        <v>377</v>
      </c>
      <c r="M738" s="51" t="s">
        <v>1649</v>
      </c>
      <c r="N738" s="27"/>
      <c r="P738" s="28"/>
      <c r="Q738" s="28"/>
      <c r="R738" s="28"/>
      <c r="S738" s="28" t="s">
        <v>13</v>
      </c>
      <c r="T738" s="28"/>
      <c r="U738" s="1" t="s">
        <v>1650</v>
      </c>
      <c r="V738" s="60" t="s">
        <v>1651</v>
      </c>
      <c r="W738" s="1" t="s">
        <v>1652</v>
      </c>
      <c r="X738" s="60" t="s">
        <v>1653</v>
      </c>
    </row>
    <row r="739" spans="1:24" s="60" customFormat="1" ht="15" customHeight="1">
      <c r="A739" s="49">
        <v>195</v>
      </c>
      <c r="B739" s="49" t="s">
        <v>320</v>
      </c>
      <c r="C739" s="50" t="s">
        <v>319</v>
      </c>
      <c r="D739" s="63" t="s">
        <v>1638</v>
      </c>
      <c r="E739" s="51" t="s">
        <v>378</v>
      </c>
      <c r="F739" s="42" t="s">
        <v>405</v>
      </c>
      <c r="G739" s="51" t="s">
        <v>1639</v>
      </c>
      <c r="H739" s="65"/>
      <c r="I739" s="42" t="s">
        <v>377</v>
      </c>
      <c r="J739" s="51" t="s">
        <v>1640</v>
      </c>
      <c r="K739" s="51"/>
      <c r="L739" s="56" t="s">
        <v>416</v>
      </c>
      <c r="M739" s="51" t="s">
        <v>1641</v>
      </c>
      <c r="N739" s="27"/>
      <c r="P739" s="28"/>
      <c r="Q739" s="28"/>
      <c r="R739" s="28"/>
      <c r="S739" s="28" t="s">
        <v>13</v>
      </c>
      <c r="T739" s="28" t="s">
        <v>13</v>
      </c>
      <c r="U739" s="3" t="s">
        <v>1642</v>
      </c>
      <c r="V739" s="60" t="s">
        <v>1643</v>
      </c>
      <c r="W739" s="3" t="s">
        <v>1644</v>
      </c>
      <c r="X739" s="60" t="s">
        <v>1645</v>
      </c>
    </row>
    <row r="740" spans="1:24" s="60" customFormat="1" ht="15" customHeight="1">
      <c r="A740" s="49">
        <v>195</v>
      </c>
      <c r="B740" s="49" t="s">
        <v>320</v>
      </c>
      <c r="C740" s="50" t="s">
        <v>319</v>
      </c>
      <c r="D740" s="63" t="s">
        <v>1519</v>
      </c>
      <c r="E740" s="51" t="s">
        <v>378</v>
      </c>
      <c r="F740" s="52" t="s">
        <v>801</v>
      </c>
      <c r="G740" s="51" t="s">
        <v>1520</v>
      </c>
      <c r="H740" s="65"/>
      <c r="I740" s="42" t="s">
        <v>379</v>
      </c>
      <c r="J740" s="51" t="s">
        <v>1521</v>
      </c>
      <c r="K740" s="51"/>
      <c r="L740" s="56" t="s">
        <v>1445</v>
      </c>
      <c r="M740" s="51" t="s">
        <v>1522</v>
      </c>
      <c r="N740" s="27"/>
      <c r="O740" s="73" t="s">
        <v>1523</v>
      </c>
      <c r="P740" s="28"/>
      <c r="Q740" s="28"/>
      <c r="R740" s="28"/>
      <c r="S740" s="28"/>
      <c r="T740" s="28"/>
    </row>
    <row r="741" spans="1:24" s="60" customFormat="1" ht="15" customHeight="1">
      <c r="A741" s="49">
        <v>196</v>
      </c>
      <c r="B741" s="49" t="s">
        <v>321</v>
      </c>
      <c r="C741" s="50" t="s">
        <v>209</v>
      </c>
      <c r="D741" s="63" t="s">
        <v>1646</v>
      </c>
      <c r="E741" s="51" t="s">
        <v>378</v>
      </c>
      <c r="F741" s="42" t="s">
        <v>405</v>
      </c>
      <c r="G741" s="51" t="s">
        <v>1647</v>
      </c>
      <c r="H741" s="65"/>
      <c r="I741" s="42" t="s">
        <v>405</v>
      </c>
      <c r="J741" s="51" t="s">
        <v>1648</v>
      </c>
      <c r="K741" s="51"/>
      <c r="L741" s="56" t="s">
        <v>377</v>
      </c>
      <c r="M741" s="51" t="s">
        <v>1649</v>
      </c>
      <c r="N741" s="27"/>
      <c r="P741" s="28"/>
      <c r="Q741" s="28"/>
      <c r="R741" s="28"/>
      <c r="S741" s="28" t="s">
        <v>13</v>
      </c>
      <c r="T741" s="28"/>
      <c r="U741" s="1" t="s">
        <v>1650</v>
      </c>
      <c r="V741" s="60" t="s">
        <v>1651</v>
      </c>
      <c r="W741" s="1" t="s">
        <v>1652</v>
      </c>
      <c r="X741" s="60" t="s">
        <v>1653</v>
      </c>
    </row>
    <row r="742" spans="1:24" s="60" customFormat="1" ht="15" customHeight="1">
      <c r="A742" s="49">
        <v>197</v>
      </c>
      <c r="B742" s="49" t="s">
        <v>322</v>
      </c>
      <c r="C742" s="50" t="s">
        <v>271</v>
      </c>
      <c r="D742" s="63" t="s">
        <v>1638</v>
      </c>
      <c r="E742" s="51" t="s">
        <v>378</v>
      </c>
      <c r="F742" s="42" t="s">
        <v>405</v>
      </c>
      <c r="G742" s="51" t="s">
        <v>1639</v>
      </c>
      <c r="H742" s="65"/>
      <c r="I742" s="42" t="s">
        <v>377</v>
      </c>
      <c r="J742" s="51" t="s">
        <v>1640</v>
      </c>
      <c r="K742" s="51"/>
      <c r="L742" s="56" t="s">
        <v>416</v>
      </c>
      <c r="M742" s="51" t="s">
        <v>1641</v>
      </c>
      <c r="N742" s="27"/>
      <c r="P742" s="28"/>
      <c r="Q742" s="28"/>
      <c r="R742" s="28"/>
      <c r="S742" s="28" t="s">
        <v>13</v>
      </c>
      <c r="T742" s="28" t="s">
        <v>13</v>
      </c>
      <c r="U742" s="3" t="s">
        <v>1642</v>
      </c>
      <c r="V742" s="60" t="s">
        <v>1643</v>
      </c>
      <c r="W742" s="3" t="s">
        <v>1644</v>
      </c>
      <c r="X742" s="60" t="s">
        <v>1645</v>
      </c>
    </row>
    <row r="743" spans="1:24" s="60" customFormat="1" ht="15" customHeight="1">
      <c r="A743" s="49">
        <v>197</v>
      </c>
      <c r="B743" s="49" t="s">
        <v>322</v>
      </c>
      <c r="C743" s="50" t="s">
        <v>271</v>
      </c>
      <c r="D743" s="63" t="s">
        <v>1548</v>
      </c>
      <c r="E743" s="63" t="s">
        <v>1549</v>
      </c>
      <c r="F743" s="52" t="s">
        <v>801</v>
      </c>
      <c r="G743" s="51" t="s">
        <v>1520</v>
      </c>
      <c r="H743" s="65"/>
      <c r="I743" s="42" t="s">
        <v>379</v>
      </c>
      <c r="J743" s="51" t="s">
        <v>1521</v>
      </c>
      <c r="K743" s="51"/>
      <c r="L743" s="56" t="s">
        <v>1445</v>
      </c>
      <c r="M743" s="51" t="s">
        <v>1550</v>
      </c>
      <c r="N743" s="27"/>
      <c r="O743" s="73" t="s">
        <v>1523</v>
      </c>
      <c r="P743" s="28"/>
      <c r="Q743" s="28"/>
      <c r="R743" s="28"/>
      <c r="S743" s="28"/>
      <c r="T743" s="28"/>
      <c r="U743" s="1" t="s">
        <v>1524</v>
      </c>
      <c r="V743" s="60" t="s">
        <v>1551</v>
      </c>
    </row>
    <row r="744" spans="1:24" s="60" customFormat="1" ht="15" customHeight="1">
      <c r="A744" s="49">
        <v>197</v>
      </c>
      <c r="B744" s="49" t="s">
        <v>322</v>
      </c>
      <c r="C744" s="50" t="s">
        <v>271</v>
      </c>
      <c r="D744" s="63" t="s">
        <v>1548</v>
      </c>
      <c r="E744" s="67" t="s">
        <v>1552</v>
      </c>
      <c r="F744" s="52" t="s">
        <v>801</v>
      </c>
      <c r="G744" s="51" t="s">
        <v>1553</v>
      </c>
      <c r="H744" s="65"/>
      <c r="I744" s="42" t="s">
        <v>416</v>
      </c>
      <c r="J744" s="51" t="s">
        <v>1554</v>
      </c>
      <c r="K744" s="51"/>
      <c r="L744" s="56" t="s">
        <v>638</v>
      </c>
      <c r="M744" s="51" t="s">
        <v>1555</v>
      </c>
      <c r="N744" s="27"/>
      <c r="O744" s="73" t="s">
        <v>1523</v>
      </c>
      <c r="P744" s="28"/>
      <c r="Q744" s="28"/>
      <c r="R744" s="28"/>
      <c r="S744" s="28"/>
      <c r="T744" s="28"/>
      <c r="U744" s="1" t="s">
        <v>1524</v>
      </c>
      <c r="V744" s="60" t="s">
        <v>1556</v>
      </c>
    </row>
    <row r="745" spans="1:24" s="60" customFormat="1" ht="15" customHeight="1">
      <c r="A745" s="49">
        <v>197</v>
      </c>
      <c r="B745" s="49" t="s">
        <v>322</v>
      </c>
      <c r="C745" s="50" t="s">
        <v>271</v>
      </c>
      <c r="D745" s="63" t="s">
        <v>1548</v>
      </c>
      <c r="E745" s="51" t="s">
        <v>1557</v>
      </c>
      <c r="F745" s="52" t="s">
        <v>1445</v>
      </c>
      <c r="G745" s="51" t="s">
        <v>1558</v>
      </c>
      <c r="H745" s="65"/>
      <c r="I745" s="42" t="s">
        <v>377</v>
      </c>
      <c r="J745" s="51" t="s">
        <v>1559</v>
      </c>
      <c r="K745" s="51"/>
      <c r="L745" s="56" t="s">
        <v>638</v>
      </c>
      <c r="M745" s="51" t="s">
        <v>1560</v>
      </c>
      <c r="N745" s="27"/>
      <c r="O745" s="73" t="s">
        <v>1561</v>
      </c>
      <c r="P745" s="28"/>
      <c r="Q745" s="28"/>
      <c r="R745" s="28"/>
      <c r="S745" s="28"/>
      <c r="T745" s="28"/>
      <c r="U745" s="1" t="s">
        <v>1524</v>
      </c>
      <c r="V745" s="60" t="s">
        <v>1562</v>
      </c>
    </row>
    <row r="746" spans="1:24" s="60" customFormat="1" ht="15" customHeight="1">
      <c r="A746" s="49">
        <v>197</v>
      </c>
      <c r="B746" s="49" t="s">
        <v>322</v>
      </c>
      <c r="C746" s="50" t="s">
        <v>271</v>
      </c>
      <c r="D746" s="63" t="s">
        <v>1548</v>
      </c>
      <c r="E746" s="67" t="s">
        <v>1563</v>
      </c>
      <c r="F746" s="52" t="s">
        <v>638</v>
      </c>
      <c r="G746" s="51" t="s">
        <v>1564</v>
      </c>
      <c r="H746" s="65"/>
      <c r="I746" s="42" t="s">
        <v>416</v>
      </c>
      <c r="J746" s="51" t="s">
        <v>1565</v>
      </c>
      <c r="K746" s="51"/>
      <c r="L746" s="56" t="s">
        <v>638</v>
      </c>
      <c r="M746" s="51" t="s">
        <v>1566</v>
      </c>
      <c r="N746" s="27"/>
      <c r="O746" s="73" t="s">
        <v>1523</v>
      </c>
      <c r="P746" s="28"/>
      <c r="Q746" s="28"/>
      <c r="R746" s="28"/>
      <c r="S746" s="28"/>
      <c r="T746" s="28"/>
      <c r="U746" s="1" t="s">
        <v>1524</v>
      </c>
      <c r="V746" s="60" t="s">
        <v>1567</v>
      </c>
    </row>
    <row r="747" spans="1:24" s="60" customFormat="1" ht="15" customHeight="1">
      <c r="A747" s="49">
        <v>198</v>
      </c>
      <c r="B747" s="49" t="s">
        <v>323</v>
      </c>
      <c r="C747" s="50" t="s">
        <v>205</v>
      </c>
      <c r="D747" s="63" t="s">
        <v>1646</v>
      </c>
      <c r="E747" s="51" t="s">
        <v>378</v>
      </c>
      <c r="F747" s="42" t="s">
        <v>405</v>
      </c>
      <c r="G747" s="51" t="s">
        <v>1647</v>
      </c>
      <c r="H747" s="65"/>
      <c r="I747" s="42" t="s">
        <v>405</v>
      </c>
      <c r="J747" s="51" t="s">
        <v>1648</v>
      </c>
      <c r="K747" s="51"/>
      <c r="L747" s="56" t="s">
        <v>377</v>
      </c>
      <c r="M747" s="51" t="s">
        <v>1649</v>
      </c>
      <c r="N747" s="27"/>
      <c r="P747" s="28"/>
      <c r="Q747" s="28"/>
      <c r="R747" s="28"/>
      <c r="S747" s="28" t="s">
        <v>13</v>
      </c>
      <c r="T747" s="28"/>
      <c r="U747" s="1" t="s">
        <v>1650</v>
      </c>
      <c r="V747" s="60" t="s">
        <v>1651</v>
      </c>
      <c r="W747" s="1" t="s">
        <v>1652</v>
      </c>
      <c r="X747" s="60" t="s">
        <v>1653</v>
      </c>
    </row>
    <row r="748" spans="1:24" s="60" customFormat="1" ht="15" customHeight="1">
      <c r="A748" s="49">
        <v>198</v>
      </c>
      <c r="B748" s="49" t="s">
        <v>323</v>
      </c>
      <c r="C748" s="50" t="s">
        <v>205</v>
      </c>
      <c r="D748" s="63" t="s">
        <v>1519</v>
      </c>
      <c r="E748" s="51" t="s">
        <v>378</v>
      </c>
      <c r="F748" s="52" t="s">
        <v>801</v>
      </c>
      <c r="G748" s="51" t="s">
        <v>1520</v>
      </c>
      <c r="H748" s="65"/>
      <c r="I748" s="42" t="s">
        <v>379</v>
      </c>
      <c r="J748" s="51" t="s">
        <v>1521</v>
      </c>
      <c r="K748" s="51"/>
      <c r="L748" s="56" t="s">
        <v>1445</v>
      </c>
      <c r="M748" s="51" t="s">
        <v>1522</v>
      </c>
      <c r="N748" s="27"/>
      <c r="O748" s="73" t="s">
        <v>1523</v>
      </c>
      <c r="P748" s="28"/>
      <c r="Q748" s="28"/>
      <c r="R748" s="28"/>
      <c r="S748" s="28" t="s">
        <v>13</v>
      </c>
      <c r="T748" s="28" t="s">
        <v>13</v>
      </c>
      <c r="U748" s="1" t="s">
        <v>1524</v>
      </c>
      <c r="V748" s="60" t="s">
        <v>1545</v>
      </c>
    </row>
    <row r="749" spans="1:24" s="60" customFormat="1" ht="15" customHeight="1">
      <c r="A749" s="49">
        <v>198</v>
      </c>
      <c r="B749" s="49" t="s">
        <v>323</v>
      </c>
      <c r="C749" s="50" t="s">
        <v>205</v>
      </c>
      <c r="D749" s="63" t="s">
        <v>1548</v>
      </c>
      <c r="E749" s="63" t="s">
        <v>1549</v>
      </c>
      <c r="F749" s="52" t="s">
        <v>801</v>
      </c>
      <c r="G749" s="51" t="s">
        <v>1520</v>
      </c>
      <c r="H749" s="65"/>
      <c r="I749" s="42" t="s">
        <v>379</v>
      </c>
      <c r="J749" s="51" t="s">
        <v>1521</v>
      </c>
      <c r="K749" s="51"/>
      <c r="L749" s="56" t="s">
        <v>1445</v>
      </c>
      <c r="M749" s="51" t="s">
        <v>1550</v>
      </c>
      <c r="N749" s="27"/>
      <c r="O749" s="73" t="s">
        <v>1523</v>
      </c>
      <c r="P749" s="28"/>
      <c r="Q749" s="28"/>
      <c r="R749" s="28"/>
      <c r="S749" s="28"/>
      <c r="T749" s="28"/>
      <c r="U749" s="1" t="s">
        <v>1524</v>
      </c>
      <c r="V749" s="60" t="s">
        <v>1551</v>
      </c>
    </row>
    <row r="750" spans="1:24" s="60" customFormat="1" ht="15" customHeight="1">
      <c r="A750" s="49">
        <v>198</v>
      </c>
      <c r="B750" s="49" t="s">
        <v>323</v>
      </c>
      <c r="C750" s="50" t="s">
        <v>205</v>
      </c>
      <c r="D750" s="63" t="s">
        <v>1548</v>
      </c>
      <c r="E750" s="67" t="s">
        <v>1552</v>
      </c>
      <c r="F750" s="52" t="s">
        <v>801</v>
      </c>
      <c r="G750" s="51" t="s">
        <v>1553</v>
      </c>
      <c r="H750" s="65"/>
      <c r="I750" s="42" t="s">
        <v>416</v>
      </c>
      <c r="J750" s="51" t="s">
        <v>1554</v>
      </c>
      <c r="K750" s="51"/>
      <c r="L750" s="56" t="s">
        <v>638</v>
      </c>
      <c r="M750" s="51" t="s">
        <v>1555</v>
      </c>
      <c r="N750" s="27"/>
      <c r="O750" s="73" t="s">
        <v>1523</v>
      </c>
      <c r="P750" s="28"/>
      <c r="Q750" s="28"/>
      <c r="R750" s="28"/>
      <c r="S750" s="28"/>
      <c r="T750" s="28"/>
      <c r="U750" s="1" t="s">
        <v>1524</v>
      </c>
      <c r="V750" s="60" t="s">
        <v>1556</v>
      </c>
    </row>
    <row r="751" spans="1:24" s="60" customFormat="1" ht="15" customHeight="1">
      <c r="A751" s="49">
        <v>198</v>
      </c>
      <c r="B751" s="49" t="s">
        <v>323</v>
      </c>
      <c r="C751" s="50" t="s">
        <v>205</v>
      </c>
      <c r="D751" s="63" t="s">
        <v>1548</v>
      </c>
      <c r="E751" s="51" t="s">
        <v>1557</v>
      </c>
      <c r="F751" s="52" t="s">
        <v>1445</v>
      </c>
      <c r="G751" s="51" t="s">
        <v>1558</v>
      </c>
      <c r="H751" s="65"/>
      <c r="I751" s="42" t="s">
        <v>377</v>
      </c>
      <c r="J751" s="51" t="s">
        <v>1559</v>
      </c>
      <c r="K751" s="51"/>
      <c r="L751" s="56" t="s">
        <v>638</v>
      </c>
      <c r="M751" s="51" t="s">
        <v>1560</v>
      </c>
      <c r="N751" s="27"/>
      <c r="O751" s="73" t="s">
        <v>1561</v>
      </c>
      <c r="P751" s="28"/>
      <c r="Q751" s="28"/>
      <c r="R751" s="28"/>
      <c r="S751" s="28"/>
      <c r="T751" s="28"/>
      <c r="U751" s="1" t="s">
        <v>1524</v>
      </c>
      <c r="V751" s="60" t="s">
        <v>1562</v>
      </c>
    </row>
    <row r="752" spans="1:24" s="60" customFormat="1" ht="15" customHeight="1">
      <c r="A752" s="49">
        <v>198</v>
      </c>
      <c r="B752" s="49" t="s">
        <v>323</v>
      </c>
      <c r="C752" s="50" t="s">
        <v>205</v>
      </c>
      <c r="D752" s="63" t="s">
        <v>1548</v>
      </c>
      <c r="E752" s="67" t="s">
        <v>1563</v>
      </c>
      <c r="F752" s="52" t="s">
        <v>638</v>
      </c>
      <c r="G752" s="51" t="s">
        <v>1564</v>
      </c>
      <c r="H752" s="65"/>
      <c r="I752" s="42" t="s">
        <v>416</v>
      </c>
      <c r="J752" s="51" t="s">
        <v>1565</v>
      </c>
      <c r="K752" s="51"/>
      <c r="L752" s="56" t="s">
        <v>638</v>
      </c>
      <c r="M752" s="51" t="s">
        <v>1566</v>
      </c>
      <c r="N752" s="27"/>
      <c r="O752" s="73" t="s">
        <v>1523</v>
      </c>
      <c r="P752" s="28"/>
      <c r="Q752" s="28"/>
      <c r="R752" s="28"/>
      <c r="S752" s="28"/>
      <c r="T752" s="28"/>
      <c r="U752" s="1" t="s">
        <v>1524</v>
      </c>
      <c r="V752" s="60" t="s">
        <v>1567</v>
      </c>
    </row>
    <row r="753" spans="1:24" s="60" customFormat="1" ht="15" customHeight="1">
      <c r="A753" s="49">
        <v>199</v>
      </c>
      <c r="B753" s="49" t="s">
        <v>324</v>
      </c>
      <c r="C753" s="50" t="s">
        <v>205</v>
      </c>
      <c r="D753" s="63" t="s">
        <v>1646</v>
      </c>
      <c r="E753" s="51" t="s">
        <v>378</v>
      </c>
      <c r="F753" s="42" t="s">
        <v>405</v>
      </c>
      <c r="G753" s="51" t="s">
        <v>1647</v>
      </c>
      <c r="H753" s="65"/>
      <c r="I753" s="42" t="s">
        <v>405</v>
      </c>
      <c r="J753" s="51" t="s">
        <v>1648</v>
      </c>
      <c r="K753" s="51"/>
      <c r="L753" s="56" t="s">
        <v>377</v>
      </c>
      <c r="M753" s="51" t="s">
        <v>1649</v>
      </c>
      <c r="N753" s="27"/>
      <c r="P753" s="28"/>
      <c r="Q753" s="28"/>
      <c r="R753" s="28"/>
      <c r="S753" s="28" t="s">
        <v>13</v>
      </c>
      <c r="T753" s="28"/>
      <c r="U753" s="1" t="s">
        <v>1650</v>
      </c>
      <c r="V753" s="60" t="s">
        <v>1651</v>
      </c>
      <c r="W753" s="1" t="s">
        <v>1652</v>
      </c>
      <c r="X753" s="60" t="s">
        <v>1653</v>
      </c>
    </row>
    <row r="754" spans="1:24" s="60" customFormat="1" ht="15" customHeight="1">
      <c r="A754" s="49">
        <v>199</v>
      </c>
      <c r="B754" s="49" t="s">
        <v>324</v>
      </c>
      <c r="C754" s="50" t="s">
        <v>205</v>
      </c>
      <c r="D754" s="63" t="s">
        <v>1519</v>
      </c>
      <c r="E754" s="51" t="s">
        <v>378</v>
      </c>
      <c r="F754" s="52" t="s">
        <v>801</v>
      </c>
      <c r="G754" s="51" t="s">
        <v>1520</v>
      </c>
      <c r="H754" s="65"/>
      <c r="I754" s="42" t="s">
        <v>379</v>
      </c>
      <c r="J754" s="51" t="s">
        <v>1521</v>
      </c>
      <c r="K754" s="51"/>
      <c r="L754" s="56" t="s">
        <v>1445</v>
      </c>
      <c r="M754" s="51" t="s">
        <v>1522</v>
      </c>
      <c r="N754" s="27"/>
      <c r="O754" s="73" t="s">
        <v>1523</v>
      </c>
      <c r="P754" s="28"/>
      <c r="Q754" s="28"/>
      <c r="R754" s="28"/>
      <c r="S754" s="28"/>
      <c r="T754" s="28"/>
    </row>
    <row r="755" spans="1:24" s="60" customFormat="1" ht="15" customHeight="1">
      <c r="A755" s="49">
        <v>199</v>
      </c>
      <c r="B755" s="49" t="s">
        <v>324</v>
      </c>
      <c r="C755" s="50" t="s">
        <v>205</v>
      </c>
      <c r="D755" s="63" t="s">
        <v>1548</v>
      </c>
      <c r="E755" s="63" t="s">
        <v>1549</v>
      </c>
      <c r="F755" s="52" t="s">
        <v>801</v>
      </c>
      <c r="G755" s="51" t="s">
        <v>1520</v>
      </c>
      <c r="H755" s="65"/>
      <c r="I755" s="42" t="s">
        <v>379</v>
      </c>
      <c r="J755" s="51" t="s">
        <v>1521</v>
      </c>
      <c r="K755" s="51"/>
      <c r="L755" s="56" t="s">
        <v>1445</v>
      </c>
      <c r="M755" s="51" t="s">
        <v>1550</v>
      </c>
      <c r="N755" s="27"/>
      <c r="O755" s="73" t="s">
        <v>1523</v>
      </c>
      <c r="P755" s="28"/>
      <c r="Q755" s="28"/>
      <c r="R755" s="28"/>
      <c r="S755" s="28"/>
      <c r="T755" s="28"/>
      <c r="U755" s="1" t="s">
        <v>1524</v>
      </c>
      <c r="V755" s="60" t="s">
        <v>1551</v>
      </c>
    </row>
    <row r="756" spans="1:24" s="60" customFormat="1" ht="15" customHeight="1">
      <c r="A756" s="49">
        <v>199</v>
      </c>
      <c r="B756" s="49" t="s">
        <v>324</v>
      </c>
      <c r="C756" s="50" t="s">
        <v>205</v>
      </c>
      <c r="D756" s="63" t="s">
        <v>1548</v>
      </c>
      <c r="E756" s="67" t="s">
        <v>1552</v>
      </c>
      <c r="F756" s="52" t="s">
        <v>801</v>
      </c>
      <c r="G756" s="51" t="s">
        <v>1553</v>
      </c>
      <c r="H756" s="65"/>
      <c r="I756" s="42" t="s">
        <v>416</v>
      </c>
      <c r="J756" s="51" t="s">
        <v>1554</v>
      </c>
      <c r="K756" s="51"/>
      <c r="L756" s="56" t="s">
        <v>638</v>
      </c>
      <c r="M756" s="51" t="s">
        <v>1555</v>
      </c>
      <c r="N756" s="27"/>
      <c r="O756" s="73" t="s">
        <v>1523</v>
      </c>
      <c r="P756" s="28"/>
      <c r="Q756" s="28"/>
      <c r="R756" s="28"/>
      <c r="S756" s="28"/>
      <c r="T756" s="28"/>
      <c r="U756" s="1" t="s">
        <v>1524</v>
      </c>
      <c r="V756" s="60" t="s">
        <v>1556</v>
      </c>
    </row>
    <row r="757" spans="1:24" s="60" customFormat="1" ht="15" customHeight="1">
      <c r="A757" s="49">
        <v>199</v>
      </c>
      <c r="B757" s="49" t="s">
        <v>324</v>
      </c>
      <c r="C757" s="50" t="s">
        <v>205</v>
      </c>
      <c r="D757" s="63" t="s">
        <v>1548</v>
      </c>
      <c r="E757" s="51" t="s">
        <v>1557</v>
      </c>
      <c r="F757" s="52" t="s">
        <v>1445</v>
      </c>
      <c r="G757" s="51" t="s">
        <v>1558</v>
      </c>
      <c r="H757" s="65"/>
      <c r="I757" s="42" t="s">
        <v>377</v>
      </c>
      <c r="J757" s="51" t="s">
        <v>1559</v>
      </c>
      <c r="K757" s="51"/>
      <c r="L757" s="56" t="s">
        <v>638</v>
      </c>
      <c r="M757" s="51" t="s">
        <v>1560</v>
      </c>
      <c r="N757" s="27"/>
      <c r="O757" s="73" t="s">
        <v>1561</v>
      </c>
      <c r="P757" s="28"/>
      <c r="Q757" s="28"/>
      <c r="R757" s="28"/>
      <c r="S757" s="28"/>
      <c r="T757" s="28"/>
      <c r="U757" s="1" t="s">
        <v>1524</v>
      </c>
      <c r="V757" s="60" t="s">
        <v>1562</v>
      </c>
    </row>
    <row r="758" spans="1:24" s="60" customFormat="1" ht="15" customHeight="1">
      <c r="A758" s="49">
        <v>199</v>
      </c>
      <c r="B758" s="49" t="s">
        <v>324</v>
      </c>
      <c r="C758" s="50" t="s">
        <v>205</v>
      </c>
      <c r="D758" s="63" t="s">
        <v>1548</v>
      </c>
      <c r="E758" s="67" t="s">
        <v>1563</v>
      </c>
      <c r="F758" s="52" t="s">
        <v>638</v>
      </c>
      <c r="G758" s="51" t="s">
        <v>1564</v>
      </c>
      <c r="H758" s="65"/>
      <c r="I758" s="42" t="s">
        <v>416</v>
      </c>
      <c r="J758" s="51" t="s">
        <v>1565</v>
      </c>
      <c r="K758" s="51"/>
      <c r="L758" s="56" t="s">
        <v>638</v>
      </c>
      <c r="M758" s="51" t="s">
        <v>1566</v>
      </c>
      <c r="N758" s="27"/>
      <c r="O758" s="73" t="s">
        <v>1523</v>
      </c>
      <c r="P758" s="28"/>
      <c r="Q758" s="28"/>
      <c r="R758" s="28"/>
      <c r="S758" s="28"/>
      <c r="T758" s="28"/>
      <c r="U758" s="1" t="s">
        <v>1524</v>
      </c>
      <c r="V758" s="60" t="s">
        <v>1567</v>
      </c>
    </row>
    <row r="759" spans="1:24" s="60" customFormat="1" ht="15" customHeight="1">
      <c r="A759" s="49">
        <v>200</v>
      </c>
      <c r="B759" s="49" t="s">
        <v>325</v>
      </c>
      <c r="C759" s="50" t="s">
        <v>205</v>
      </c>
      <c r="D759" s="63" t="s">
        <v>1638</v>
      </c>
      <c r="E759" s="51" t="s">
        <v>378</v>
      </c>
      <c r="F759" s="42" t="s">
        <v>405</v>
      </c>
      <c r="G759" s="51" t="s">
        <v>1639</v>
      </c>
      <c r="H759" s="65"/>
      <c r="I759" s="42" t="s">
        <v>377</v>
      </c>
      <c r="J759" s="51" t="s">
        <v>1640</v>
      </c>
      <c r="K759" s="51"/>
      <c r="L759" s="56" t="s">
        <v>416</v>
      </c>
      <c r="M759" s="51" t="s">
        <v>1641</v>
      </c>
      <c r="N759" s="27"/>
      <c r="P759" s="28"/>
      <c r="Q759" s="28"/>
      <c r="R759" s="28"/>
      <c r="S759" s="28" t="s">
        <v>13</v>
      </c>
      <c r="T759" s="28" t="s">
        <v>13</v>
      </c>
      <c r="U759" s="3" t="s">
        <v>1642</v>
      </c>
      <c r="V759" s="60" t="s">
        <v>1643</v>
      </c>
      <c r="W759" s="3" t="s">
        <v>1644</v>
      </c>
      <c r="X759" s="60" t="s">
        <v>1645</v>
      </c>
    </row>
    <row r="760" spans="1:24" s="60" customFormat="1" ht="15" customHeight="1">
      <c r="A760" s="49">
        <v>200</v>
      </c>
      <c r="B760" s="49" t="s">
        <v>325</v>
      </c>
      <c r="C760" s="50" t="s">
        <v>205</v>
      </c>
      <c r="D760" s="63" t="s">
        <v>1548</v>
      </c>
      <c r="E760" s="63" t="s">
        <v>1549</v>
      </c>
      <c r="F760" s="52" t="s">
        <v>801</v>
      </c>
      <c r="G760" s="51" t="s">
        <v>1520</v>
      </c>
      <c r="H760" s="65"/>
      <c r="I760" s="42" t="s">
        <v>379</v>
      </c>
      <c r="J760" s="51" t="s">
        <v>1521</v>
      </c>
      <c r="K760" s="51"/>
      <c r="L760" s="56" t="s">
        <v>1445</v>
      </c>
      <c r="M760" s="51" t="s">
        <v>1550</v>
      </c>
      <c r="N760" s="27"/>
      <c r="O760" s="73" t="s">
        <v>1523</v>
      </c>
      <c r="P760" s="28"/>
      <c r="Q760" s="28"/>
      <c r="R760" s="28"/>
      <c r="S760" s="28"/>
      <c r="T760" s="28"/>
      <c r="U760" s="1" t="s">
        <v>1524</v>
      </c>
      <c r="V760" s="60" t="s">
        <v>1551</v>
      </c>
    </row>
    <row r="761" spans="1:24" s="60" customFormat="1" ht="15" customHeight="1">
      <c r="A761" s="49">
        <v>200</v>
      </c>
      <c r="B761" s="49" t="s">
        <v>325</v>
      </c>
      <c r="C761" s="50" t="s">
        <v>205</v>
      </c>
      <c r="D761" s="63" t="s">
        <v>1548</v>
      </c>
      <c r="E761" s="67" t="s">
        <v>1552</v>
      </c>
      <c r="F761" s="52" t="s">
        <v>801</v>
      </c>
      <c r="G761" s="51" t="s">
        <v>1553</v>
      </c>
      <c r="H761" s="65"/>
      <c r="I761" s="42" t="s">
        <v>416</v>
      </c>
      <c r="J761" s="51" t="s">
        <v>1554</v>
      </c>
      <c r="K761" s="51"/>
      <c r="L761" s="56" t="s">
        <v>638</v>
      </c>
      <c r="M761" s="51" t="s">
        <v>1555</v>
      </c>
      <c r="N761" s="27"/>
      <c r="O761" s="73" t="s">
        <v>1523</v>
      </c>
      <c r="P761" s="28"/>
      <c r="Q761" s="28"/>
      <c r="R761" s="28"/>
      <c r="S761" s="28"/>
      <c r="T761" s="28"/>
      <c r="U761" s="1" t="s">
        <v>1524</v>
      </c>
      <c r="V761" s="60" t="s">
        <v>1556</v>
      </c>
    </row>
    <row r="762" spans="1:24" s="60" customFormat="1" ht="15" customHeight="1">
      <c r="A762" s="49">
        <v>200</v>
      </c>
      <c r="B762" s="49" t="s">
        <v>325</v>
      </c>
      <c r="C762" s="50" t="s">
        <v>205</v>
      </c>
      <c r="D762" s="63" t="s">
        <v>1548</v>
      </c>
      <c r="E762" s="51" t="s">
        <v>1557</v>
      </c>
      <c r="F762" s="52" t="s">
        <v>1445</v>
      </c>
      <c r="G762" s="51" t="s">
        <v>1558</v>
      </c>
      <c r="H762" s="65"/>
      <c r="I762" s="42" t="s">
        <v>377</v>
      </c>
      <c r="J762" s="51" t="s">
        <v>1559</v>
      </c>
      <c r="K762" s="51"/>
      <c r="L762" s="56" t="s">
        <v>638</v>
      </c>
      <c r="M762" s="51" t="s">
        <v>1560</v>
      </c>
      <c r="N762" s="27"/>
      <c r="O762" s="73" t="s">
        <v>1561</v>
      </c>
      <c r="P762" s="28"/>
      <c r="Q762" s="28"/>
      <c r="R762" s="28"/>
      <c r="S762" s="28"/>
      <c r="T762" s="28"/>
      <c r="U762" s="1" t="s">
        <v>1524</v>
      </c>
      <c r="V762" s="60" t="s">
        <v>1562</v>
      </c>
    </row>
    <row r="763" spans="1:24" s="60" customFormat="1" ht="15" customHeight="1">
      <c r="A763" s="49">
        <v>200</v>
      </c>
      <c r="B763" s="49" t="s">
        <v>325</v>
      </c>
      <c r="C763" s="50" t="s">
        <v>205</v>
      </c>
      <c r="D763" s="63" t="s">
        <v>1548</v>
      </c>
      <c r="E763" s="51" t="s">
        <v>1563</v>
      </c>
      <c r="F763" s="52" t="s">
        <v>638</v>
      </c>
      <c r="G763" s="51" t="s">
        <v>1564</v>
      </c>
      <c r="H763" s="65"/>
      <c r="I763" s="42" t="s">
        <v>416</v>
      </c>
      <c r="J763" s="51" t="s">
        <v>1565</v>
      </c>
      <c r="K763" s="51"/>
      <c r="L763" s="56" t="s">
        <v>638</v>
      </c>
      <c r="M763" s="51" t="s">
        <v>1566</v>
      </c>
      <c r="N763" s="27"/>
      <c r="O763" s="73" t="s">
        <v>1523</v>
      </c>
      <c r="P763" s="28"/>
      <c r="Q763" s="28"/>
      <c r="R763" s="28"/>
      <c r="S763" s="28"/>
      <c r="T763" s="28"/>
      <c r="U763" s="1" t="s">
        <v>1524</v>
      </c>
      <c r="V763" s="60" t="s">
        <v>1567</v>
      </c>
    </row>
    <row r="764" spans="1:24" s="60" customFormat="1" ht="15" customHeight="1">
      <c r="A764" s="49">
        <v>201</v>
      </c>
      <c r="B764" s="49" t="s">
        <v>327</v>
      </c>
      <c r="C764" s="50" t="s">
        <v>328</v>
      </c>
      <c r="D764" s="63" t="s">
        <v>1630</v>
      </c>
      <c r="E764" s="51" t="s">
        <v>378</v>
      </c>
      <c r="F764" s="128" t="s">
        <v>379</v>
      </c>
      <c r="G764" s="51" t="s">
        <v>1631</v>
      </c>
      <c r="H764" s="67"/>
      <c r="I764" s="93" t="s">
        <v>416</v>
      </c>
      <c r="J764" s="51" t="s">
        <v>1632</v>
      </c>
      <c r="K764" s="51"/>
      <c r="L764" s="94" t="s">
        <v>416</v>
      </c>
      <c r="M764" s="51" t="s">
        <v>1633</v>
      </c>
      <c r="P764" s="85"/>
      <c r="Q764" s="85"/>
      <c r="R764" s="85"/>
      <c r="S764" s="85"/>
      <c r="T764" s="85"/>
      <c r="U764" s="3" t="s">
        <v>1634</v>
      </c>
      <c r="V764" s="60" t="s">
        <v>1635</v>
      </c>
      <c r="W764" s="3" t="s">
        <v>1636</v>
      </c>
      <c r="X764" s="60" t="s">
        <v>1637</v>
      </c>
    </row>
    <row r="765" spans="1:24" s="60" customFormat="1" ht="15" customHeight="1">
      <c r="A765" s="49">
        <v>202</v>
      </c>
      <c r="B765" s="49" t="s">
        <v>329</v>
      </c>
      <c r="C765" s="50" t="s">
        <v>205</v>
      </c>
      <c r="D765" s="63" t="s">
        <v>1630</v>
      </c>
      <c r="E765" s="51" t="s">
        <v>378</v>
      </c>
      <c r="F765" s="128" t="s">
        <v>379</v>
      </c>
      <c r="G765" s="51" t="s">
        <v>1631</v>
      </c>
      <c r="H765" s="67"/>
      <c r="I765" s="93" t="s">
        <v>416</v>
      </c>
      <c r="J765" s="51" t="s">
        <v>1632</v>
      </c>
      <c r="K765" s="51"/>
      <c r="L765" s="94" t="s">
        <v>416</v>
      </c>
      <c r="M765" s="51" t="s">
        <v>1633</v>
      </c>
      <c r="P765" s="85"/>
      <c r="Q765" s="85"/>
      <c r="R765" s="85"/>
      <c r="S765" s="85"/>
      <c r="T765" s="85"/>
      <c r="U765" s="3" t="s">
        <v>1634</v>
      </c>
      <c r="V765" s="60" t="s">
        <v>1635</v>
      </c>
      <c r="W765" s="3" t="s">
        <v>1636</v>
      </c>
      <c r="X765" s="60" t="s">
        <v>1637</v>
      </c>
    </row>
    <row r="766" spans="1:24" s="60" customFormat="1" ht="15" customHeight="1">
      <c r="A766" s="49">
        <v>202</v>
      </c>
      <c r="B766" s="49" t="s">
        <v>329</v>
      </c>
      <c r="C766" s="50" t="s">
        <v>205</v>
      </c>
      <c r="D766" s="63" t="s">
        <v>1548</v>
      </c>
      <c r="E766" s="51" t="s">
        <v>1549</v>
      </c>
      <c r="F766" s="52" t="s">
        <v>801</v>
      </c>
      <c r="G766" s="51" t="s">
        <v>1520</v>
      </c>
      <c r="H766" s="65"/>
      <c r="I766" s="42" t="s">
        <v>379</v>
      </c>
      <c r="J766" s="51" t="s">
        <v>1521</v>
      </c>
      <c r="K766" s="51"/>
      <c r="L766" s="56" t="s">
        <v>1445</v>
      </c>
      <c r="M766" s="51" t="s">
        <v>1550</v>
      </c>
      <c r="N766" s="27"/>
      <c r="O766" s="73" t="s">
        <v>1523</v>
      </c>
      <c r="P766" s="28"/>
      <c r="Q766" s="28"/>
      <c r="R766" s="28"/>
      <c r="S766" s="28"/>
      <c r="T766" s="28"/>
      <c r="U766" s="1" t="s">
        <v>1524</v>
      </c>
      <c r="V766" s="60" t="s">
        <v>1551</v>
      </c>
    </row>
    <row r="767" spans="1:24" s="60" customFormat="1" ht="15" customHeight="1">
      <c r="A767" s="49">
        <v>202</v>
      </c>
      <c r="B767" s="49" t="s">
        <v>329</v>
      </c>
      <c r="C767" s="50" t="s">
        <v>205</v>
      </c>
      <c r="D767" s="51" t="s">
        <v>1548</v>
      </c>
      <c r="E767" s="51" t="s">
        <v>1552</v>
      </c>
      <c r="F767" s="52" t="s">
        <v>801</v>
      </c>
      <c r="G767" s="51" t="s">
        <v>1553</v>
      </c>
      <c r="H767" s="65"/>
      <c r="I767" s="42" t="s">
        <v>416</v>
      </c>
      <c r="J767" s="51" t="s">
        <v>1554</v>
      </c>
      <c r="K767" s="51"/>
      <c r="L767" s="56" t="s">
        <v>638</v>
      </c>
      <c r="M767" s="51" t="s">
        <v>1555</v>
      </c>
      <c r="N767" s="27"/>
      <c r="O767" s="73" t="s">
        <v>1523</v>
      </c>
      <c r="P767" s="28"/>
      <c r="Q767" s="28"/>
      <c r="R767" s="28"/>
      <c r="S767" s="28"/>
      <c r="T767" s="28"/>
      <c r="U767" s="1" t="s">
        <v>1524</v>
      </c>
      <c r="V767" s="60" t="s">
        <v>1556</v>
      </c>
    </row>
    <row r="768" spans="1:24" s="60" customFormat="1" ht="15" customHeight="1">
      <c r="A768" s="49">
        <v>202</v>
      </c>
      <c r="B768" s="49" t="s">
        <v>329</v>
      </c>
      <c r="C768" s="50" t="s">
        <v>205</v>
      </c>
      <c r="D768" s="51" t="s">
        <v>1548</v>
      </c>
      <c r="E768" s="51" t="s">
        <v>1557</v>
      </c>
      <c r="F768" s="52" t="s">
        <v>1445</v>
      </c>
      <c r="G768" s="51" t="s">
        <v>1558</v>
      </c>
      <c r="H768" s="65"/>
      <c r="I768" s="42" t="s">
        <v>377</v>
      </c>
      <c r="J768" s="51" t="s">
        <v>1559</v>
      </c>
      <c r="K768" s="51"/>
      <c r="L768" s="56" t="s">
        <v>638</v>
      </c>
      <c r="M768" s="51" t="s">
        <v>1560</v>
      </c>
      <c r="N768" s="27"/>
      <c r="O768" s="73" t="s">
        <v>1561</v>
      </c>
      <c r="P768" s="28"/>
      <c r="Q768" s="28"/>
      <c r="R768" s="28"/>
      <c r="S768" s="28"/>
      <c r="T768" s="28"/>
      <c r="U768" s="1" t="s">
        <v>1524</v>
      </c>
      <c r="V768" s="60" t="s">
        <v>1562</v>
      </c>
    </row>
    <row r="769" spans="1:28" s="60" customFormat="1" ht="15" customHeight="1">
      <c r="A769" s="49">
        <v>202</v>
      </c>
      <c r="B769" s="49" t="s">
        <v>329</v>
      </c>
      <c r="C769" s="50" t="s">
        <v>205</v>
      </c>
      <c r="D769" s="51" t="s">
        <v>1548</v>
      </c>
      <c r="E769" s="51" t="s">
        <v>1563</v>
      </c>
      <c r="F769" s="52" t="s">
        <v>638</v>
      </c>
      <c r="G769" s="51" t="s">
        <v>1564</v>
      </c>
      <c r="H769" s="65"/>
      <c r="I769" s="42" t="s">
        <v>416</v>
      </c>
      <c r="J769" s="51" t="s">
        <v>1565</v>
      </c>
      <c r="K769" s="51"/>
      <c r="L769" s="56" t="s">
        <v>638</v>
      </c>
      <c r="M769" s="51" t="s">
        <v>1566</v>
      </c>
      <c r="N769" s="27"/>
      <c r="O769" s="73" t="s">
        <v>1523</v>
      </c>
      <c r="P769" s="28"/>
      <c r="Q769" s="28"/>
      <c r="R769" s="28"/>
      <c r="S769" s="28"/>
      <c r="T769" s="28"/>
      <c r="U769" s="1" t="s">
        <v>1524</v>
      </c>
      <c r="V769" s="60" t="s">
        <v>1567</v>
      </c>
    </row>
    <row r="770" spans="1:28" s="60" customFormat="1" ht="15" customHeight="1">
      <c r="A770" s="49">
        <v>203</v>
      </c>
      <c r="B770" s="49" t="s">
        <v>330</v>
      </c>
      <c r="C770" s="50" t="s">
        <v>215</v>
      </c>
      <c r="D770" s="51" t="s">
        <v>1519</v>
      </c>
      <c r="E770" s="51" t="s">
        <v>378</v>
      </c>
      <c r="F770" s="52" t="s">
        <v>801</v>
      </c>
      <c r="G770" s="51" t="s">
        <v>1520</v>
      </c>
      <c r="H770" s="65"/>
      <c r="I770" s="42" t="s">
        <v>379</v>
      </c>
      <c r="J770" s="51" t="s">
        <v>1521</v>
      </c>
      <c r="K770" s="51"/>
      <c r="L770" s="56" t="s">
        <v>1445</v>
      </c>
      <c r="M770" s="51" t="s">
        <v>1522</v>
      </c>
      <c r="N770" s="27"/>
      <c r="O770" s="73" t="s">
        <v>1523</v>
      </c>
      <c r="P770" s="28"/>
      <c r="Q770" s="28"/>
      <c r="R770" s="28"/>
      <c r="S770" s="28" t="s">
        <v>13</v>
      </c>
      <c r="T770" s="28"/>
      <c r="U770" s="1" t="s">
        <v>1524</v>
      </c>
      <c r="V770" s="60" t="s">
        <v>1542</v>
      </c>
    </row>
    <row r="771" spans="1:28" s="60" customFormat="1" ht="15" customHeight="1">
      <c r="A771" s="49">
        <v>204</v>
      </c>
      <c r="B771" s="49" t="s">
        <v>331</v>
      </c>
      <c r="C771" s="50" t="s">
        <v>332</v>
      </c>
      <c r="D771" s="51" t="s">
        <v>1519</v>
      </c>
      <c r="E771" s="51" t="s">
        <v>378</v>
      </c>
      <c r="F771" s="52" t="s">
        <v>801</v>
      </c>
      <c r="G771" s="51" t="s">
        <v>1520</v>
      </c>
      <c r="H771" s="65"/>
      <c r="I771" s="42" t="s">
        <v>379</v>
      </c>
      <c r="J771" s="51" t="s">
        <v>1521</v>
      </c>
      <c r="K771" s="51"/>
      <c r="L771" s="56" t="s">
        <v>1445</v>
      </c>
      <c r="M771" s="51" t="s">
        <v>1522</v>
      </c>
      <c r="N771" s="27"/>
      <c r="O771" s="73" t="s">
        <v>1523</v>
      </c>
      <c r="P771" s="28"/>
      <c r="Q771" s="28"/>
      <c r="R771" s="28"/>
      <c r="S771" s="28" t="s">
        <v>13</v>
      </c>
      <c r="T771" s="28"/>
      <c r="U771" s="1" t="s">
        <v>1524</v>
      </c>
      <c r="V771" s="60" t="s">
        <v>1542</v>
      </c>
    </row>
    <row r="772" spans="1:28" s="60" customFormat="1" ht="15" customHeight="1">
      <c r="A772" s="49">
        <v>204</v>
      </c>
      <c r="B772" s="49" t="s">
        <v>331</v>
      </c>
      <c r="C772" s="50" t="s">
        <v>332</v>
      </c>
      <c r="D772" s="51" t="s">
        <v>1526</v>
      </c>
      <c r="E772" s="51" t="s">
        <v>378</v>
      </c>
      <c r="F772" s="42" t="s">
        <v>405</v>
      </c>
      <c r="G772" s="51" t="s">
        <v>1527</v>
      </c>
      <c r="H772" s="65"/>
      <c r="I772" s="42" t="s">
        <v>379</v>
      </c>
      <c r="J772" s="51" t="s">
        <v>1528</v>
      </c>
      <c r="K772" s="51"/>
      <c r="L772" s="56" t="s">
        <v>377</v>
      </c>
      <c r="M772" s="51" t="s">
        <v>1529</v>
      </c>
      <c r="N772" s="27"/>
      <c r="P772" s="28"/>
      <c r="Q772" s="28"/>
      <c r="R772" s="28"/>
      <c r="S772" s="28"/>
      <c r="T772" s="28"/>
      <c r="U772" s="1" t="s">
        <v>1530</v>
      </c>
    </row>
    <row r="773" spans="1:28" s="60" customFormat="1" ht="15" customHeight="1">
      <c r="A773" s="49">
        <v>205</v>
      </c>
      <c r="B773" s="49" t="s">
        <v>333</v>
      </c>
      <c r="C773" s="50" t="s">
        <v>334</v>
      </c>
      <c r="D773" s="51" t="s">
        <v>1519</v>
      </c>
      <c r="E773" s="51" t="s">
        <v>378</v>
      </c>
      <c r="F773" s="52" t="s">
        <v>801</v>
      </c>
      <c r="G773" s="51" t="s">
        <v>1520</v>
      </c>
      <c r="H773" s="65"/>
      <c r="I773" s="42" t="s">
        <v>379</v>
      </c>
      <c r="J773" s="51" t="s">
        <v>1521</v>
      </c>
      <c r="K773" s="51"/>
      <c r="L773" s="56" t="s">
        <v>1445</v>
      </c>
      <c r="M773" s="51" t="s">
        <v>1522</v>
      </c>
      <c r="N773" s="27"/>
      <c r="O773" s="73" t="s">
        <v>1523</v>
      </c>
      <c r="P773" s="28"/>
      <c r="Q773" s="28"/>
      <c r="R773" s="28"/>
      <c r="S773" s="28" t="s">
        <v>13</v>
      </c>
      <c r="T773" s="28"/>
      <c r="U773" s="1" t="s">
        <v>1524</v>
      </c>
      <c r="V773" s="60" t="s">
        <v>1542</v>
      </c>
    </row>
    <row r="774" spans="1:28" s="60" customFormat="1" ht="15" customHeight="1">
      <c r="A774" s="49">
        <v>206</v>
      </c>
      <c r="B774" s="49" t="s">
        <v>335</v>
      </c>
      <c r="C774" s="50" t="s">
        <v>336</v>
      </c>
      <c r="D774" s="51" t="s">
        <v>1519</v>
      </c>
      <c r="E774" s="51" t="s">
        <v>378</v>
      </c>
      <c r="F774" s="52" t="s">
        <v>801</v>
      </c>
      <c r="G774" s="51" t="s">
        <v>1520</v>
      </c>
      <c r="H774" s="65"/>
      <c r="I774" s="42" t="s">
        <v>379</v>
      </c>
      <c r="J774" s="51" t="s">
        <v>1521</v>
      </c>
      <c r="K774" s="51"/>
      <c r="L774" s="56" t="s">
        <v>1445</v>
      </c>
      <c r="M774" s="51" t="s">
        <v>1522</v>
      </c>
      <c r="N774" s="27"/>
      <c r="O774" s="73" t="s">
        <v>1523</v>
      </c>
      <c r="P774" s="28"/>
      <c r="Q774" s="28"/>
      <c r="R774" s="28"/>
      <c r="S774" s="28" t="s">
        <v>13</v>
      </c>
      <c r="T774" s="28"/>
      <c r="U774" s="1" t="s">
        <v>1524</v>
      </c>
      <c r="V774" s="60" t="s">
        <v>1542</v>
      </c>
    </row>
    <row r="775" spans="1:28" s="60" customFormat="1" ht="15" customHeight="1">
      <c r="A775" s="49">
        <v>207</v>
      </c>
      <c r="B775" s="49" t="s">
        <v>337</v>
      </c>
      <c r="C775" s="50" t="s">
        <v>209</v>
      </c>
      <c r="D775" s="51" t="s">
        <v>1519</v>
      </c>
      <c r="E775" s="51" t="s">
        <v>378</v>
      </c>
      <c r="F775" s="52" t="s">
        <v>801</v>
      </c>
      <c r="G775" s="51" t="s">
        <v>1520</v>
      </c>
      <c r="H775" s="65"/>
      <c r="I775" s="42" t="s">
        <v>379</v>
      </c>
      <c r="J775" s="51" t="s">
        <v>1521</v>
      </c>
      <c r="K775" s="51"/>
      <c r="L775" s="56" t="s">
        <v>1445</v>
      </c>
      <c r="M775" s="51" t="s">
        <v>1522</v>
      </c>
      <c r="N775" s="27"/>
      <c r="O775" s="73" t="s">
        <v>1523</v>
      </c>
      <c r="P775" s="28"/>
      <c r="Q775" s="28"/>
      <c r="R775" s="28"/>
      <c r="S775" s="28" t="s">
        <v>13</v>
      </c>
      <c r="T775" s="28"/>
      <c r="U775" s="1" t="s">
        <v>1524</v>
      </c>
      <c r="V775" s="60" t="s">
        <v>1542</v>
      </c>
    </row>
    <row r="776" spans="1:28" s="60" customFormat="1" ht="15" customHeight="1">
      <c r="A776" s="49">
        <v>208</v>
      </c>
      <c r="B776" s="49" t="s">
        <v>338</v>
      </c>
      <c r="C776" s="50" t="s">
        <v>205</v>
      </c>
      <c r="D776" s="51" t="s">
        <v>1519</v>
      </c>
      <c r="E776" s="51" t="s">
        <v>378</v>
      </c>
      <c r="F776" s="52" t="s">
        <v>801</v>
      </c>
      <c r="G776" s="51" t="s">
        <v>1520</v>
      </c>
      <c r="H776" s="65"/>
      <c r="I776" s="42" t="s">
        <v>379</v>
      </c>
      <c r="J776" s="51" t="s">
        <v>1521</v>
      </c>
      <c r="K776" s="51"/>
      <c r="L776" s="56" t="s">
        <v>1445</v>
      </c>
      <c r="M776" s="51" t="s">
        <v>1522</v>
      </c>
      <c r="N776" s="27"/>
      <c r="O776" s="73" t="s">
        <v>1523</v>
      </c>
      <c r="P776" s="28"/>
      <c r="Q776" s="28"/>
      <c r="R776" s="28"/>
      <c r="S776" s="28" t="s">
        <v>13</v>
      </c>
      <c r="T776" s="28"/>
      <c r="U776" s="1" t="s">
        <v>1524</v>
      </c>
      <c r="V776" s="60" t="s">
        <v>1542</v>
      </c>
    </row>
    <row r="777" spans="1:28" s="60" customFormat="1" ht="15" customHeight="1">
      <c r="A777" s="49">
        <v>209</v>
      </c>
      <c r="B777" s="49" t="s">
        <v>339</v>
      </c>
      <c r="C777" s="50" t="s">
        <v>205</v>
      </c>
      <c r="D777" s="51" t="s">
        <v>1519</v>
      </c>
      <c r="E777" s="51" t="s">
        <v>378</v>
      </c>
      <c r="F777" s="52" t="s">
        <v>801</v>
      </c>
      <c r="G777" s="51" t="s">
        <v>1520</v>
      </c>
      <c r="H777" s="65"/>
      <c r="I777" s="42" t="s">
        <v>379</v>
      </c>
      <c r="J777" s="51" t="s">
        <v>1521</v>
      </c>
      <c r="K777" s="51"/>
      <c r="L777" s="56" t="s">
        <v>1445</v>
      </c>
      <c r="M777" s="51" t="s">
        <v>1522</v>
      </c>
      <c r="N777" s="27"/>
      <c r="O777" s="73" t="s">
        <v>1523</v>
      </c>
      <c r="P777" s="28"/>
      <c r="Q777" s="28"/>
      <c r="R777" s="28"/>
      <c r="S777" s="28" t="s">
        <v>13</v>
      </c>
      <c r="T777" s="28"/>
      <c r="U777" s="1" t="s">
        <v>1524</v>
      </c>
      <c r="V777" s="60" t="s">
        <v>1542</v>
      </c>
    </row>
    <row r="778" spans="1:28" s="60" customFormat="1" ht="15" customHeight="1">
      <c r="A778" s="49">
        <v>210</v>
      </c>
      <c r="B778" s="49" t="s">
        <v>340</v>
      </c>
      <c r="C778" s="50" t="s">
        <v>72</v>
      </c>
      <c r="D778" s="51" t="s">
        <v>1519</v>
      </c>
      <c r="E778" s="51" t="s">
        <v>378</v>
      </c>
      <c r="F778" s="52" t="s">
        <v>801</v>
      </c>
      <c r="G778" s="51" t="s">
        <v>1520</v>
      </c>
      <c r="H778" s="65"/>
      <c r="I778" s="42" t="s">
        <v>379</v>
      </c>
      <c r="J778" s="51" t="s">
        <v>1521</v>
      </c>
      <c r="K778" s="51"/>
      <c r="L778" s="56" t="s">
        <v>1445</v>
      </c>
      <c r="M778" s="51" t="s">
        <v>1522</v>
      </c>
      <c r="N778" s="27"/>
      <c r="O778" s="73" t="s">
        <v>1523</v>
      </c>
      <c r="P778" s="28"/>
      <c r="Q778" s="28"/>
      <c r="R778" s="28"/>
      <c r="S778" s="28" t="s">
        <v>13</v>
      </c>
      <c r="T778" s="28"/>
      <c r="U778" s="1" t="s">
        <v>1524</v>
      </c>
      <c r="V778" s="60" t="s">
        <v>1542</v>
      </c>
    </row>
    <row r="779" spans="1:28" s="60" customFormat="1" ht="15" customHeight="1">
      <c r="A779" s="49">
        <v>210</v>
      </c>
      <c r="B779" s="49" t="s">
        <v>340</v>
      </c>
      <c r="C779" s="50" t="s">
        <v>72</v>
      </c>
      <c r="D779" s="51" t="s">
        <v>1526</v>
      </c>
      <c r="E779" s="51" t="s">
        <v>378</v>
      </c>
      <c r="F779" s="42" t="s">
        <v>405</v>
      </c>
      <c r="G779" s="51" t="s">
        <v>1527</v>
      </c>
      <c r="H779" s="65"/>
      <c r="I779" s="42" t="s">
        <v>379</v>
      </c>
      <c r="J779" s="51" t="s">
        <v>1528</v>
      </c>
      <c r="K779" s="51"/>
      <c r="L779" s="56" t="s">
        <v>377</v>
      </c>
      <c r="M779" s="51" t="s">
        <v>1529</v>
      </c>
      <c r="N779" s="27"/>
      <c r="P779" s="28"/>
      <c r="Q779" s="28"/>
      <c r="R779" s="28"/>
      <c r="S779" s="28"/>
      <c r="T779" s="28"/>
      <c r="U779" s="1" t="s">
        <v>1530</v>
      </c>
    </row>
    <row r="780" spans="1:28" s="60" customFormat="1" ht="15" customHeight="1">
      <c r="A780" s="49">
        <v>211</v>
      </c>
      <c r="B780" s="49" t="s">
        <v>341</v>
      </c>
      <c r="C780" s="50" t="s">
        <v>72</v>
      </c>
      <c r="D780" s="51" t="s">
        <v>1519</v>
      </c>
      <c r="E780" s="51" t="s">
        <v>378</v>
      </c>
      <c r="F780" s="52" t="s">
        <v>801</v>
      </c>
      <c r="G780" s="51" t="s">
        <v>1520</v>
      </c>
      <c r="H780" s="65"/>
      <c r="I780" s="42" t="s">
        <v>379</v>
      </c>
      <c r="J780" s="51" t="s">
        <v>1521</v>
      </c>
      <c r="K780" s="51"/>
      <c r="L780" s="56" t="s">
        <v>1445</v>
      </c>
      <c r="M780" s="51" t="s">
        <v>1522</v>
      </c>
      <c r="N780" s="27"/>
      <c r="O780" s="73" t="s">
        <v>1523</v>
      </c>
      <c r="P780" s="28"/>
      <c r="Q780" s="28"/>
      <c r="R780" s="28"/>
      <c r="S780" s="28" t="s">
        <v>13</v>
      </c>
      <c r="T780" s="28"/>
      <c r="U780" s="1" t="s">
        <v>1524</v>
      </c>
      <c r="V780" s="60" t="s">
        <v>1542</v>
      </c>
    </row>
    <row r="781" spans="1:28" s="60" customFormat="1" ht="15" customHeight="1">
      <c r="A781" s="49">
        <v>211</v>
      </c>
      <c r="B781" s="49" t="s">
        <v>341</v>
      </c>
      <c r="C781" s="50" t="s">
        <v>72</v>
      </c>
      <c r="D781" s="51" t="s">
        <v>1526</v>
      </c>
      <c r="E781" s="51" t="s">
        <v>378</v>
      </c>
      <c r="F781" s="42" t="s">
        <v>405</v>
      </c>
      <c r="G781" s="51" t="s">
        <v>1527</v>
      </c>
      <c r="H781" s="65"/>
      <c r="I781" s="42" t="s">
        <v>379</v>
      </c>
      <c r="J781" s="51" t="s">
        <v>1528</v>
      </c>
      <c r="K781" s="51"/>
      <c r="L781" s="56" t="s">
        <v>377</v>
      </c>
      <c r="M781" s="51" t="s">
        <v>1529</v>
      </c>
      <c r="N781" s="27"/>
      <c r="P781" s="28"/>
      <c r="Q781" s="28"/>
      <c r="R781" s="28"/>
      <c r="S781" s="28"/>
      <c r="T781" s="28"/>
      <c r="U781" s="1" t="s">
        <v>1530</v>
      </c>
    </row>
    <row r="782" spans="1:28" s="60" customFormat="1" ht="15" customHeight="1">
      <c r="A782" s="49">
        <v>212</v>
      </c>
      <c r="B782" s="49" t="s">
        <v>342</v>
      </c>
      <c r="C782" s="50" t="s">
        <v>209</v>
      </c>
      <c r="D782" s="51" t="s">
        <v>1646</v>
      </c>
      <c r="E782" s="51" t="s">
        <v>378</v>
      </c>
      <c r="F782" s="42" t="s">
        <v>405</v>
      </c>
      <c r="G782" s="51" t="s">
        <v>1647</v>
      </c>
      <c r="H782" s="65"/>
      <c r="I782" s="42" t="s">
        <v>405</v>
      </c>
      <c r="J782" s="51" t="s">
        <v>1648</v>
      </c>
      <c r="K782" s="51"/>
      <c r="L782" s="56" t="s">
        <v>377</v>
      </c>
      <c r="M782" s="51" t="s">
        <v>1649</v>
      </c>
      <c r="N782" s="27"/>
      <c r="P782" s="28"/>
      <c r="Q782" s="28"/>
      <c r="R782" s="28"/>
      <c r="S782" s="28" t="s">
        <v>13</v>
      </c>
      <c r="T782" s="28"/>
      <c r="U782" s="1" t="s">
        <v>1650</v>
      </c>
      <c r="V782" s="60" t="s">
        <v>1651</v>
      </c>
      <c r="W782" s="1" t="s">
        <v>1652</v>
      </c>
      <c r="X782" s="60" t="s">
        <v>1653</v>
      </c>
    </row>
    <row r="783" spans="1:28" s="60" customFormat="1" ht="15" customHeight="1">
      <c r="A783" s="49">
        <v>212</v>
      </c>
      <c r="B783" s="49" t="s">
        <v>342</v>
      </c>
      <c r="C783" s="50" t="s">
        <v>209</v>
      </c>
      <c r="D783" s="51" t="s">
        <v>1628</v>
      </c>
      <c r="E783" s="51" t="s">
        <v>378</v>
      </c>
      <c r="F783" s="42" t="s">
        <v>405</v>
      </c>
      <c r="G783" s="51" t="s">
        <v>899</v>
      </c>
      <c r="H783" s="65"/>
      <c r="I783" s="42" t="s">
        <v>416</v>
      </c>
      <c r="J783" s="51" t="s">
        <v>900</v>
      </c>
      <c r="K783" s="51"/>
      <c r="L783" s="94" t="s">
        <v>416</v>
      </c>
      <c r="M783" s="51" t="s">
        <v>1629</v>
      </c>
      <c r="N783" s="27"/>
      <c r="P783" s="28"/>
      <c r="Q783" s="28"/>
      <c r="R783" s="28"/>
      <c r="S783" s="28"/>
      <c r="T783" s="28"/>
      <c r="U783" s="1" t="s">
        <v>902</v>
      </c>
      <c r="V783" s="60" t="s">
        <v>903</v>
      </c>
      <c r="W783" s="3" t="s">
        <v>904</v>
      </c>
      <c r="X783" s="60" t="s">
        <v>905</v>
      </c>
      <c r="Y783" s="3" t="s">
        <v>906</v>
      </c>
      <c r="Z783" s="60" t="s">
        <v>907</v>
      </c>
      <c r="AA783" s="3" t="s">
        <v>908</v>
      </c>
      <c r="AB783" s="60" t="s">
        <v>909</v>
      </c>
    </row>
    <row r="784" spans="1:28" s="60" customFormat="1" ht="15" customHeight="1">
      <c r="A784" s="49">
        <v>213</v>
      </c>
      <c r="B784" s="49" t="s">
        <v>343</v>
      </c>
      <c r="C784" s="50" t="s">
        <v>209</v>
      </c>
      <c r="D784" s="51" t="s">
        <v>1519</v>
      </c>
      <c r="E784" s="51" t="s">
        <v>378</v>
      </c>
      <c r="F784" s="52" t="s">
        <v>801</v>
      </c>
      <c r="G784" s="51" t="s">
        <v>1520</v>
      </c>
      <c r="H784" s="65"/>
      <c r="I784" s="42" t="s">
        <v>379</v>
      </c>
      <c r="J784" s="51" t="s">
        <v>1521</v>
      </c>
      <c r="K784" s="51"/>
      <c r="L784" s="56" t="s">
        <v>1445</v>
      </c>
      <c r="M784" s="51" t="s">
        <v>1522</v>
      </c>
      <c r="N784" s="27"/>
      <c r="O784" s="73" t="s">
        <v>1523</v>
      </c>
      <c r="P784" s="28"/>
      <c r="Q784" s="28"/>
      <c r="R784" s="28"/>
      <c r="S784" s="28" t="s">
        <v>13</v>
      </c>
      <c r="T784" s="28"/>
      <c r="U784" s="1" t="s">
        <v>1524</v>
      </c>
      <c r="V784" s="60" t="s">
        <v>1542</v>
      </c>
    </row>
    <row r="785" spans="1:24" s="60" customFormat="1" ht="15" customHeight="1">
      <c r="A785" s="49">
        <v>214</v>
      </c>
      <c r="B785" s="49" t="s">
        <v>344</v>
      </c>
      <c r="C785" s="50" t="s">
        <v>345</v>
      </c>
      <c r="D785" s="51" t="s">
        <v>1519</v>
      </c>
      <c r="E785" s="51" t="s">
        <v>378</v>
      </c>
      <c r="F785" s="52" t="s">
        <v>801</v>
      </c>
      <c r="G785" s="51" t="s">
        <v>1520</v>
      </c>
      <c r="H785" s="65"/>
      <c r="I785" s="42" t="s">
        <v>379</v>
      </c>
      <c r="J785" s="51" t="s">
        <v>1521</v>
      </c>
      <c r="K785" s="51"/>
      <c r="L785" s="56" t="s">
        <v>1445</v>
      </c>
      <c r="M785" s="51" t="s">
        <v>1522</v>
      </c>
      <c r="N785" s="27"/>
      <c r="O785" s="73" t="s">
        <v>1523</v>
      </c>
      <c r="P785" s="28"/>
      <c r="Q785" s="28"/>
      <c r="R785" s="28"/>
      <c r="S785" s="28" t="s">
        <v>13</v>
      </c>
      <c r="T785" s="28"/>
      <c r="U785" s="1" t="s">
        <v>1524</v>
      </c>
      <c r="V785" s="60" t="s">
        <v>1542</v>
      </c>
    </row>
    <row r="786" spans="1:24" s="60" customFormat="1" ht="15" customHeight="1">
      <c r="A786" s="49">
        <v>214</v>
      </c>
      <c r="B786" s="49" t="s">
        <v>344</v>
      </c>
      <c r="C786" s="50" t="s">
        <v>345</v>
      </c>
      <c r="D786" s="63" t="s">
        <v>1630</v>
      </c>
      <c r="E786" s="51" t="s">
        <v>378</v>
      </c>
      <c r="F786" s="128" t="s">
        <v>379</v>
      </c>
      <c r="G786" s="51" t="s">
        <v>1631</v>
      </c>
      <c r="H786" s="67"/>
      <c r="I786" s="93" t="s">
        <v>416</v>
      </c>
      <c r="J786" s="51" t="s">
        <v>1632</v>
      </c>
      <c r="K786" s="51"/>
      <c r="L786" s="94" t="s">
        <v>416</v>
      </c>
      <c r="M786" s="51" t="s">
        <v>1633</v>
      </c>
      <c r="P786" s="85"/>
      <c r="Q786" s="85"/>
      <c r="R786" s="85"/>
      <c r="S786" s="85"/>
      <c r="T786" s="85"/>
      <c r="U786" s="3" t="s">
        <v>1634</v>
      </c>
      <c r="V786" s="60" t="s">
        <v>1635</v>
      </c>
      <c r="W786" s="3" t="s">
        <v>1636</v>
      </c>
      <c r="X786" s="60" t="s">
        <v>1637</v>
      </c>
    </row>
    <row r="787" spans="1:24" s="60" customFormat="1" ht="15" customHeight="1">
      <c r="A787" s="49">
        <v>215</v>
      </c>
      <c r="B787" s="49" t="s">
        <v>346</v>
      </c>
      <c r="C787" s="50" t="s">
        <v>347</v>
      </c>
      <c r="D787" s="51" t="s">
        <v>1519</v>
      </c>
      <c r="E787" s="51" t="s">
        <v>378</v>
      </c>
      <c r="F787" s="52" t="s">
        <v>801</v>
      </c>
      <c r="G787" s="51" t="s">
        <v>1520</v>
      </c>
      <c r="H787" s="65"/>
      <c r="I787" s="42" t="s">
        <v>379</v>
      </c>
      <c r="J787" s="51" t="s">
        <v>1521</v>
      </c>
      <c r="K787" s="51"/>
      <c r="L787" s="56" t="s">
        <v>1445</v>
      </c>
      <c r="M787" s="51" t="s">
        <v>1522</v>
      </c>
      <c r="N787" s="27"/>
      <c r="O787" s="73" t="s">
        <v>1523</v>
      </c>
      <c r="P787" s="28"/>
      <c r="Q787" s="28"/>
      <c r="R787" s="28"/>
      <c r="S787" s="28" t="s">
        <v>13</v>
      </c>
      <c r="T787" s="28"/>
      <c r="U787" s="1" t="s">
        <v>1524</v>
      </c>
      <c r="V787" s="60" t="s">
        <v>1542</v>
      </c>
    </row>
    <row r="788" spans="1:24" s="60" customFormat="1" ht="15" customHeight="1">
      <c r="A788" s="49">
        <v>215</v>
      </c>
      <c r="B788" s="49" t="s">
        <v>346</v>
      </c>
      <c r="C788" s="50" t="s">
        <v>347</v>
      </c>
      <c r="D788" s="63" t="s">
        <v>1630</v>
      </c>
      <c r="E788" s="51" t="s">
        <v>378</v>
      </c>
      <c r="F788" s="128" t="s">
        <v>379</v>
      </c>
      <c r="G788" s="51" t="s">
        <v>1631</v>
      </c>
      <c r="H788" s="67"/>
      <c r="I788" s="93" t="s">
        <v>416</v>
      </c>
      <c r="J788" s="51" t="s">
        <v>1632</v>
      </c>
      <c r="K788" s="51"/>
      <c r="L788" s="94" t="s">
        <v>416</v>
      </c>
      <c r="M788" s="51" t="s">
        <v>1633</v>
      </c>
      <c r="P788" s="85"/>
      <c r="Q788" s="85"/>
      <c r="R788" s="85"/>
      <c r="S788" s="85"/>
      <c r="T788" s="85"/>
      <c r="U788" s="3" t="s">
        <v>1634</v>
      </c>
      <c r="V788" s="60" t="s">
        <v>1635</v>
      </c>
      <c r="W788" s="3" t="s">
        <v>1636</v>
      </c>
      <c r="X788" s="60" t="s">
        <v>1637</v>
      </c>
    </row>
    <row r="789" spans="1:24" s="60" customFormat="1" ht="15" customHeight="1">
      <c r="A789" s="49">
        <v>216</v>
      </c>
      <c r="B789" s="49" t="s">
        <v>348</v>
      </c>
      <c r="C789" s="50" t="s">
        <v>209</v>
      </c>
      <c r="D789" s="51" t="s">
        <v>1519</v>
      </c>
      <c r="E789" s="51" t="s">
        <v>378</v>
      </c>
      <c r="F789" s="52" t="s">
        <v>801</v>
      </c>
      <c r="G789" s="51" t="s">
        <v>1520</v>
      </c>
      <c r="H789" s="65"/>
      <c r="I789" s="42" t="s">
        <v>379</v>
      </c>
      <c r="J789" s="51" t="s">
        <v>1521</v>
      </c>
      <c r="K789" s="51"/>
      <c r="L789" s="56" t="s">
        <v>1445</v>
      </c>
      <c r="M789" s="51" t="s">
        <v>1522</v>
      </c>
      <c r="N789" s="27"/>
      <c r="O789" s="73" t="s">
        <v>1523</v>
      </c>
      <c r="P789" s="28"/>
      <c r="Q789" s="28"/>
      <c r="R789" s="28"/>
      <c r="S789" s="28" t="s">
        <v>13</v>
      </c>
      <c r="T789" s="28"/>
      <c r="U789" s="1" t="s">
        <v>1524</v>
      </c>
      <c r="V789" s="60" t="s">
        <v>1542</v>
      </c>
    </row>
    <row r="790" spans="1:24" s="60" customFormat="1" ht="15" customHeight="1">
      <c r="A790" s="49">
        <v>216</v>
      </c>
      <c r="B790" s="49" t="s">
        <v>348</v>
      </c>
      <c r="C790" s="50" t="s">
        <v>209</v>
      </c>
      <c r="D790" s="63" t="s">
        <v>1630</v>
      </c>
      <c r="E790" s="51" t="s">
        <v>378</v>
      </c>
      <c r="F790" s="128" t="s">
        <v>379</v>
      </c>
      <c r="G790" s="51" t="s">
        <v>1631</v>
      </c>
      <c r="H790" s="67"/>
      <c r="I790" s="93" t="s">
        <v>416</v>
      </c>
      <c r="J790" s="51" t="s">
        <v>1632</v>
      </c>
      <c r="K790" s="51"/>
      <c r="L790" s="94" t="s">
        <v>416</v>
      </c>
      <c r="M790" s="51" t="s">
        <v>1633</v>
      </c>
      <c r="P790" s="85"/>
      <c r="Q790" s="85"/>
      <c r="R790" s="85"/>
      <c r="S790" s="85"/>
      <c r="T790" s="85"/>
      <c r="U790" s="3" t="s">
        <v>1634</v>
      </c>
      <c r="V790" s="60" t="s">
        <v>1635</v>
      </c>
      <c r="W790" s="3" t="s">
        <v>1636</v>
      </c>
      <c r="X790" s="60" t="s">
        <v>1637</v>
      </c>
    </row>
    <row r="791" spans="1:24" s="60" customFormat="1" ht="15" customHeight="1">
      <c r="A791" s="49">
        <v>217</v>
      </c>
      <c r="B791" s="49" t="s">
        <v>349</v>
      </c>
      <c r="C791" s="50" t="s">
        <v>205</v>
      </c>
      <c r="D791" s="51" t="s">
        <v>1519</v>
      </c>
      <c r="E791" s="51" t="s">
        <v>378</v>
      </c>
      <c r="F791" s="52" t="s">
        <v>801</v>
      </c>
      <c r="G791" s="51" t="s">
        <v>1520</v>
      </c>
      <c r="H791" s="65"/>
      <c r="I791" s="42" t="s">
        <v>379</v>
      </c>
      <c r="J791" s="51" t="s">
        <v>1521</v>
      </c>
      <c r="K791" s="51"/>
      <c r="L791" s="56" t="s">
        <v>1445</v>
      </c>
      <c r="M791" s="51" t="s">
        <v>1522</v>
      </c>
      <c r="N791" s="27"/>
      <c r="O791" s="73" t="s">
        <v>1523</v>
      </c>
      <c r="P791" s="28"/>
      <c r="Q791" s="28"/>
      <c r="R791" s="28"/>
      <c r="S791" s="28" t="s">
        <v>13</v>
      </c>
      <c r="T791" s="28"/>
      <c r="U791" s="1" t="s">
        <v>1524</v>
      </c>
      <c r="V791" s="60" t="s">
        <v>1542</v>
      </c>
    </row>
    <row r="792" spans="1:24" s="60" customFormat="1" ht="15" customHeight="1">
      <c r="A792" s="49">
        <v>218</v>
      </c>
      <c r="B792" s="49" t="s">
        <v>350</v>
      </c>
      <c r="C792" s="50" t="s">
        <v>205</v>
      </c>
      <c r="D792" s="51" t="s">
        <v>1519</v>
      </c>
      <c r="E792" s="51" t="s">
        <v>378</v>
      </c>
      <c r="F792" s="52" t="s">
        <v>801</v>
      </c>
      <c r="G792" s="51" t="s">
        <v>1520</v>
      </c>
      <c r="H792" s="65"/>
      <c r="I792" s="42" t="s">
        <v>379</v>
      </c>
      <c r="J792" s="51" t="s">
        <v>1521</v>
      </c>
      <c r="K792" s="51"/>
      <c r="L792" s="56" t="s">
        <v>1445</v>
      </c>
      <c r="M792" s="51" t="s">
        <v>1522</v>
      </c>
      <c r="N792" s="27"/>
      <c r="O792" s="73" t="s">
        <v>1523</v>
      </c>
      <c r="P792" s="28"/>
      <c r="Q792" s="28"/>
      <c r="R792" s="28"/>
      <c r="S792" s="28" t="s">
        <v>13</v>
      </c>
      <c r="T792" s="28"/>
      <c r="U792" s="1" t="s">
        <v>1524</v>
      </c>
      <c r="V792" s="60" t="s">
        <v>1543</v>
      </c>
    </row>
    <row r="793" spans="1:24" s="60" customFormat="1" ht="15" customHeight="1">
      <c r="A793" s="49">
        <v>219</v>
      </c>
      <c r="B793" s="49" t="s">
        <v>351</v>
      </c>
      <c r="C793" s="50" t="s">
        <v>205</v>
      </c>
      <c r="D793" s="51" t="s">
        <v>1519</v>
      </c>
      <c r="E793" s="51" t="s">
        <v>378</v>
      </c>
      <c r="F793" s="52" t="s">
        <v>801</v>
      </c>
      <c r="G793" s="51" t="s">
        <v>1520</v>
      </c>
      <c r="H793" s="65"/>
      <c r="I793" s="42" t="s">
        <v>379</v>
      </c>
      <c r="J793" s="51" t="s">
        <v>1521</v>
      </c>
      <c r="K793" s="51"/>
      <c r="L793" s="56" t="s">
        <v>1445</v>
      </c>
      <c r="M793" s="51" t="s">
        <v>1522</v>
      </c>
      <c r="N793" s="27"/>
      <c r="O793" s="73" t="s">
        <v>1523</v>
      </c>
      <c r="P793" s="28"/>
      <c r="Q793" s="28"/>
      <c r="R793" s="28"/>
      <c r="S793" s="28" t="s">
        <v>13</v>
      </c>
      <c r="T793" s="28"/>
      <c r="U793" s="1" t="s">
        <v>1524</v>
      </c>
      <c r="V793" s="60" t="s">
        <v>1544</v>
      </c>
    </row>
    <row r="794" spans="1:24" s="60" customFormat="1" ht="15" customHeight="1">
      <c r="A794" s="49">
        <v>220</v>
      </c>
      <c r="B794" s="49" t="s">
        <v>352</v>
      </c>
      <c r="C794" s="50" t="s">
        <v>205</v>
      </c>
      <c r="D794" s="51" t="s">
        <v>1519</v>
      </c>
      <c r="E794" s="51" t="s">
        <v>378</v>
      </c>
      <c r="F794" s="52" t="s">
        <v>801</v>
      </c>
      <c r="G794" s="51" t="s">
        <v>1520</v>
      </c>
      <c r="H794" s="65"/>
      <c r="I794" s="42" t="s">
        <v>379</v>
      </c>
      <c r="J794" s="51" t="s">
        <v>1521</v>
      </c>
      <c r="K794" s="51"/>
      <c r="L794" s="56" t="s">
        <v>1445</v>
      </c>
      <c r="M794" s="51" t="s">
        <v>1522</v>
      </c>
      <c r="N794" s="27"/>
      <c r="O794" s="73" t="s">
        <v>1523</v>
      </c>
      <c r="P794" s="28"/>
      <c r="Q794" s="28"/>
      <c r="R794" s="28"/>
      <c r="S794" s="28" t="s">
        <v>13</v>
      </c>
      <c r="T794" s="28"/>
      <c r="U794" s="1" t="s">
        <v>1524</v>
      </c>
      <c r="V794" s="60" t="s">
        <v>1545</v>
      </c>
    </row>
    <row r="795" spans="1:24" s="60" customFormat="1" ht="15" customHeight="1">
      <c r="A795" s="49">
        <v>221</v>
      </c>
      <c r="B795" s="49" t="s">
        <v>353</v>
      </c>
      <c r="C795" s="50" t="s">
        <v>354</v>
      </c>
      <c r="D795" s="51" t="s">
        <v>1519</v>
      </c>
      <c r="E795" s="51" t="s">
        <v>378</v>
      </c>
      <c r="F795" s="52" t="s">
        <v>801</v>
      </c>
      <c r="G795" s="51" t="s">
        <v>1520</v>
      </c>
      <c r="H795" s="65"/>
      <c r="I795" s="42" t="s">
        <v>379</v>
      </c>
      <c r="J795" s="51" t="s">
        <v>1521</v>
      </c>
      <c r="K795" s="51"/>
      <c r="L795" s="56" t="s">
        <v>1445</v>
      </c>
      <c r="M795" s="51" t="s">
        <v>1522</v>
      </c>
      <c r="N795" s="27"/>
      <c r="O795" s="73" t="s">
        <v>1523</v>
      </c>
      <c r="P795" s="28"/>
      <c r="Q795" s="28"/>
      <c r="R795" s="28"/>
      <c r="S795" s="28" t="s">
        <v>13</v>
      </c>
      <c r="T795" s="28"/>
      <c r="U795" s="1" t="s">
        <v>1524</v>
      </c>
      <c r="V795" s="60" t="s">
        <v>1546</v>
      </c>
    </row>
    <row r="796" spans="1:24" s="60" customFormat="1" ht="15" customHeight="1">
      <c r="A796" s="49">
        <v>222</v>
      </c>
      <c r="B796" s="49" t="s">
        <v>355</v>
      </c>
      <c r="C796" s="50" t="s">
        <v>354</v>
      </c>
      <c r="D796" s="51" t="s">
        <v>1519</v>
      </c>
      <c r="E796" s="51" t="s">
        <v>378</v>
      </c>
      <c r="F796" s="52" t="s">
        <v>801</v>
      </c>
      <c r="G796" s="51" t="s">
        <v>1520</v>
      </c>
      <c r="H796" s="65"/>
      <c r="I796" s="42" t="s">
        <v>379</v>
      </c>
      <c r="J796" s="51" t="s">
        <v>1521</v>
      </c>
      <c r="K796" s="51"/>
      <c r="L796" s="56" t="s">
        <v>1445</v>
      </c>
      <c r="M796" s="51" t="s">
        <v>1522</v>
      </c>
      <c r="N796" s="27"/>
      <c r="O796" s="73" t="s">
        <v>1523</v>
      </c>
      <c r="P796" s="28"/>
      <c r="Q796" s="28"/>
      <c r="R796" s="28"/>
      <c r="S796" s="28" t="s">
        <v>13</v>
      </c>
      <c r="T796" s="28"/>
      <c r="U796" s="1" t="s">
        <v>1524</v>
      </c>
      <c r="V796" s="60" t="s">
        <v>1547</v>
      </c>
    </row>
    <row r="797" spans="1:24" s="60" customFormat="1" ht="15" customHeight="1">
      <c r="A797" s="49">
        <v>223</v>
      </c>
      <c r="B797" s="49" t="s">
        <v>357</v>
      </c>
      <c r="C797" s="50" t="s">
        <v>358</v>
      </c>
      <c r="D797" s="51" t="s">
        <v>1519</v>
      </c>
      <c r="E797" s="51" t="s">
        <v>378</v>
      </c>
      <c r="F797" s="52" t="s">
        <v>801</v>
      </c>
      <c r="G797" s="51" t="s">
        <v>1520</v>
      </c>
      <c r="H797" s="54"/>
      <c r="I797" s="42" t="s">
        <v>379</v>
      </c>
      <c r="J797" s="51" t="s">
        <v>1521</v>
      </c>
      <c r="K797" s="51"/>
      <c r="L797" s="56" t="s">
        <v>1445</v>
      </c>
      <c r="M797" s="51" t="s">
        <v>1522</v>
      </c>
      <c r="N797" s="27"/>
      <c r="O797" s="73" t="s">
        <v>1523</v>
      </c>
      <c r="P797" s="28"/>
      <c r="Q797" s="28"/>
      <c r="R797" s="28"/>
      <c r="S797" s="28" t="s">
        <v>13</v>
      </c>
      <c r="T797" s="28"/>
      <c r="U797" s="1" t="s">
        <v>1524</v>
      </c>
      <c r="V797" s="60" t="s">
        <v>1547</v>
      </c>
    </row>
    <row r="798" spans="1:24" s="60" customFormat="1" ht="15" customHeight="1">
      <c r="A798" s="49">
        <v>224</v>
      </c>
      <c r="B798" s="49" t="s">
        <v>359</v>
      </c>
      <c r="C798" s="50" t="s">
        <v>360</v>
      </c>
      <c r="D798" s="51" t="s">
        <v>1519</v>
      </c>
      <c r="E798" s="51" t="s">
        <v>378</v>
      </c>
      <c r="F798" s="52" t="s">
        <v>801</v>
      </c>
      <c r="G798" s="51" t="s">
        <v>1520</v>
      </c>
      <c r="H798" s="54"/>
      <c r="I798" s="42" t="s">
        <v>379</v>
      </c>
      <c r="J798" s="51" t="s">
        <v>1521</v>
      </c>
      <c r="K798" s="51"/>
      <c r="L798" s="56" t="s">
        <v>1445</v>
      </c>
      <c r="M798" s="51" t="s">
        <v>1522</v>
      </c>
      <c r="N798" s="27"/>
      <c r="O798" s="73" t="s">
        <v>1523</v>
      </c>
      <c r="P798" s="28" t="s">
        <v>13</v>
      </c>
      <c r="Q798" s="28" t="s">
        <v>13</v>
      </c>
      <c r="R798" s="28" t="s">
        <v>13</v>
      </c>
      <c r="S798" s="28" t="s">
        <v>13</v>
      </c>
      <c r="T798" s="28"/>
      <c r="U798" s="1" t="s">
        <v>1524</v>
      </c>
      <c r="V798" s="60" t="s">
        <v>1547</v>
      </c>
    </row>
    <row r="799" spans="1:24" s="60" customFormat="1" ht="15" customHeight="1">
      <c r="A799" s="49">
        <v>224</v>
      </c>
      <c r="B799" s="49" t="s">
        <v>359</v>
      </c>
      <c r="C799" s="50" t="s">
        <v>360</v>
      </c>
      <c r="D799" s="51" t="s">
        <v>1548</v>
      </c>
      <c r="E799" s="63" t="s">
        <v>1549</v>
      </c>
      <c r="F799" s="52" t="s">
        <v>801</v>
      </c>
      <c r="G799" s="51" t="s">
        <v>1520</v>
      </c>
      <c r="H799" s="54"/>
      <c r="I799" s="42" t="s">
        <v>379</v>
      </c>
      <c r="J799" s="51" t="s">
        <v>1521</v>
      </c>
      <c r="K799" s="51"/>
      <c r="L799" s="56" t="s">
        <v>1445</v>
      </c>
      <c r="M799" s="51" t="s">
        <v>1550</v>
      </c>
      <c r="N799" s="27"/>
      <c r="O799" s="73" t="s">
        <v>1523</v>
      </c>
      <c r="P799" s="28"/>
      <c r="Q799" s="28"/>
      <c r="R799" s="28"/>
      <c r="S799" s="28"/>
      <c r="T799" s="28"/>
      <c r="U799" s="1" t="s">
        <v>1524</v>
      </c>
      <c r="V799" s="60" t="s">
        <v>1551</v>
      </c>
    </row>
    <row r="800" spans="1:24" s="60" customFormat="1" ht="15" customHeight="1">
      <c r="A800" s="49">
        <v>224</v>
      </c>
      <c r="B800" s="49" t="s">
        <v>359</v>
      </c>
      <c r="C800" s="50" t="s">
        <v>1654</v>
      </c>
      <c r="D800" s="51" t="s">
        <v>1548</v>
      </c>
      <c r="E800" s="67" t="s">
        <v>1552</v>
      </c>
      <c r="F800" s="52" t="s">
        <v>801</v>
      </c>
      <c r="G800" s="51" t="s">
        <v>1553</v>
      </c>
      <c r="H800" s="54"/>
      <c r="I800" s="42" t="s">
        <v>416</v>
      </c>
      <c r="J800" s="51" t="s">
        <v>1554</v>
      </c>
      <c r="K800" s="51"/>
      <c r="L800" s="56" t="s">
        <v>638</v>
      </c>
      <c r="M800" s="51" t="s">
        <v>1555</v>
      </c>
      <c r="N800" s="27"/>
      <c r="O800" s="73" t="s">
        <v>1523</v>
      </c>
      <c r="P800" s="27"/>
      <c r="Q800" s="27"/>
      <c r="R800" s="27"/>
      <c r="S800" s="27"/>
      <c r="T800" s="27"/>
      <c r="U800" s="1" t="s">
        <v>1524</v>
      </c>
      <c r="V800" s="60" t="s">
        <v>1556</v>
      </c>
    </row>
    <row r="801" spans="1:22" s="60" customFormat="1" ht="15" customHeight="1">
      <c r="A801" s="49">
        <v>224</v>
      </c>
      <c r="B801" s="49" t="s">
        <v>359</v>
      </c>
      <c r="C801" s="50" t="s">
        <v>1655</v>
      </c>
      <c r="D801" s="51" t="s">
        <v>1548</v>
      </c>
      <c r="E801" s="51" t="s">
        <v>1557</v>
      </c>
      <c r="F801" s="52" t="s">
        <v>1445</v>
      </c>
      <c r="G801" s="51" t="s">
        <v>1558</v>
      </c>
      <c r="H801" s="54"/>
      <c r="I801" s="42" t="s">
        <v>377</v>
      </c>
      <c r="J801" s="51" t="s">
        <v>1559</v>
      </c>
      <c r="K801" s="51"/>
      <c r="L801" s="56" t="s">
        <v>638</v>
      </c>
      <c r="M801" s="51" t="s">
        <v>1560</v>
      </c>
      <c r="N801" s="27"/>
      <c r="O801" s="73" t="s">
        <v>1561</v>
      </c>
      <c r="P801" s="27"/>
      <c r="Q801" s="27"/>
      <c r="R801" s="27"/>
      <c r="S801" s="27"/>
      <c r="T801" s="27"/>
      <c r="U801" s="1" t="s">
        <v>1524</v>
      </c>
      <c r="V801" s="60" t="s">
        <v>1562</v>
      </c>
    </row>
    <row r="802" spans="1:22" s="60" customFormat="1" ht="15" customHeight="1">
      <c r="A802" s="49">
        <v>224</v>
      </c>
      <c r="B802" s="49" t="s">
        <v>359</v>
      </c>
      <c r="C802" s="50" t="s">
        <v>1656</v>
      </c>
      <c r="D802" s="51" t="s">
        <v>1548</v>
      </c>
      <c r="E802" s="67" t="s">
        <v>1563</v>
      </c>
      <c r="F802" s="52" t="s">
        <v>638</v>
      </c>
      <c r="G802" s="51" t="s">
        <v>1564</v>
      </c>
      <c r="H802" s="54"/>
      <c r="I802" s="42" t="s">
        <v>416</v>
      </c>
      <c r="J802" s="51" t="s">
        <v>1565</v>
      </c>
      <c r="K802" s="51"/>
      <c r="L802" s="56" t="s">
        <v>638</v>
      </c>
      <c r="M802" s="51" t="s">
        <v>1566</v>
      </c>
      <c r="N802" s="27"/>
      <c r="O802" s="73" t="s">
        <v>1523</v>
      </c>
      <c r="P802" s="27"/>
      <c r="Q802" s="27"/>
      <c r="R802" s="27"/>
      <c r="S802" s="27"/>
      <c r="T802" s="27"/>
      <c r="U802" s="1" t="s">
        <v>1524</v>
      </c>
      <c r="V802" s="60" t="s">
        <v>1567</v>
      </c>
    </row>
    <row r="803" spans="1:22" s="60" customFormat="1" ht="15" customHeight="1">
      <c r="A803" s="53"/>
      <c r="B803" s="59"/>
      <c r="C803" s="56"/>
      <c r="D803" s="51"/>
      <c r="E803" s="51"/>
      <c r="F803" s="52"/>
      <c r="G803" s="67"/>
      <c r="H803" s="65"/>
      <c r="I803" s="129"/>
      <c r="J803" s="51"/>
      <c r="K803" s="51"/>
      <c r="L803" s="56"/>
      <c r="M803" s="51"/>
      <c r="N803" s="27"/>
      <c r="P803" s="27"/>
      <c r="Q803" s="27"/>
      <c r="R803" s="27"/>
      <c r="S803" s="27"/>
      <c r="T803" s="27"/>
    </row>
    <row r="804" spans="1:22" s="60" customFormat="1" ht="15" customHeight="1">
      <c r="A804" s="53"/>
      <c r="B804" s="59"/>
      <c r="C804" s="56"/>
      <c r="D804" s="51"/>
      <c r="E804" s="51"/>
      <c r="F804" s="129"/>
      <c r="G804" s="67"/>
      <c r="H804" s="65"/>
      <c r="I804" s="129"/>
      <c r="J804" s="51"/>
      <c r="K804" s="51"/>
      <c r="L804" s="56"/>
      <c r="M804" s="51"/>
      <c r="N804" s="27"/>
      <c r="P804" s="27"/>
      <c r="Q804" s="27"/>
      <c r="R804" s="27"/>
      <c r="S804" s="27"/>
      <c r="T804" s="27"/>
    </row>
    <row r="805" spans="1:22" s="60" customFormat="1" ht="15" customHeight="1">
      <c r="A805" s="53"/>
      <c r="B805" s="59"/>
      <c r="C805" s="56"/>
      <c r="D805" s="51"/>
      <c r="E805" s="51"/>
      <c r="F805" s="51"/>
      <c r="G805" s="67"/>
      <c r="H805" s="65"/>
      <c r="I805" s="129"/>
      <c r="J805" s="51"/>
      <c r="K805" s="51"/>
      <c r="L805" s="56"/>
      <c r="M805" s="51"/>
      <c r="N805" s="27"/>
      <c r="P805" s="27"/>
      <c r="Q805" s="27"/>
      <c r="R805" s="27"/>
      <c r="S805" s="27"/>
      <c r="T805" s="27"/>
    </row>
    <row r="806" spans="1:22" s="60" customFormat="1" ht="15" customHeight="1">
      <c r="A806" s="53"/>
      <c r="B806" s="59"/>
      <c r="C806" s="56"/>
      <c r="D806" s="51"/>
      <c r="E806" s="51"/>
      <c r="F806" s="129"/>
      <c r="G806" s="67"/>
      <c r="H806" s="65"/>
      <c r="I806" s="129"/>
      <c r="J806" s="51"/>
      <c r="K806" s="51"/>
      <c r="L806" s="56"/>
      <c r="M806" s="51"/>
      <c r="N806" s="27"/>
      <c r="P806" s="27"/>
      <c r="Q806" s="27"/>
      <c r="R806" s="27"/>
      <c r="S806" s="27"/>
      <c r="T806" s="27"/>
    </row>
    <row r="807" spans="1:22" s="60" customFormat="1" ht="15" customHeight="1">
      <c r="A807" s="53"/>
      <c r="B807" s="59"/>
      <c r="C807" s="56"/>
      <c r="D807" s="51"/>
      <c r="E807" s="51"/>
      <c r="F807" s="129"/>
      <c r="G807" s="67"/>
      <c r="H807" s="65"/>
      <c r="I807" s="129"/>
      <c r="J807" s="51"/>
      <c r="K807" s="51"/>
      <c r="L807" s="56"/>
      <c r="M807" s="51"/>
      <c r="N807" s="27"/>
      <c r="P807" s="27"/>
      <c r="Q807" s="27"/>
      <c r="R807" s="27"/>
      <c r="S807" s="27"/>
      <c r="T807" s="27"/>
    </row>
    <row r="808" spans="1:22" s="60" customFormat="1" ht="15" customHeight="1">
      <c r="A808" s="53"/>
      <c r="B808" s="59"/>
      <c r="C808" s="56"/>
      <c r="D808" s="51"/>
      <c r="E808" s="51"/>
      <c r="F808" s="129"/>
      <c r="G808" s="67"/>
      <c r="H808" s="65"/>
      <c r="I808" s="129"/>
      <c r="J808" s="51"/>
      <c r="K808" s="51"/>
      <c r="L808" s="56"/>
      <c r="M808" s="51"/>
      <c r="N808" s="27"/>
      <c r="P808" s="27"/>
      <c r="Q808" s="27"/>
      <c r="R808" s="27"/>
      <c r="S808" s="27"/>
      <c r="T808" s="27"/>
    </row>
    <row r="809" spans="1:22" s="60" customFormat="1" ht="15" customHeight="1">
      <c r="A809" s="53"/>
      <c r="B809" s="59"/>
      <c r="C809" s="56"/>
      <c r="D809" s="51"/>
      <c r="E809" s="51"/>
      <c r="F809" s="129"/>
      <c r="G809" s="67"/>
      <c r="H809" s="65"/>
      <c r="I809" s="129"/>
      <c r="J809" s="51"/>
      <c r="K809" s="51"/>
      <c r="L809" s="56"/>
      <c r="M809" s="51"/>
      <c r="N809" s="27"/>
      <c r="P809" s="27"/>
      <c r="Q809" s="27"/>
      <c r="R809" s="27"/>
      <c r="S809" s="27"/>
      <c r="T809" s="27"/>
    </row>
    <row r="810" spans="1:22" s="60" customFormat="1" ht="15" customHeight="1">
      <c r="A810" s="53"/>
      <c r="B810" s="59"/>
      <c r="C810" s="56"/>
      <c r="D810" s="51"/>
      <c r="E810" s="51"/>
      <c r="F810" s="129"/>
      <c r="G810" s="67"/>
      <c r="H810" s="65"/>
      <c r="I810" s="129"/>
      <c r="J810" s="51"/>
      <c r="K810" s="51"/>
      <c r="L810" s="56"/>
      <c r="M810" s="51"/>
      <c r="N810" s="27"/>
      <c r="P810" s="27"/>
      <c r="Q810" s="27"/>
      <c r="R810" s="27"/>
      <c r="S810" s="27"/>
      <c r="T810" s="27"/>
    </row>
    <row r="811" spans="1:22" s="60" customFormat="1" ht="15" customHeight="1">
      <c r="A811" s="53"/>
      <c r="B811" s="59"/>
      <c r="C811" s="56"/>
      <c r="D811" s="51"/>
      <c r="E811" s="51"/>
      <c r="F811" s="129"/>
      <c r="G811" s="67"/>
      <c r="H811" s="65"/>
      <c r="I811" s="129"/>
      <c r="J811" s="51"/>
      <c r="K811" s="51"/>
      <c r="L811" s="56"/>
      <c r="M811" s="51"/>
      <c r="N811" s="27"/>
      <c r="P811" s="27"/>
      <c r="Q811" s="27"/>
      <c r="R811" s="27"/>
      <c r="S811" s="27"/>
      <c r="T811" s="27"/>
    </row>
    <row r="812" spans="1:22" s="60" customFormat="1" ht="15" customHeight="1">
      <c r="A812" s="53"/>
      <c r="B812" s="59"/>
      <c r="C812" s="56"/>
      <c r="D812" s="51"/>
      <c r="E812" s="51"/>
      <c r="F812" s="129"/>
      <c r="G812" s="67"/>
      <c r="H812" s="65"/>
      <c r="I812" s="129"/>
      <c r="J812" s="51"/>
      <c r="K812" s="51"/>
      <c r="L812" s="56"/>
      <c r="M812" s="51"/>
      <c r="N812" s="27"/>
      <c r="P812" s="27"/>
      <c r="Q812" s="27"/>
      <c r="R812" s="27"/>
      <c r="S812" s="27"/>
      <c r="T812" s="27"/>
    </row>
    <row r="813" spans="1:22" s="60" customFormat="1" ht="15" customHeight="1">
      <c r="A813" s="53"/>
      <c r="B813" s="59"/>
      <c r="C813" s="56"/>
      <c r="D813" s="51"/>
      <c r="E813" s="51"/>
      <c r="F813" s="129"/>
      <c r="G813" s="67"/>
      <c r="H813" s="65"/>
      <c r="I813" s="129"/>
      <c r="J813" s="51"/>
      <c r="K813" s="51"/>
      <c r="L813" s="56"/>
      <c r="M813" s="51"/>
      <c r="N813" s="27"/>
      <c r="P813" s="27"/>
      <c r="Q813" s="27"/>
      <c r="R813" s="27"/>
      <c r="S813" s="27"/>
      <c r="T813" s="27"/>
    </row>
    <row r="814" spans="1:22" s="60" customFormat="1" ht="15" customHeight="1">
      <c r="A814" s="53"/>
      <c r="B814" s="59"/>
      <c r="C814" s="56"/>
      <c r="D814" s="51"/>
      <c r="E814" s="51"/>
      <c r="F814" s="129"/>
      <c r="G814" s="67"/>
      <c r="H814" s="65"/>
      <c r="I814" s="129"/>
      <c r="J814" s="51"/>
      <c r="K814" s="51"/>
      <c r="L814" s="56"/>
      <c r="M814" s="51"/>
      <c r="N814" s="27"/>
      <c r="P814" s="27"/>
      <c r="Q814" s="27"/>
      <c r="R814" s="27"/>
      <c r="S814" s="27"/>
      <c r="T814" s="27"/>
    </row>
    <row r="815" spans="1:22" s="60" customFormat="1" ht="15" customHeight="1">
      <c r="A815" s="53"/>
      <c r="B815" s="59"/>
      <c r="C815" s="56"/>
      <c r="D815" s="51"/>
      <c r="E815" s="51"/>
      <c r="F815" s="129"/>
      <c r="G815" s="67"/>
      <c r="H815" s="65"/>
      <c r="I815" s="129"/>
      <c r="J815" s="51"/>
      <c r="K815" s="51"/>
      <c r="L815" s="56"/>
      <c r="M815" s="67"/>
      <c r="N815" s="27"/>
      <c r="P815" s="27"/>
      <c r="Q815" s="27"/>
      <c r="R815" s="27"/>
      <c r="S815" s="27"/>
      <c r="T815" s="27"/>
    </row>
    <row r="816" spans="1:22" s="60" customFormat="1" ht="15" customHeight="1">
      <c r="A816" s="53"/>
      <c r="B816" s="59"/>
      <c r="C816" s="56"/>
      <c r="D816" s="51"/>
      <c r="E816" s="51"/>
      <c r="F816" s="129"/>
      <c r="G816" s="67"/>
      <c r="H816" s="65"/>
      <c r="I816" s="129"/>
      <c r="J816" s="51"/>
      <c r="K816" s="51"/>
      <c r="L816" s="56"/>
      <c r="M816" s="67"/>
      <c r="N816" s="27"/>
      <c r="P816" s="27"/>
      <c r="Q816" s="27"/>
      <c r="R816" s="27"/>
      <c r="S816" s="27"/>
      <c r="T816" s="27"/>
    </row>
    <row r="817" spans="10:11" ht="15" customHeight="1">
      <c r="J817" s="51"/>
      <c r="K817" s="51"/>
    </row>
  </sheetData>
  <autoFilter ref="A1:AK802" xr:uid="{FD829C6F-73B2-4B0F-BCFE-B2CC92118C93}"/>
  <mergeCells count="2">
    <mergeCell ref="D583:E583"/>
    <mergeCell ref="D585:E585"/>
  </mergeCells>
  <conditionalFormatting sqref="F2:F4 F6:F26 F28:F48 F50:F70 F72:F93 F95:F115 F117:F137 F139:F159 F161:F181 F183:F233 F235:F257 I239:I241 F259:F283 F285:F296 I293:I295 F298 F300 F302 F304 F313:F317 F319:F338 F372:F380 F382:F389 F391 F393 F395:F406 F408:F419 F422:F445 F447:F455 I450 I452 F458:F472 I523:I528 F584:F802">
    <cfRule type="containsText" dxfId="626" priority="621" operator="containsText" text="High*">
      <formula>NOT(ISERROR(SEARCH("High*",F2)))</formula>
    </cfRule>
  </conditionalFormatting>
  <conditionalFormatting sqref="F2:F4 I2:I206 F6:F26 F28:F48 F50:F70 F72:F93 F95:F115 F117:F137 F139:F159 F161:F181 F183:F233 I208:I209 I211:I229 I231:I232 I234:I260 F235:F257 F259:F283 I262:I271 I273:I277 I279:I286 F285:F296 I288:I307 F298 F300 F302 F304 F306:F310 I309:I310 F313:F317 I313:I319 J314 F319:F338 I321:I322 I324:I334 I336:I337 I339:I358 I368:I373 F372:F380 I375:I383 F382:F389 I385:I395 F391 F393 F395:F406 I397:I398 I400:I455 J408:J413 F408:F419 F422:F445 F447:F455 F458:F463 I458:I463 I465:I471 F465:F472 H474 F476:F582 I491:I628 F584:F803 I630:I802">
    <cfRule type="containsText" dxfId="625" priority="626" operator="containsText" text="Medium">
      <formula>NOT(ISERROR(SEARCH("Medium",F2)))</formula>
    </cfRule>
    <cfRule type="containsText" dxfId="624" priority="627" operator="containsText" text="Low">
      <formula>NOT(ISERROR(SEARCH("Low",F2)))</formula>
    </cfRule>
  </conditionalFormatting>
  <conditionalFormatting sqref="F5">
    <cfRule type="containsText" dxfId="623" priority="616" operator="containsText" text="Medium">
      <formula>NOT(ISERROR(SEARCH("Medium",F5)))</formula>
    </cfRule>
    <cfRule type="containsText" dxfId="622" priority="615" operator="containsText" text="Low">
      <formula>NOT(ISERROR(SEARCH("Low",F5)))</formula>
    </cfRule>
    <cfRule type="containsText" dxfId="621" priority="614" operator="containsText" text="High">
      <formula>NOT(ISERROR(SEARCH("High",F5)))</formula>
    </cfRule>
  </conditionalFormatting>
  <conditionalFormatting sqref="F27">
    <cfRule type="containsText" dxfId="620" priority="608" operator="containsText" text="Medium">
      <formula>NOT(ISERROR(SEARCH("Medium",F27)))</formula>
    </cfRule>
    <cfRule type="containsText" dxfId="619" priority="605" operator="containsText" text="Medium-Low">
      <formula>NOT(ISERROR(SEARCH("Medium-Low",F27)))</formula>
    </cfRule>
    <cfRule type="containsText" dxfId="618" priority="606" operator="containsText" text="High">
      <formula>NOT(ISERROR(SEARCH("High",F27)))</formula>
    </cfRule>
    <cfRule type="containsText" dxfId="617" priority="607" operator="containsText" text="Low">
      <formula>NOT(ISERROR(SEARCH("Low",F27)))</formula>
    </cfRule>
  </conditionalFormatting>
  <conditionalFormatting sqref="F49">
    <cfRule type="containsText" dxfId="616" priority="598" operator="containsText" text="Medium-Low">
      <formula>NOT(ISERROR(SEARCH("Medium-Low",F49)))</formula>
    </cfRule>
    <cfRule type="containsText" dxfId="615" priority="599" operator="containsText" text="High">
      <formula>NOT(ISERROR(SEARCH("High",F49)))</formula>
    </cfRule>
    <cfRule type="containsText" dxfId="614" priority="600" operator="containsText" text="Low">
      <formula>NOT(ISERROR(SEARCH("Low",F49)))</formula>
    </cfRule>
    <cfRule type="containsText" dxfId="613" priority="601" operator="containsText" text="Medium">
      <formula>NOT(ISERROR(SEARCH("Medium",F49)))</formula>
    </cfRule>
  </conditionalFormatting>
  <conditionalFormatting sqref="F71">
    <cfRule type="containsText" dxfId="612" priority="593" operator="containsText" text="Medium">
      <formula>NOT(ISERROR(SEARCH("Medium",F71)))</formula>
    </cfRule>
    <cfRule type="containsText" dxfId="611" priority="590" operator="containsText" text="Medium-Low">
      <formula>NOT(ISERROR(SEARCH("Medium-Low",F71)))</formula>
    </cfRule>
    <cfRule type="containsText" dxfId="610" priority="591" operator="containsText" text="High">
      <formula>NOT(ISERROR(SEARCH("High",F71)))</formula>
    </cfRule>
    <cfRule type="containsText" dxfId="609" priority="592" operator="containsText" text="Low">
      <formula>NOT(ISERROR(SEARCH("Low",F71)))</formula>
    </cfRule>
  </conditionalFormatting>
  <conditionalFormatting sqref="F94">
    <cfRule type="containsText" dxfId="608" priority="585" operator="containsText" text="Medium">
      <formula>NOT(ISERROR(SEARCH("Medium",F94)))</formula>
    </cfRule>
    <cfRule type="containsText" dxfId="607" priority="584" operator="containsText" text="Low">
      <formula>NOT(ISERROR(SEARCH("Low",F94)))</formula>
    </cfRule>
    <cfRule type="containsText" dxfId="606" priority="583" operator="containsText" text="High">
      <formula>NOT(ISERROR(SEARCH("High",F94)))</formula>
    </cfRule>
    <cfRule type="containsText" dxfId="605" priority="582" operator="containsText" text="Medium-Low">
      <formula>NOT(ISERROR(SEARCH("Medium-Low",F94)))</formula>
    </cfRule>
  </conditionalFormatting>
  <conditionalFormatting sqref="F116">
    <cfRule type="containsText" dxfId="604" priority="574" operator="containsText" text="Medium-Low">
      <formula>NOT(ISERROR(SEARCH("Medium-Low",F116)))</formula>
    </cfRule>
    <cfRule type="containsText" dxfId="603" priority="575" operator="containsText" text="High">
      <formula>NOT(ISERROR(SEARCH("High",F116)))</formula>
    </cfRule>
    <cfRule type="containsText" dxfId="602" priority="576" operator="containsText" text="Low">
      <formula>NOT(ISERROR(SEARCH("Low",F116)))</formula>
    </cfRule>
    <cfRule type="containsText" dxfId="601" priority="577" operator="containsText" text="Medium">
      <formula>NOT(ISERROR(SEARCH("Medium",F116)))</formula>
    </cfRule>
  </conditionalFormatting>
  <conditionalFormatting sqref="F138">
    <cfRule type="containsText" dxfId="600" priority="568" operator="containsText" text="High">
      <formula>NOT(ISERROR(SEARCH("High",F138)))</formula>
    </cfRule>
    <cfRule type="containsText" dxfId="599" priority="567" operator="containsText" text="Medium-Low">
      <formula>NOT(ISERROR(SEARCH("Medium-Low",F138)))</formula>
    </cfRule>
    <cfRule type="containsText" dxfId="598" priority="569" operator="containsText" text="Low">
      <formula>NOT(ISERROR(SEARCH("Low",F138)))</formula>
    </cfRule>
    <cfRule type="containsText" dxfId="597" priority="570" operator="containsText" text="Medium">
      <formula>NOT(ISERROR(SEARCH("Medium",F138)))</formula>
    </cfRule>
  </conditionalFormatting>
  <conditionalFormatting sqref="F160">
    <cfRule type="containsText" dxfId="596" priority="559" operator="containsText" text="Medium-Low">
      <formula>NOT(ISERROR(SEARCH("Medium-Low",F160)))</formula>
    </cfRule>
    <cfRule type="containsText" dxfId="595" priority="560" operator="containsText" text="High">
      <formula>NOT(ISERROR(SEARCH("High",F160)))</formula>
    </cfRule>
    <cfRule type="containsText" dxfId="594" priority="561" operator="containsText" text="Low">
      <formula>NOT(ISERROR(SEARCH("Low",F160)))</formula>
    </cfRule>
    <cfRule type="containsText" dxfId="593" priority="562" operator="containsText" text="Medium">
      <formula>NOT(ISERROR(SEARCH("Medium",F160)))</formula>
    </cfRule>
  </conditionalFormatting>
  <conditionalFormatting sqref="F182">
    <cfRule type="containsText" dxfId="592" priority="552" operator="containsText" text="High">
      <formula>NOT(ISERROR(SEARCH("High",F182)))</formula>
    </cfRule>
    <cfRule type="containsText" dxfId="591" priority="554" operator="containsText" text="Medium">
      <formula>NOT(ISERROR(SEARCH("Medium",F182)))</formula>
    </cfRule>
    <cfRule type="containsText" dxfId="590" priority="551" operator="containsText" text="Medium-Low">
      <formula>NOT(ISERROR(SEARCH("Medium-Low",F182)))</formula>
    </cfRule>
    <cfRule type="containsText" dxfId="589" priority="553" operator="containsText" text="Low">
      <formula>NOT(ISERROR(SEARCH("Low",F182)))</formula>
    </cfRule>
  </conditionalFormatting>
  <conditionalFormatting sqref="F234">
    <cfRule type="containsText" dxfId="588" priority="235" operator="containsText" text="Medium-Low">
      <formula>NOT(ISERROR(SEARCH("Medium-Low",F234)))</formula>
    </cfRule>
    <cfRule type="containsText" dxfId="587" priority="236" operator="containsText" text="High">
      <formula>NOT(ISERROR(SEARCH("High",F234)))</formula>
    </cfRule>
    <cfRule type="containsText" dxfId="586" priority="237" operator="containsText" text="Low">
      <formula>NOT(ISERROR(SEARCH("Low",F234)))</formula>
    </cfRule>
    <cfRule type="containsText" dxfId="585" priority="238" operator="containsText" text="Medium">
      <formula>NOT(ISERROR(SEARCH("Medium",F234)))</formula>
    </cfRule>
  </conditionalFormatting>
  <conditionalFormatting sqref="F258">
    <cfRule type="containsText" dxfId="584" priority="472" operator="containsText" text="High">
      <formula>NOT(ISERROR(SEARCH("High",F258)))</formula>
    </cfRule>
    <cfRule type="containsText" dxfId="583" priority="471" operator="containsText" text="Medium-Low">
      <formula>NOT(ISERROR(SEARCH("Medium-Low",F258)))</formula>
    </cfRule>
    <cfRule type="containsText" dxfId="582" priority="474" operator="containsText" text="Medium">
      <formula>NOT(ISERROR(SEARCH("Medium",F258)))</formula>
    </cfRule>
    <cfRule type="containsText" dxfId="581" priority="473" operator="containsText" text="Low">
      <formula>NOT(ISERROR(SEARCH("Low",F258)))</formula>
    </cfRule>
  </conditionalFormatting>
  <conditionalFormatting sqref="F284">
    <cfRule type="containsText" dxfId="580" priority="467" operator="containsText" text="Low">
      <formula>NOT(ISERROR(SEARCH("Low",F284)))</formula>
    </cfRule>
    <cfRule type="containsText" dxfId="579" priority="468" operator="containsText" text="Medium">
      <formula>NOT(ISERROR(SEARCH("Medium",F284)))</formula>
    </cfRule>
    <cfRule type="containsText" dxfId="578" priority="465" operator="containsText" text="Medium-Low">
      <formula>NOT(ISERROR(SEARCH("Medium-Low",F284)))</formula>
    </cfRule>
    <cfRule type="containsText" dxfId="577" priority="466" operator="containsText" text="High">
      <formula>NOT(ISERROR(SEARCH("High",F284)))</formula>
    </cfRule>
  </conditionalFormatting>
  <conditionalFormatting sqref="F297">
    <cfRule type="containsText" dxfId="576" priority="461" operator="containsText" text="Low">
      <formula>NOT(ISERROR(SEARCH("Low",F297)))</formula>
    </cfRule>
    <cfRule type="containsText" dxfId="575" priority="460" operator="containsText" text="High">
      <formula>NOT(ISERROR(SEARCH("High",F297)))</formula>
    </cfRule>
    <cfRule type="containsText" dxfId="574" priority="462" operator="containsText" text="Medium">
      <formula>NOT(ISERROR(SEARCH("Medium",F297)))</formula>
    </cfRule>
    <cfRule type="containsText" dxfId="573" priority="459" operator="containsText" text="Medium-Low">
      <formula>NOT(ISERROR(SEARCH("Medium-Low",F297)))</formula>
    </cfRule>
  </conditionalFormatting>
  <conditionalFormatting sqref="F299">
    <cfRule type="containsText" dxfId="572" priority="454" operator="containsText" text="Medium-Low">
      <formula>NOT(ISERROR(SEARCH("Medium-Low",F299)))</formula>
    </cfRule>
    <cfRule type="containsText" dxfId="571" priority="456" operator="containsText" text="Low">
      <formula>NOT(ISERROR(SEARCH("Low",F299)))</formula>
    </cfRule>
    <cfRule type="containsText" dxfId="570" priority="457" operator="containsText" text="Medium">
      <formula>NOT(ISERROR(SEARCH("Medium",F299)))</formula>
    </cfRule>
    <cfRule type="containsText" dxfId="569" priority="455" operator="containsText" text="High">
      <formula>NOT(ISERROR(SEARCH("High",F299)))</formula>
    </cfRule>
  </conditionalFormatting>
  <conditionalFormatting sqref="F301">
    <cfRule type="containsText" dxfId="568" priority="449" operator="containsText" text="Medium-Low">
      <formula>NOT(ISERROR(SEARCH("Medium-Low",F301)))</formula>
    </cfRule>
    <cfRule type="containsText" dxfId="567" priority="450" operator="containsText" text="High">
      <formula>NOT(ISERROR(SEARCH("High",F301)))</formula>
    </cfRule>
    <cfRule type="containsText" dxfId="566" priority="451" operator="containsText" text="Low">
      <formula>NOT(ISERROR(SEARCH("Low",F301)))</formula>
    </cfRule>
    <cfRule type="containsText" dxfId="565" priority="452" operator="containsText" text="Medium">
      <formula>NOT(ISERROR(SEARCH("Medium",F301)))</formula>
    </cfRule>
  </conditionalFormatting>
  <conditionalFormatting sqref="F303:F304">
    <cfRule type="containsText" dxfId="564" priority="169" operator="containsText" text="High">
      <formula>NOT(ISERROR(SEARCH("High",F303)))</formula>
    </cfRule>
    <cfRule type="containsText" dxfId="563" priority="171" operator="containsText" text="Medium">
      <formula>NOT(ISERROR(SEARCH("Medium",F303)))</formula>
    </cfRule>
    <cfRule type="containsText" dxfId="562" priority="170" operator="containsText" text="Low">
      <formula>NOT(ISERROR(SEARCH("Low",F303)))</formula>
    </cfRule>
  </conditionalFormatting>
  <conditionalFormatting sqref="F303:F305">
    <cfRule type="containsText" dxfId="561" priority="163" operator="containsText" text="Medium-Low">
      <formula>NOT(ISERROR(SEARCH("Medium-Low",F303)))</formula>
    </cfRule>
  </conditionalFormatting>
  <conditionalFormatting sqref="F304">
    <cfRule type="containsText" dxfId="560" priority="167" operator="containsText" text="Medium-High">
      <formula>NOT(ISERROR(SEARCH("Medium-High",F304)))</formula>
    </cfRule>
    <cfRule type="containsText" dxfId="559" priority="168" operator="containsText" text="High*">
      <formula>NOT(ISERROR(SEARCH("High*",F304)))</formula>
    </cfRule>
    <cfRule type="containsText" dxfId="558" priority="172" operator="containsText" text="Medium-High">
      <formula>NOT(ISERROR(SEARCH("Medium-High",F304)))</formula>
    </cfRule>
    <cfRule type="containsText" dxfId="557" priority="173" operator="containsText" text="High*">
      <formula>NOT(ISERROR(SEARCH("High*",F304)))</formula>
    </cfRule>
  </conditionalFormatting>
  <conditionalFormatting sqref="F305">
    <cfRule type="containsText" dxfId="556" priority="164" operator="containsText" text="High">
      <formula>NOT(ISERROR(SEARCH("High",F305)))</formula>
    </cfRule>
    <cfRule type="containsText" dxfId="555" priority="165" operator="containsText" text="Low">
      <formula>NOT(ISERROR(SEARCH("Low",F305)))</formula>
    </cfRule>
    <cfRule type="containsText" dxfId="554" priority="166" operator="containsText" text="Medium">
      <formula>NOT(ISERROR(SEARCH("Medium",F305)))</formula>
    </cfRule>
  </conditionalFormatting>
  <conditionalFormatting sqref="F306">
    <cfRule type="containsText" dxfId="553" priority="162" operator="containsText" text="High*">
      <formula>NOT(ISERROR(SEARCH("High*",F306)))</formula>
    </cfRule>
    <cfRule type="containsText" dxfId="552" priority="161" operator="containsText" text="Medium-High">
      <formula>NOT(ISERROR(SEARCH("Medium-High",F306)))</formula>
    </cfRule>
  </conditionalFormatting>
  <conditionalFormatting sqref="F306:F310">
    <cfRule type="containsText" dxfId="551" priority="181" operator="containsText" text="High*">
      <formula>NOT(ISERROR(SEARCH("High*",F306)))</formula>
    </cfRule>
    <cfRule type="containsText" dxfId="550" priority="180" operator="containsText" text="Medium-High">
      <formula>NOT(ISERROR(SEARCH("Medium-High",F306)))</formula>
    </cfRule>
  </conditionalFormatting>
  <conditionalFormatting sqref="F307:F309">
    <cfRule type="containsText" dxfId="549" priority="175" operator="containsText" text="Medium-High">
      <formula>NOT(ISERROR(SEARCH("Medium-High",F307)))</formula>
    </cfRule>
    <cfRule type="containsText" dxfId="548" priority="176" operator="containsText" text="High*">
      <formula>NOT(ISERROR(SEARCH("High*",F307)))</formula>
    </cfRule>
  </conditionalFormatting>
  <conditionalFormatting sqref="F308:F309">
    <cfRule type="containsText" dxfId="547" priority="177" operator="containsText" text="High">
      <formula>NOT(ISERROR(SEARCH("High",F308)))</formula>
    </cfRule>
    <cfRule type="containsText" dxfId="546" priority="174" operator="containsText" text="Medium-Low">
      <formula>NOT(ISERROR(SEARCH("Medium-Low",F308)))</formula>
    </cfRule>
    <cfRule type="containsText" dxfId="545" priority="178" operator="containsText" text="Low">
      <formula>NOT(ISERROR(SEARCH("Low",F308)))</formula>
    </cfRule>
    <cfRule type="containsText" dxfId="544" priority="179" operator="containsText" text="Medium">
      <formula>NOT(ISERROR(SEARCH("Medium",F308)))</formula>
    </cfRule>
  </conditionalFormatting>
  <conditionalFormatting sqref="F311">
    <cfRule type="containsText" dxfId="543" priority="50" operator="containsText" text="Low">
      <formula>NOT(ISERROR(SEARCH("Low",F311)))</formula>
    </cfRule>
    <cfRule type="containsText" dxfId="542" priority="49" operator="containsText" text="Medium">
      <formula>NOT(ISERROR(SEARCH("Medium",F311)))</formula>
    </cfRule>
    <cfRule type="containsText" dxfId="541" priority="48" operator="containsText" text="High">
      <formula>NOT(ISERROR(SEARCH("High",F311)))</formula>
    </cfRule>
    <cfRule type="containsText" dxfId="540" priority="44" operator="containsText" text="High*">
      <formula>NOT(ISERROR(SEARCH("High*",F311)))</formula>
    </cfRule>
    <cfRule type="containsText" dxfId="539" priority="43" operator="containsText" text="Medium-High">
      <formula>NOT(ISERROR(SEARCH("Medium-High",F311)))</formula>
    </cfRule>
  </conditionalFormatting>
  <conditionalFormatting sqref="F312">
    <cfRule type="containsText" dxfId="538" priority="47" operator="containsText" text="Medium">
      <formula>NOT(ISERROR(SEARCH("Medium",F312)))</formula>
    </cfRule>
    <cfRule type="containsText" dxfId="537" priority="46" operator="containsText" text="Low">
      <formula>NOT(ISERROR(SEARCH("Low",F312)))</formula>
    </cfRule>
    <cfRule type="containsText" dxfId="536" priority="45" operator="containsText" text="High">
      <formula>NOT(ISERROR(SEARCH("High",F312)))</formula>
    </cfRule>
    <cfRule type="containsText" dxfId="535" priority="42" operator="containsText" text="Medium-Low">
      <formula>NOT(ISERROR(SEARCH("Medium-Low",F312)))</formula>
    </cfRule>
  </conditionalFormatting>
  <conditionalFormatting sqref="F313 F5">
    <cfRule type="containsText" dxfId="534" priority="613" operator="containsText" text="Medium-Low">
      <formula>NOT(ISERROR(SEARCH("Medium-Low",F5)))</formula>
    </cfRule>
  </conditionalFormatting>
  <conditionalFormatting sqref="F313 L366:L415 L2:L200 L625:L1048576 L586:L623 L522:L524 L202:L240 L242:L294 L296:L364 L458:L463 L465:L466">
    <cfRule type="containsText" dxfId="533" priority="622" operator="containsText" text="High">
      <formula>NOT(ISERROR(SEARCH("High",F2)))</formula>
    </cfRule>
  </conditionalFormatting>
  <conditionalFormatting sqref="F313:F314 F422:F445 F447:F455 F458:F472 F408:F419 F304 F2:F4 F6:F26 F28:F48 F50:F70 F72:F93 F95:F115 F117:F137 F139:F159 F161:F181 F183:F233 F235:F257 I239:I241 F259:F283 F285:F296 I293:I295 F298 F300 F302 F319:F338 F372:F380 F382:F389 F391 F393 F395:F406 I450 I452 I523:I528">
    <cfRule type="containsText" dxfId="532" priority="620" operator="containsText" text="Medium-High">
      <formula>NOT(ISERROR(SEARCH("Medium-High",F2)))</formula>
    </cfRule>
  </conditionalFormatting>
  <conditionalFormatting sqref="F313:F317 F2:F4 F6:F26 F28:F48 F50:F70 F72:F93 F95:F115 F117:F137 F139:F159 F161:F181 F183:F233 I234:I260 F235:F257 F259:F283 F285:F296 I288:I307 F298 F300 F302 F304 F319:F338 F372:F380 F382:F389 F391 F393 F395:F406 I400:I455 F408:F419 F422:F445 F447:F455 F458:F463 F465:F472 I491:I628 I2:I206 F584:F803 I630:I802 I458:I463 F476:F582 I465:I471 I339:I358 F306:F310 I211:I229 I208:I209 I231:I232 I262:I271 I273:I277 I279:I286 I309:I310 I314:J314 I321:I322 I324:I334 I336:I337 I368:I373 I375:I383 I385:I395 I397:I398 J408:J413 H474">
    <cfRule type="containsText" dxfId="531" priority="625" operator="containsText" text="High">
      <formula>NOT(ISERROR(SEARCH("High",F2)))</formula>
    </cfRule>
  </conditionalFormatting>
  <conditionalFormatting sqref="F313:F317">
    <cfRule type="containsText" dxfId="530" priority="182" operator="containsText" text="Medium-High">
      <formula>NOT(ISERROR(SEARCH("Medium-High",F313)))</formula>
    </cfRule>
  </conditionalFormatting>
  <conditionalFormatting sqref="F318">
    <cfRule type="containsText" dxfId="529" priority="446" operator="containsText" text="Medium">
      <formula>NOT(ISERROR(SEARCH("Medium",F318)))</formula>
    </cfRule>
    <cfRule type="containsText" dxfId="528" priority="445" operator="containsText" text="Low">
      <formula>NOT(ISERROR(SEARCH("Low",F318)))</formula>
    </cfRule>
    <cfRule type="containsText" dxfId="527" priority="444" operator="containsText" text="High">
      <formula>NOT(ISERROR(SEARCH("High",F318)))</formula>
    </cfRule>
    <cfRule type="containsText" dxfId="526" priority="443" operator="containsText" text="Medium-Low">
      <formula>NOT(ISERROR(SEARCH("Medium-Low",F318)))</formula>
    </cfRule>
  </conditionalFormatting>
  <conditionalFormatting sqref="F339">
    <cfRule type="containsText" dxfId="525" priority="222" operator="containsText" text="Low">
      <formula>NOT(ISERROR(SEARCH("Low",F339)))</formula>
    </cfRule>
    <cfRule type="containsText" dxfId="524" priority="223" operator="containsText" text="Medium">
      <formula>NOT(ISERROR(SEARCH("Medium",F339)))</formula>
    </cfRule>
    <cfRule type="containsText" dxfId="523" priority="221" operator="containsText" text="High">
      <formula>NOT(ISERROR(SEARCH("High",F339)))</formula>
    </cfRule>
    <cfRule type="containsText" dxfId="522" priority="220" operator="containsText" text="Medium-Low">
      <formula>NOT(ISERROR(SEARCH("Medium-Low",F339)))</formula>
    </cfRule>
  </conditionalFormatting>
  <conditionalFormatting sqref="F340:F359">
    <cfRule type="containsText" dxfId="521" priority="125" operator="containsText" text="Low">
      <formula>NOT(ISERROR(SEARCH("Low",F340)))</formula>
    </cfRule>
    <cfRule type="containsText" dxfId="520" priority="118" operator="containsText" text="Medium-High">
      <formula>NOT(ISERROR(SEARCH("Medium-High",F340)))</formula>
    </cfRule>
    <cfRule type="containsText" dxfId="519" priority="119" operator="containsText" text="High*">
      <formula>NOT(ISERROR(SEARCH("High*",F340)))</formula>
    </cfRule>
    <cfRule type="containsText" dxfId="518" priority="123" operator="containsText" text="High">
      <formula>NOT(ISERROR(SEARCH("High",F340)))</formula>
    </cfRule>
    <cfRule type="containsText" dxfId="517" priority="124" operator="containsText" text="Medium">
      <formula>NOT(ISERROR(SEARCH("Medium",F340)))</formula>
    </cfRule>
  </conditionalFormatting>
  <conditionalFormatting sqref="F358 I358">
    <cfRule type="containsText" dxfId="516" priority="110" operator="containsText" text="High">
      <formula>NOT(ISERROR(SEARCH("High",F358)))</formula>
    </cfRule>
    <cfRule type="containsText" dxfId="515" priority="111" operator="containsText" text="Medium">
      <formula>NOT(ISERROR(SEARCH("Medium",F358)))</formula>
    </cfRule>
    <cfRule type="containsText" dxfId="514" priority="112" operator="containsText" text="Low">
      <formula>NOT(ISERROR(SEARCH("Low",F358)))</formula>
    </cfRule>
  </conditionalFormatting>
  <conditionalFormatting sqref="F358">
    <cfRule type="containsText" dxfId="513" priority="105" operator="containsText" text="Medium-High">
      <formula>NOT(ISERROR(SEARCH("Medium-High",F358)))</formula>
    </cfRule>
    <cfRule type="containsText" dxfId="512" priority="106" operator="containsText" text="High*">
      <formula>NOT(ISERROR(SEARCH("High*",F358)))</formula>
    </cfRule>
  </conditionalFormatting>
  <conditionalFormatting sqref="F360">
    <cfRule type="containsText" dxfId="511" priority="117" operator="containsText" text="Medium-Low">
      <formula>NOT(ISERROR(SEARCH("Medium-Low",F360)))</formula>
    </cfRule>
    <cfRule type="containsText" dxfId="510" priority="120" operator="containsText" text="High">
      <formula>NOT(ISERROR(SEARCH("High",F360)))</formula>
    </cfRule>
    <cfRule type="containsText" dxfId="509" priority="121" operator="containsText" text="Low">
      <formula>NOT(ISERROR(SEARCH("Low",F360)))</formula>
    </cfRule>
    <cfRule type="containsText" dxfId="508" priority="122" operator="containsText" text="Medium">
      <formula>NOT(ISERROR(SEARCH("Medium",F360)))</formula>
    </cfRule>
  </conditionalFormatting>
  <conditionalFormatting sqref="F361:F370">
    <cfRule type="containsText" dxfId="507" priority="73" operator="containsText" text="High">
      <formula>NOT(ISERROR(SEARCH("High",F361)))</formula>
    </cfRule>
    <cfRule type="containsText" dxfId="506" priority="74" operator="containsText" text="Medium">
      <formula>NOT(ISERROR(SEARCH("Medium",F361)))</formula>
    </cfRule>
    <cfRule type="containsText" dxfId="505" priority="75" operator="containsText" text="Low">
      <formula>NOT(ISERROR(SEARCH("Low",F361)))</formula>
    </cfRule>
    <cfRule type="containsText" dxfId="504" priority="71" operator="containsText" text="Medium-High">
      <formula>NOT(ISERROR(SEARCH("Medium-High",F361)))</formula>
    </cfRule>
    <cfRule type="containsText" dxfId="503" priority="72" operator="containsText" text="High*">
      <formula>NOT(ISERROR(SEARCH("High*",F361)))</formula>
    </cfRule>
  </conditionalFormatting>
  <conditionalFormatting sqref="F371">
    <cfRule type="containsText" dxfId="502" priority="272" operator="containsText" text="Low">
      <formula>NOT(ISERROR(SEARCH("Low",F371)))</formula>
    </cfRule>
    <cfRule type="containsText" dxfId="501" priority="270" operator="containsText" text="Medium-Low">
      <formula>NOT(ISERROR(SEARCH("Medium-Low",F371)))</formula>
    </cfRule>
    <cfRule type="containsText" dxfId="500" priority="273" operator="containsText" text="Medium">
      <formula>NOT(ISERROR(SEARCH("Medium",F371)))</formula>
    </cfRule>
    <cfRule type="containsText" dxfId="499" priority="271" operator="containsText" text="High">
      <formula>NOT(ISERROR(SEARCH("High",F371)))</formula>
    </cfRule>
  </conditionalFormatting>
  <conditionalFormatting sqref="F381">
    <cfRule type="containsText" dxfId="498" priority="297" operator="containsText" text="Medium">
      <formula>NOT(ISERROR(SEARCH("Medium",F381)))</formula>
    </cfRule>
    <cfRule type="containsText" dxfId="497" priority="294" operator="containsText" text="Medium-Low">
      <formula>NOT(ISERROR(SEARCH("Medium-Low",F381)))</formula>
    </cfRule>
    <cfRule type="containsText" dxfId="496" priority="295" operator="containsText" text="High">
      <formula>NOT(ISERROR(SEARCH("High",F381)))</formula>
    </cfRule>
    <cfRule type="containsText" dxfId="495" priority="296" operator="containsText" text="Low">
      <formula>NOT(ISERROR(SEARCH("Low",F381)))</formula>
    </cfRule>
  </conditionalFormatting>
  <conditionalFormatting sqref="F390">
    <cfRule type="containsText" dxfId="494" priority="439" operator="containsText" text="High">
      <formula>NOT(ISERROR(SEARCH("High",F390)))</formula>
    </cfRule>
    <cfRule type="containsText" dxfId="493" priority="438" operator="containsText" text="Medium-Low">
      <formula>NOT(ISERROR(SEARCH("Medium-Low",F390)))</formula>
    </cfRule>
    <cfRule type="containsText" dxfId="492" priority="440" operator="containsText" text="Low">
      <formula>NOT(ISERROR(SEARCH("Low",F390)))</formula>
    </cfRule>
    <cfRule type="containsText" dxfId="491" priority="441" operator="containsText" text="Medium">
      <formula>NOT(ISERROR(SEARCH("Medium",F390)))</formula>
    </cfRule>
  </conditionalFormatting>
  <conditionalFormatting sqref="F392">
    <cfRule type="containsText" dxfId="490" priority="436" operator="containsText" text="Medium">
      <formula>NOT(ISERROR(SEARCH("Medium",F392)))</formula>
    </cfRule>
    <cfRule type="containsText" dxfId="489" priority="433" operator="containsText" text="Medium-Low">
      <formula>NOT(ISERROR(SEARCH("Medium-Low",F392)))</formula>
    </cfRule>
    <cfRule type="containsText" dxfId="488" priority="434" operator="containsText" text="High">
      <formula>NOT(ISERROR(SEARCH("High",F392)))</formula>
    </cfRule>
    <cfRule type="containsText" dxfId="487" priority="435" operator="containsText" text="Low">
      <formula>NOT(ISERROR(SEARCH("Low",F392)))</formula>
    </cfRule>
  </conditionalFormatting>
  <conditionalFormatting sqref="F394">
    <cfRule type="containsText" dxfId="486" priority="428" operator="containsText" text="Medium-Low">
      <formula>NOT(ISERROR(SEARCH("Medium-Low",F394)))</formula>
    </cfRule>
    <cfRule type="containsText" dxfId="485" priority="429" operator="containsText" text="High">
      <formula>NOT(ISERROR(SEARCH("High",F394)))</formula>
    </cfRule>
    <cfRule type="containsText" dxfId="484" priority="431" operator="containsText" text="Medium">
      <formula>NOT(ISERROR(SEARCH("Medium",F394)))</formula>
    </cfRule>
    <cfRule type="containsText" dxfId="483" priority="430" operator="containsText" text="Low">
      <formula>NOT(ISERROR(SEARCH("Low",F394)))</formula>
    </cfRule>
  </conditionalFormatting>
  <conditionalFormatting sqref="F407:F408">
    <cfRule type="containsText" dxfId="482" priority="361" operator="containsText" text="Medium-Low">
      <formula>NOT(ISERROR(SEARCH("Medium-Low",F407)))</formula>
    </cfRule>
    <cfRule type="containsText" dxfId="481" priority="362" operator="containsText" text="Medium">
      <formula>NOT(ISERROR(SEARCH("Medium",F407)))</formula>
    </cfRule>
  </conditionalFormatting>
  <conditionalFormatting sqref="F410">
    <cfRule type="containsText" dxfId="480" priority="349" operator="containsText" text="Medium">
      <formula>NOT(ISERROR(SEARCH("Medium",F410)))</formula>
    </cfRule>
    <cfRule type="containsText" dxfId="479" priority="348" operator="containsText" text="Medium-Low">
      <formula>NOT(ISERROR(SEARCH("Medium-Low",F410)))</formula>
    </cfRule>
    <cfRule type="containsText" dxfId="478" priority="354" operator="containsText" text="Medium-Low">
      <formula>NOT(ISERROR(SEARCH("Medium-Low",F410)))</formula>
    </cfRule>
    <cfRule type="containsText" dxfId="477" priority="355" operator="containsText" text="Low">
      <formula>NOT(ISERROR(SEARCH("Low",F410)))</formula>
    </cfRule>
    <cfRule type="containsText" dxfId="476" priority="356" operator="containsText" text="Medium">
      <formula>NOT(ISERROR(SEARCH("Medium",F410)))</formula>
    </cfRule>
  </conditionalFormatting>
  <conditionalFormatting sqref="F417">
    <cfRule type="containsText" dxfId="475" priority="344" operator="containsText" text="High*">
      <formula>NOT(ISERROR(SEARCH("High*",F417)))</formula>
    </cfRule>
    <cfRule type="containsText" dxfId="474" priority="343" operator="containsText" text="Medium-High">
      <formula>NOT(ISERROR(SEARCH("Medium-High",F417)))</formula>
    </cfRule>
  </conditionalFormatting>
  <conditionalFormatting sqref="F434:F435">
    <cfRule type="containsText" dxfId="473" priority="383" operator="containsText" text="Medium-High">
      <formula>NOT(ISERROR(SEARCH("Medium-High",F434)))</formula>
    </cfRule>
    <cfRule type="containsText" dxfId="472" priority="384" operator="containsText" text="High*">
      <formula>NOT(ISERROR(SEARCH("High*",F434)))</formula>
    </cfRule>
  </conditionalFormatting>
  <conditionalFormatting sqref="F437:F438">
    <cfRule type="containsText" dxfId="471" priority="382" operator="containsText" text="High*">
      <formula>NOT(ISERROR(SEARCH("High*",F437)))</formula>
    </cfRule>
    <cfRule type="containsText" dxfId="470" priority="381" operator="containsText" text="Medium-High">
      <formula>NOT(ISERROR(SEARCH("Medium-High",F437)))</formula>
    </cfRule>
  </conditionalFormatting>
  <conditionalFormatting sqref="F443:F445">
    <cfRule type="containsText" dxfId="469" priority="378" operator="containsText" text="High*">
      <formula>NOT(ISERROR(SEARCH("High*",F443)))</formula>
    </cfRule>
    <cfRule type="containsText" dxfId="468" priority="377" operator="containsText" text="Medium-High">
      <formula>NOT(ISERROR(SEARCH("Medium-High",F443)))</formula>
    </cfRule>
  </conditionalFormatting>
  <conditionalFormatting sqref="F446">
    <cfRule type="containsText" dxfId="467" priority="372" operator="containsText" text="High">
      <formula>NOT(ISERROR(SEARCH("High",F446)))</formula>
    </cfRule>
    <cfRule type="containsText" dxfId="466" priority="374" operator="containsText" text="Medium">
      <formula>NOT(ISERROR(SEARCH("Medium",F446)))</formula>
    </cfRule>
    <cfRule type="containsText" dxfId="465" priority="373" operator="containsText" text="Low">
      <formula>NOT(ISERROR(SEARCH("Low",F446)))</formula>
    </cfRule>
    <cfRule type="containsText" dxfId="464" priority="371" operator="containsText" text="Medium-Low">
      <formula>NOT(ISERROR(SEARCH("Medium-Low",F446)))</formula>
    </cfRule>
  </conditionalFormatting>
  <conditionalFormatting sqref="F447:F448">
    <cfRule type="containsText" dxfId="463" priority="370" operator="containsText" text="High*">
      <formula>NOT(ISERROR(SEARCH("High*",F447)))</formula>
    </cfRule>
    <cfRule type="containsText" dxfId="462" priority="369" operator="containsText" text="Medium-High">
      <formula>NOT(ISERROR(SEARCH("Medium-High",F447)))</formula>
    </cfRule>
  </conditionalFormatting>
  <conditionalFormatting sqref="F456:F457 I456:I457">
    <cfRule type="containsText" dxfId="461" priority="69" operator="containsText" text="Low">
      <formula>NOT(ISERROR(SEARCH("Low",F456)))</formula>
    </cfRule>
    <cfRule type="containsText" dxfId="460" priority="68" operator="containsText" text="Medium">
      <formula>NOT(ISERROR(SEARCH("Medium",F456)))</formula>
    </cfRule>
    <cfRule type="containsText" dxfId="459" priority="67" operator="containsText" text="High">
      <formula>NOT(ISERROR(SEARCH("High",F456)))</formula>
    </cfRule>
  </conditionalFormatting>
  <conditionalFormatting sqref="F456:F457">
    <cfRule type="containsText" dxfId="458" priority="63" operator="containsText" text="High*">
      <formula>NOT(ISERROR(SEARCH("High*",F456)))</formula>
    </cfRule>
    <cfRule type="containsText" dxfId="457" priority="62" operator="containsText" text="Medium-High">
      <formula>NOT(ISERROR(SEARCH("Medium-High",F456)))</formula>
    </cfRule>
  </conditionalFormatting>
  <conditionalFormatting sqref="F457">
    <cfRule type="containsText" dxfId="456" priority="61" operator="containsText" text="Low">
      <formula>NOT(ISERROR(SEARCH("Low",F457)))</formula>
    </cfRule>
    <cfRule type="containsText" dxfId="455" priority="60" operator="containsText" text="Medium">
      <formula>NOT(ISERROR(SEARCH("Medium",F457)))</formula>
    </cfRule>
    <cfRule type="containsText" dxfId="454" priority="59" operator="containsText" text="High">
      <formula>NOT(ISERROR(SEARCH("High",F457)))</formula>
    </cfRule>
  </conditionalFormatting>
  <conditionalFormatting sqref="F461:F463">
    <cfRule type="containsText" dxfId="453" priority="365" operator="containsText" text="High*">
      <formula>NOT(ISERROR(SEARCH("High*",F461)))</formula>
    </cfRule>
    <cfRule type="containsText" dxfId="452" priority="364" operator="containsText" text="Medium-High">
      <formula>NOT(ISERROR(SEARCH("Medium-High",F461)))</formula>
    </cfRule>
  </conditionalFormatting>
  <conditionalFormatting sqref="F464">
    <cfRule type="containsText" dxfId="451" priority="290" operator="containsText" text="Medium">
      <formula>NOT(ISERROR(SEARCH("Medium",F464)))</formula>
    </cfRule>
    <cfRule type="containsText" dxfId="450" priority="289" operator="containsText" text="High">
      <formula>NOT(ISERROR(SEARCH("High",F464)))</formula>
    </cfRule>
    <cfRule type="containsText" dxfId="449" priority="291" operator="containsText" text="Low">
      <formula>NOT(ISERROR(SEARCH("Low",F464)))</formula>
    </cfRule>
  </conditionalFormatting>
  <conditionalFormatting sqref="F473">
    <cfRule type="containsText" dxfId="448" priority="154" operator="containsText" text="Low">
      <formula>NOT(ISERROR(SEARCH("Low",F473)))</formula>
    </cfRule>
    <cfRule type="containsText" dxfId="447" priority="152" operator="containsText" text="Medium-Low">
      <formula>NOT(ISERROR(SEARCH("Medium-Low",F473)))</formula>
    </cfRule>
    <cfRule type="containsText" dxfId="446" priority="153" operator="containsText" text="High">
      <formula>NOT(ISERROR(SEARCH("High",F473)))</formula>
    </cfRule>
    <cfRule type="containsText" dxfId="445" priority="155" operator="containsText" text="Medium">
      <formula>NOT(ISERROR(SEARCH("Medium",F473)))</formula>
    </cfRule>
  </conditionalFormatting>
  <conditionalFormatting sqref="F474:F475">
    <cfRule type="containsText" dxfId="444" priority="147" operator="containsText" text="Medium-High">
      <formula>NOT(ISERROR(SEARCH("Medium-High",F474)))</formula>
    </cfRule>
    <cfRule type="containsText" dxfId="443" priority="148" operator="containsText" text="High*">
      <formula>NOT(ISERROR(SEARCH("High*",F474)))</formula>
    </cfRule>
    <cfRule type="containsText" dxfId="442" priority="149" operator="containsText" text="High">
      <formula>NOT(ISERROR(SEARCH("High",F474)))</formula>
    </cfRule>
    <cfRule type="containsText" dxfId="441" priority="150" operator="containsText" text="Medium">
      <formula>NOT(ISERROR(SEARCH("Medium",F474)))</formula>
    </cfRule>
    <cfRule type="containsText" dxfId="440" priority="151" operator="containsText" text="Low">
      <formula>NOT(ISERROR(SEARCH("Low",F474)))</formula>
    </cfRule>
  </conditionalFormatting>
  <conditionalFormatting sqref="F476:F582">
    <cfRule type="containsText" dxfId="439" priority="306" operator="containsText" text="Medium-High">
      <formula>NOT(ISERROR(SEARCH("Medium-High",F476)))</formula>
    </cfRule>
    <cfRule type="containsText" dxfId="438" priority="307" operator="containsText" text="High*">
      <formula>NOT(ISERROR(SEARCH("High*",F476)))</formula>
    </cfRule>
  </conditionalFormatting>
  <conditionalFormatting sqref="F487">
    <cfRule type="containsText" dxfId="437" priority="213" operator="containsText" text="Low">
      <formula>NOT(ISERROR(SEARCH("Low",F487)))</formula>
    </cfRule>
    <cfRule type="containsText" dxfId="436" priority="211" operator="containsText" text="High">
      <formula>NOT(ISERROR(SEARCH("High",F487)))</formula>
    </cfRule>
    <cfRule type="containsText" dxfId="435" priority="212" operator="containsText" text="Medium">
      <formula>NOT(ISERROR(SEARCH("Medium",F487)))</formula>
    </cfRule>
  </conditionalFormatting>
  <conditionalFormatting sqref="F489">
    <cfRule type="containsText" dxfId="434" priority="219" operator="containsText" text="Low">
      <formula>NOT(ISERROR(SEARCH("Low",F489)))</formula>
    </cfRule>
    <cfRule type="containsText" dxfId="433" priority="218" operator="containsText" text="Medium">
      <formula>NOT(ISERROR(SEARCH("Medium",F489)))</formula>
    </cfRule>
    <cfRule type="containsText" dxfId="432" priority="217" operator="containsText" text="High">
      <formula>NOT(ISERROR(SEARCH("High",F489)))</formula>
    </cfRule>
    <cfRule type="containsText" dxfId="431" priority="216" operator="containsText" text="Low">
      <formula>NOT(ISERROR(SEARCH("Low",F489)))</formula>
    </cfRule>
    <cfRule type="containsText" dxfId="430" priority="215" operator="containsText" text="Medium">
      <formula>NOT(ISERROR(SEARCH("Medium",F489)))</formula>
    </cfRule>
    <cfRule type="containsText" dxfId="429" priority="214" operator="containsText" text="High">
      <formula>NOT(ISERROR(SEARCH("High",F489)))</formula>
    </cfRule>
  </conditionalFormatting>
  <conditionalFormatting sqref="F584:F673">
    <cfRule type="containsText" dxfId="428" priority="543" operator="containsText" text="Medium-High">
      <formula>NOT(ISERROR(SEARCH("Medium-High",F584)))</formula>
    </cfRule>
  </conditionalFormatting>
  <conditionalFormatting sqref="F675:F679">
    <cfRule type="containsText" dxfId="427" priority="544" operator="containsText" text="Medium-High">
      <formula>NOT(ISERROR(SEARCH("Medium-High",F675)))</formula>
    </cfRule>
  </conditionalFormatting>
  <conditionalFormatting sqref="F681:F685">
    <cfRule type="containsText" dxfId="426" priority="545" operator="containsText" text="Medium-High">
      <formula>NOT(ISERROR(SEARCH("Medium-High",F681)))</formula>
    </cfRule>
  </conditionalFormatting>
  <conditionalFormatting sqref="F687:F701">
    <cfRule type="containsText" dxfId="425" priority="512" operator="containsText" text="Medium-High">
      <formula>NOT(ISERROR(SEARCH("Medium-High",F687)))</formula>
    </cfRule>
  </conditionalFormatting>
  <conditionalFormatting sqref="F703:F713">
    <cfRule type="containsText" dxfId="424" priority="517" operator="containsText" text="Medium-High">
      <formula>NOT(ISERROR(SEARCH("Medium-High",F703)))</formula>
    </cfRule>
  </conditionalFormatting>
  <conditionalFormatting sqref="F715:F719">
    <cfRule type="containsText" dxfId="423" priority="546" operator="containsText" text="Medium-High">
      <formula>NOT(ISERROR(SEARCH("Medium-High",F715)))</formula>
    </cfRule>
  </conditionalFormatting>
  <conditionalFormatting sqref="F721">
    <cfRule type="containsText" dxfId="422" priority="522" operator="containsText" text="Medium-High">
      <formula>NOT(ISERROR(SEARCH("Medium-High",F721)))</formula>
    </cfRule>
  </conditionalFormatting>
  <conditionalFormatting sqref="F727">
    <cfRule type="containsText" dxfId="421" priority="525" operator="containsText" text="Medium-High">
      <formula>NOT(ISERROR(SEARCH("Medium-High",F727)))</formula>
    </cfRule>
  </conditionalFormatting>
  <conditionalFormatting sqref="F734">
    <cfRule type="containsText" dxfId="420" priority="528" operator="containsText" text="Medium-High">
      <formula>NOT(ISERROR(SEARCH("Medium-High",F734)))</formula>
    </cfRule>
  </conditionalFormatting>
  <conditionalFormatting sqref="F736:F739">
    <cfRule type="containsText" dxfId="419" priority="531" operator="containsText" text="Medium-High">
      <formula>NOT(ISERROR(SEARCH("Medium-High",F736)))</formula>
    </cfRule>
  </conditionalFormatting>
  <conditionalFormatting sqref="F741:F742">
    <cfRule type="containsText" dxfId="418" priority="534" operator="containsText" text="Medium-High">
      <formula>NOT(ISERROR(SEARCH("Medium-High",F741)))</formula>
    </cfRule>
  </conditionalFormatting>
  <conditionalFormatting sqref="F747">
    <cfRule type="containsText" dxfId="417" priority="537" operator="containsText" text="Medium-High">
      <formula>NOT(ISERROR(SEARCH("Medium-High",F747)))</formula>
    </cfRule>
  </conditionalFormatting>
  <conditionalFormatting sqref="F753">
    <cfRule type="containsText" dxfId="416" priority="540" operator="containsText" text="Medium-High">
      <formula>NOT(ISERROR(SEARCH("Medium-High",F753)))</formula>
    </cfRule>
  </conditionalFormatting>
  <conditionalFormatting sqref="F759">
    <cfRule type="containsText" dxfId="415" priority="547" operator="containsText" text="Medium-High">
      <formula>NOT(ISERROR(SEARCH("Medium-High",F759)))</formula>
    </cfRule>
  </conditionalFormatting>
  <conditionalFormatting sqref="F772">
    <cfRule type="containsText" dxfId="414" priority="493" operator="containsText" text="Medium-High">
      <formula>NOT(ISERROR(SEARCH("Medium-High",F772)))</formula>
    </cfRule>
  </conditionalFormatting>
  <conditionalFormatting sqref="F779">
    <cfRule type="containsText" dxfId="413" priority="492" operator="containsText" text="Medium-High">
      <formula>NOT(ISERROR(SEARCH("Medium-High",F779)))</formula>
    </cfRule>
  </conditionalFormatting>
  <conditionalFormatting sqref="F781:F783">
    <cfRule type="containsText" dxfId="412" priority="491" operator="containsText" text="Medium-High">
      <formula>NOT(ISERROR(SEARCH("Medium-High",F781)))</formula>
    </cfRule>
  </conditionalFormatting>
  <conditionalFormatting sqref="I5">
    <cfRule type="containsText" dxfId="411" priority="617" operator="containsText" text="Medium-High">
      <formula>NOT(ISERROR(SEARCH("Medium-High",I5)))</formula>
    </cfRule>
    <cfRule type="containsText" dxfId="410" priority="618" operator="containsText" text="High*">
      <formula>NOT(ISERROR(SEARCH("High*",I5)))</formula>
    </cfRule>
  </conditionalFormatting>
  <conditionalFormatting sqref="I27">
    <cfRule type="containsText" dxfId="409" priority="609" operator="containsText" text="Medium-High">
      <formula>NOT(ISERROR(SEARCH("Medium-High",I27)))</formula>
    </cfRule>
    <cfRule type="containsText" dxfId="408" priority="610" operator="containsText" text="High*">
      <formula>NOT(ISERROR(SEARCH("High*",I27)))</formula>
    </cfRule>
  </conditionalFormatting>
  <conditionalFormatting sqref="I49">
    <cfRule type="containsText" dxfId="407" priority="602" operator="containsText" text="Medium-High">
      <formula>NOT(ISERROR(SEARCH("Medium-High",I49)))</formula>
    </cfRule>
    <cfRule type="containsText" dxfId="406" priority="603" operator="containsText" text="High*">
      <formula>NOT(ISERROR(SEARCH("High*",I49)))</formula>
    </cfRule>
  </conditionalFormatting>
  <conditionalFormatting sqref="I71">
    <cfRule type="containsText" dxfId="405" priority="595" operator="containsText" text="High*">
      <formula>NOT(ISERROR(SEARCH("High*",I71)))</formula>
    </cfRule>
    <cfRule type="containsText" dxfId="404" priority="594" operator="containsText" text="Medium-High">
      <formula>NOT(ISERROR(SEARCH("Medium-High",I71)))</formula>
    </cfRule>
  </conditionalFormatting>
  <conditionalFormatting sqref="I94">
    <cfRule type="containsText" dxfId="403" priority="587" operator="containsText" text="High*">
      <formula>NOT(ISERROR(SEARCH("High*",I94)))</formula>
    </cfRule>
    <cfRule type="containsText" dxfId="402" priority="586" operator="containsText" text="Medium-High">
      <formula>NOT(ISERROR(SEARCH("Medium-High",I94)))</formula>
    </cfRule>
  </conditionalFormatting>
  <conditionalFormatting sqref="I116">
    <cfRule type="containsText" dxfId="401" priority="579" operator="containsText" text="High*">
      <formula>NOT(ISERROR(SEARCH("High*",I116)))</formula>
    </cfRule>
    <cfRule type="containsText" dxfId="400" priority="578" operator="containsText" text="Medium-High">
      <formula>NOT(ISERROR(SEARCH("Medium-High",I116)))</formula>
    </cfRule>
  </conditionalFormatting>
  <conditionalFormatting sqref="I138">
    <cfRule type="containsText" dxfId="399" priority="572" operator="containsText" text="High*">
      <formula>NOT(ISERROR(SEARCH("High*",I138)))</formula>
    </cfRule>
    <cfRule type="containsText" dxfId="398" priority="571" operator="containsText" text="Medium-High">
      <formula>NOT(ISERROR(SEARCH("Medium-High",I138)))</formula>
    </cfRule>
  </conditionalFormatting>
  <conditionalFormatting sqref="I160">
    <cfRule type="containsText" dxfId="397" priority="563" operator="containsText" text="Medium-High">
      <formula>NOT(ISERROR(SEARCH("Medium-High",I160)))</formula>
    </cfRule>
    <cfRule type="containsText" dxfId="396" priority="564" operator="containsText" text="High*">
      <formula>NOT(ISERROR(SEARCH("High*",I160)))</formula>
    </cfRule>
  </conditionalFormatting>
  <conditionalFormatting sqref="I182">
    <cfRule type="containsText" dxfId="395" priority="555" operator="containsText" text="Medium-High">
      <formula>NOT(ISERROR(SEARCH("Medium-High",I182)))</formula>
    </cfRule>
    <cfRule type="containsText" dxfId="394" priority="556" operator="containsText" text="High*">
      <formula>NOT(ISERROR(SEARCH("High*",I182)))</formula>
    </cfRule>
  </conditionalFormatting>
  <conditionalFormatting sqref="I207">
    <cfRule type="containsText" dxfId="393" priority="421" operator="containsText" text="Medium">
      <formula>NOT(ISERROR(SEARCH("Medium",I207)))</formula>
    </cfRule>
    <cfRule type="containsText" dxfId="392" priority="420" operator="containsText" text="Low">
      <formula>NOT(ISERROR(SEARCH("Low",I207)))</formula>
    </cfRule>
    <cfRule type="containsText" dxfId="391" priority="419" operator="containsText" text="High">
      <formula>NOT(ISERROR(SEARCH("High",I207)))</formula>
    </cfRule>
    <cfRule type="containsText" dxfId="390" priority="418" operator="containsText" text="Medium-Low">
      <formula>NOT(ISERROR(SEARCH("Medium-Low",I207)))</formula>
    </cfRule>
  </conditionalFormatting>
  <conditionalFormatting sqref="I210">
    <cfRule type="containsText" dxfId="389" priority="416" operator="containsText" text="Medium">
      <formula>NOT(ISERROR(SEARCH("Medium",I210)))</formula>
    </cfRule>
    <cfRule type="containsText" dxfId="388" priority="413" operator="containsText" text="Medium-Low">
      <formula>NOT(ISERROR(SEARCH("Medium-Low",I210)))</formula>
    </cfRule>
    <cfRule type="containsText" dxfId="387" priority="414" operator="containsText" text="High">
      <formula>NOT(ISERROR(SEARCH("High",I210)))</formula>
    </cfRule>
    <cfRule type="containsText" dxfId="386" priority="415" operator="containsText" text="Low">
      <formula>NOT(ISERROR(SEARCH("Low",I210)))</formula>
    </cfRule>
  </conditionalFormatting>
  <conditionalFormatting sqref="I216:I222">
    <cfRule type="containsText" dxfId="385" priority="31" operator="containsText" text="High*">
      <formula>NOT(ISERROR(SEARCH("High*",I216)))</formula>
    </cfRule>
    <cfRule type="containsText" dxfId="384" priority="30" operator="containsText" text="Medium-High">
      <formula>NOT(ISERROR(SEARCH("Medium-High",I216)))</formula>
    </cfRule>
  </conditionalFormatting>
  <conditionalFormatting sqref="I230">
    <cfRule type="containsText" dxfId="383" priority="266" operator="containsText" text="Medium">
      <formula>NOT(ISERROR(SEARCH("Medium",I230)))</formula>
    </cfRule>
    <cfRule type="containsText" dxfId="382" priority="265" operator="containsText" text="Low">
      <formula>NOT(ISERROR(SEARCH("Low",I230)))</formula>
    </cfRule>
    <cfRule type="containsText" dxfId="381" priority="264" operator="containsText" text="High">
      <formula>NOT(ISERROR(SEARCH("High",I230)))</formula>
    </cfRule>
    <cfRule type="containsText" dxfId="380" priority="263" operator="containsText" text="Medium-Low">
      <formula>NOT(ISERROR(SEARCH("Medium-Low",I230)))</formula>
    </cfRule>
  </conditionalFormatting>
  <conditionalFormatting sqref="I233">
    <cfRule type="containsText" dxfId="379" priority="82" operator="containsText" text="Low">
      <formula>NOT(ISERROR(SEARCH("Low",I233)))</formula>
    </cfRule>
    <cfRule type="containsText" dxfId="378" priority="81" operator="containsText" text="High">
      <formula>NOT(ISERROR(SEARCH("High",I233)))</formula>
    </cfRule>
    <cfRule type="containsText" dxfId="377" priority="83" operator="containsText" text="Medium">
      <formula>NOT(ISERROR(SEARCH("Medium",I233)))</formula>
    </cfRule>
    <cfRule type="containsText" dxfId="376" priority="80" operator="containsText" text="Medium-Low">
      <formula>NOT(ISERROR(SEARCH("Medium-Low",I233)))</formula>
    </cfRule>
  </conditionalFormatting>
  <conditionalFormatting sqref="I261">
    <cfRule type="containsText" dxfId="375" priority="262" operator="containsText" text="Medium">
      <formula>NOT(ISERROR(SEARCH("Medium",I261)))</formula>
    </cfRule>
    <cfRule type="containsText" dxfId="374" priority="259" operator="containsText" text="Medium-Low">
      <formula>NOT(ISERROR(SEARCH("Medium-Low",I261)))</formula>
    </cfRule>
    <cfRule type="containsText" dxfId="373" priority="260" operator="containsText" text="High">
      <formula>NOT(ISERROR(SEARCH("High",I261)))</formula>
    </cfRule>
    <cfRule type="containsText" dxfId="372" priority="261" operator="containsText" text="Low">
      <formula>NOT(ISERROR(SEARCH("Low",I261)))</formula>
    </cfRule>
  </conditionalFormatting>
  <conditionalFormatting sqref="I272">
    <cfRule type="containsText" dxfId="371" priority="255" operator="containsText" text="Medium-Low">
      <formula>NOT(ISERROR(SEARCH("Medium-Low",I272)))</formula>
    </cfRule>
    <cfRule type="containsText" dxfId="370" priority="256" operator="containsText" text="High">
      <formula>NOT(ISERROR(SEARCH("High",I272)))</formula>
    </cfRule>
    <cfRule type="containsText" dxfId="369" priority="257" operator="containsText" text="Low">
      <formula>NOT(ISERROR(SEARCH("Low",I272)))</formula>
    </cfRule>
    <cfRule type="containsText" dxfId="368" priority="258" operator="containsText" text="Medium">
      <formula>NOT(ISERROR(SEARCH("Medium",I272)))</formula>
    </cfRule>
  </conditionalFormatting>
  <conditionalFormatting sqref="I278">
    <cfRule type="containsText" dxfId="367" priority="254" operator="containsText" text="Medium">
      <formula>NOT(ISERROR(SEARCH("Medium",I278)))</formula>
    </cfRule>
    <cfRule type="containsText" dxfId="366" priority="252" operator="containsText" text="High">
      <formula>NOT(ISERROR(SEARCH("High",I278)))</formula>
    </cfRule>
    <cfRule type="containsText" dxfId="365" priority="251" operator="containsText" text="Medium-Low">
      <formula>NOT(ISERROR(SEARCH("Medium-Low",I278)))</formula>
    </cfRule>
    <cfRule type="containsText" dxfId="364" priority="253" operator="containsText" text="Low">
      <formula>NOT(ISERROR(SEARCH("Low",I278)))</formula>
    </cfRule>
  </conditionalFormatting>
  <conditionalFormatting sqref="I287">
    <cfRule type="containsText" dxfId="363" priority="247" operator="containsText" text="Medium-Low">
      <formula>NOT(ISERROR(SEARCH("Medium-Low",I287)))</formula>
    </cfRule>
    <cfRule type="containsText" dxfId="362" priority="250" operator="containsText" text="Medium">
      <formula>NOT(ISERROR(SEARCH("Medium",I287)))</formula>
    </cfRule>
    <cfRule type="containsText" dxfId="361" priority="249" operator="containsText" text="Low">
      <formula>NOT(ISERROR(SEARCH("Low",I287)))</formula>
    </cfRule>
    <cfRule type="containsText" dxfId="360" priority="248" operator="containsText" text="High">
      <formula>NOT(ISERROR(SEARCH("High",I287)))</formula>
    </cfRule>
  </conditionalFormatting>
  <conditionalFormatting sqref="I308">
    <cfRule type="containsText" dxfId="359" priority="183" operator="containsText" text="Medium-Low">
      <formula>NOT(ISERROR(SEARCH("Medium-Low",I308)))</formula>
    </cfRule>
    <cfRule type="containsText" dxfId="358" priority="184" operator="containsText" text="High">
      <formula>NOT(ISERROR(SEARCH("High",I308)))</formula>
    </cfRule>
    <cfRule type="containsText" dxfId="357" priority="185" operator="containsText" text="Low">
      <formula>NOT(ISERROR(SEARCH("Low",I308)))</formula>
    </cfRule>
    <cfRule type="containsText" dxfId="356" priority="186" operator="containsText" text="Medium">
      <formula>NOT(ISERROR(SEARCH("Medium",I308)))</formula>
    </cfRule>
  </conditionalFormatting>
  <conditionalFormatting sqref="I311">
    <cfRule type="containsText" dxfId="355" priority="41" operator="containsText" text="Medium">
      <formula>NOT(ISERROR(SEARCH("Medium",I311)))</formula>
    </cfRule>
    <cfRule type="containsText" dxfId="354" priority="38" operator="containsText" text="Medium-Low">
      <formula>NOT(ISERROR(SEARCH("Medium-Low",I311)))</formula>
    </cfRule>
    <cfRule type="containsText" dxfId="353" priority="39" operator="containsText" text="High">
      <formula>NOT(ISERROR(SEARCH("High",I311)))</formula>
    </cfRule>
    <cfRule type="containsText" dxfId="352" priority="40" operator="containsText" text="Low">
      <formula>NOT(ISERROR(SEARCH("Low",I311)))</formula>
    </cfRule>
  </conditionalFormatting>
  <conditionalFormatting sqref="I312">
    <cfRule type="containsText" dxfId="351" priority="36" operator="containsText" text="Low">
      <formula>NOT(ISERROR(SEARCH("Low",I312)))</formula>
    </cfRule>
    <cfRule type="containsText" dxfId="350" priority="35" operator="containsText" text="Medium">
      <formula>NOT(ISERROR(SEARCH("Medium",I312)))</formula>
    </cfRule>
    <cfRule type="containsText" dxfId="349" priority="33" operator="containsText" text="High*">
      <formula>NOT(ISERROR(SEARCH("High*",I312)))</formula>
    </cfRule>
    <cfRule type="containsText" dxfId="348" priority="32" operator="containsText" text="Medium-High">
      <formula>NOT(ISERROR(SEARCH("Medium-High",I312)))</formula>
    </cfRule>
  </conditionalFormatting>
  <conditionalFormatting sqref="I312:I319">
    <cfRule type="containsText" dxfId="347" priority="34" operator="containsText" text="High">
      <formula>NOT(ISERROR(SEARCH("High",I312)))</formula>
    </cfRule>
  </conditionalFormatting>
  <conditionalFormatting sqref="I320">
    <cfRule type="containsText" dxfId="346" priority="408" operator="containsText" text="Medium-Low">
      <formula>NOT(ISERROR(SEARCH("Medium-Low",I320)))</formula>
    </cfRule>
    <cfRule type="containsText" dxfId="345" priority="409" operator="containsText" text="High">
      <formula>NOT(ISERROR(SEARCH("High",I320)))</formula>
    </cfRule>
    <cfRule type="containsText" dxfId="344" priority="410" operator="containsText" text="Low">
      <formula>NOT(ISERROR(SEARCH("Low",I320)))</formula>
    </cfRule>
    <cfRule type="containsText" dxfId="343" priority="411" operator="containsText" text="Medium">
      <formula>NOT(ISERROR(SEARCH("Medium",I320)))</formula>
    </cfRule>
  </conditionalFormatting>
  <conditionalFormatting sqref="I323">
    <cfRule type="containsText" dxfId="342" priority="406" operator="containsText" text="Medium">
      <formula>NOT(ISERROR(SEARCH("Medium",I323)))</formula>
    </cfRule>
    <cfRule type="containsText" dxfId="341" priority="405" operator="containsText" text="Low">
      <formula>NOT(ISERROR(SEARCH("Low",I323)))</formula>
    </cfRule>
    <cfRule type="containsText" dxfId="340" priority="404" operator="containsText" text="High">
      <formula>NOT(ISERROR(SEARCH("High",I323)))</formula>
    </cfRule>
    <cfRule type="containsText" dxfId="339" priority="403" operator="containsText" text="Medium-Low">
      <formula>NOT(ISERROR(SEARCH("Medium-Low",I323)))</formula>
    </cfRule>
  </conditionalFormatting>
  <conditionalFormatting sqref="I335">
    <cfRule type="containsText" dxfId="338" priority="229" operator="containsText" text="Medium-Low">
      <formula>NOT(ISERROR(SEARCH("Medium-Low",I335)))</formula>
    </cfRule>
    <cfRule type="containsText" dxfId="337" priority="232" operator="containsText" text="Medium">
      <formula>NOT(ISERROR(SEARCH("Medium",I335)))</formula>
    </cfRule>
    <cfRule type="containsText" dxfId="336" priority="230" operator="containsText" text="High">
      <formula>NOT(ISERROR(SEARCH("High",I335)))</formula>
    </cfRule>
    <cfRule type="containsText" dxfId="335" priority="231" operator="containsText" text="Low">
      <formula>NOT(ISERROR(SEARCH("Low",I335)))</formula>
    </cfRule>
  </conditionalFormatting>
  <conditionalFormatting sqref="I338">
    <cfRule type="containsText" dxfId="334" priority="78" operator="containsText" text="Low">
      <formula>NOT(ISERROR(SEARCH("Low",I338)))</formula>
    </cfRule>
    <cfRule type="containsText" dxfId="333" priority="77" operator="containsText" text="High">
      <formula>NOT(ISERROR(SEARCH("High",I338)))</formula>
    </cfRule>
    <cfRule type="containsText" dxfId="332" priority="76" operator="containsText" text="Medium-Low">
      <formula>NOT(ISERROR(SEARCH("Medium-Low",I338)))</formula>
    </cfRule>
    <cfRule type="containsText" dxfId="331" priority="79" operator="containsText" text="Medium">
      <formula>NOT(ISERROR(SEARCH("Medium",I338)))</formula>
    </cfRule>
  </conditionalFormatting>
  <conditionalFormatting sqref="I344:I345">
    <cfRule type="containsText" dxfId="330" priority="227" operator="containsText" text="High*">
      <formula>NOT(ISERROR(SEARCH("High*",I344)))</formula>
    </cfRule>
    <cfRule type="containsText" dxfId="329" priority="226" operator="containsText" text="Medium-High">
      <formula>NOT(ISERROR(SEARCH("Medium-High",I344)))</formula>
    </cfRule>
  </conditionalFormatting>
  <conditionalFormatting sqref="I348">
    <cfRule type="containsText" dxfId="328" priority="225" operator="containsText" text="High*">
      <formula>NOT(ISERROR(SEARCH("High*",I348)))</formula>
    </cfRule>
    <cfRule type="containsText" dxfId="327" priority="224" operator="containsText" text="Medium-High">
      <formula>NOT(ISERROR(SEARCH("Medium-High",I348)))</formula>
    </cfRule>
  </conditionalFormatting>
  <conditionalFormatting sqref="I359">
    <cfRule type="containsText" dxfId="326" priority="116" operator="containsText" text="Medium">
      <formula>NOT(ISERROR(SEARCH("Medium",I359)))</formula>
    </cfRule>
    <cfRule type="containsText" dxfId="325" priority="115" operator="containsText" text="Low">
      <formula>NOT(ISERROR(SEARCH("Low",I359)))</formula>
    </cfRule>
    <cfRule type="containsText" dxfId="324" priority="114" operator="containsText" text="High">
      <formula>NOT(ISERROR(SEARCH("High",I359)))</formula>
    </cfRule>
    <cfRule type="containsText" dxfId="323" priority="113" operator="containsText" text="Medium-Low">
      <formula>NOT(ISERROR(SEARCH("Medium-Low",I359)))</formula>
    </cfRule>
  </conditionalFormatting>
  <conditionalFormatting sqref="I360">
    <cfRule type="containsText" dxfId="322" priority="97" operator="containsText" text="High*">
      <formula>NOT(ISERROR(SEARCH("High*",I360)))</formula>
    </cfRule>
    <cfRule type="containsText" dxfId="321" priority="96" operator="containsText" text="Medium-High">
      <formula>NOT(ISERROR(SEARCH("Medium-High",I360)))</formula>
    </cfRule>
  </conditionalFormatting>
  <conditionalFormatting sqref="I360:I361">
    <cfRule type="containsText" dxfId="320" priority="98" operator="containsText" text="High">
      <formula>NOT(ISERROR(SEARCH("High",I360)))</formula>
    </cfRule>
    <cfRule type="containsText" dxfId="319" priority="99" operator="containsText" text="Medium">
      <formula>NOT(ISERROR(SEARCH("Medium",I360)))</formula>
    </cfRule>
    <cfRule type="containsText" dxfId="318" priority="100" operator="containsText" text="Low">
      <formula>NOT(ISERROR(SEARCH("Low",I360)))</formula>
    </cfRule>
  </conditionalFormatting>
  <conditionalFormatting sqref="I362:I363">
    <cfRule type="containsText" dxfId="317" priority="88" operator="containsText" text="Medium-High">
      <formula>NOT(ISERROR(SEARCH("Medium-High",I362)))</formula>
    </cfRule>
    <cfRule type="containsText" dxfId="316" priority="89" operator="containsText" text="High*">
      <formula>NOT(ISERROR(SEARCH("High*",I362)))</formula>
    </cfRule>
  </conditionalFormatting>
  <conditionalFormatting sqref="I362:I366">
    <cfRule type="containsText" dxfId="315" priority="91" operator="containsText" text="Medium">
      <formula>NOT(ISERROR(SEARCH("Medium",I362)))</formula>
    </cfRule>
    <cfRule type="containsText" dxfId="314" priority="92" operator="containsText" text="Low">
      <formula>NOT(ISERROR(SEARCH("Low",I362)))</formula>
    </cfRule>
    <cfRule type="containsText" dxfId="313" priority="90" operator="containsText" text="High">
      <formula>NOT(ISERROR(SEARCH("High",I362)))</formula>
    </cfRule>
  </conditionalFormatting>
  <conditionalFormatting sqref="I367">
    <cfRule type="containsText" dxfId="312" priority="85" operator="containsText" text="High">
      <formula>NOT(ISERROR(SEARCH("High",I367)))</formula>
    </cfRule>
    <cfRule type="containsText" dxfId="311" priority="87" operator="containsText" text="Medium">
      <formula>NOT(ISERROR(SEARCH("Medium",I367)))</formula>
    </cfRule>
    <cfRule type="containsText" dxfId="310" priority="86" operator="containsText" text="Low">
      <formula>NOT(ISERROR(SEARCH("Low",I367)))</formula>
    </cfRule>
    <cfRule type="containsText" dxfId="309" priority="84" operator="containsText" text="Medium-Low">
      <formula>NOT(ISERROR(SEARCH("Medium-Low",I367)))</formula>
    </cfRule>
  </conditionalFormatting>
  <conditionalFormatting sqref="I374">
    <cfRule type="containsText" dxfId="308" priority="243" operator="containsText" text="Medium-Low">
      <formula>NOT(ISERROR(SEARCH("Medium-Low",I374)))</formula>
    </cfRule>
    <cfRule type="containsText" dxfId="307" priority="244" operator="containsText" text="High">
      <formula>NOT(ISERROR(SEARCH("High",I374)))</formula>
    </cfRule>
    <cfRule type="containsText" dxfId="306" priority="245" operator="containsText" text="Low">
      <formula>NOT(ISERROR(SEARCH("Low",I374)))</formula>
    </cfRule>
    <cfRule type="containsText" dxfId="305" priority="246" operator="containsText" text="Medium">
      <formula>NOT(ISERROR(SEARCH("Medium",I374)))</formula>
    </cfRule>
  </conditionalFormatting>
  <conditionalFormatting sqref="I384">
    <cfRule type="containsText" dxfId="304" priority="239" operator="containsText" text="Medium-Low">
      <formula>NOT(ISERROR(SEARCH("Medium-Low",I384)))</formula>
    </cfRule>
    <cfRule type="containsText" dxfId="303" priority="242" operator="containsText" text="Medium">
      <formula>NOT(ISERROR(SEARCH("Medium",I384)))</formula>
    </cfRule>
    <cfRule type="containsText" dxfId="302" priority="241" operator="containsText" text="Low">
      <formula>NOT(ISERROR(SEARCH("Low",I384)))</formula>
    </cfRule>
    <cfRule type="containsText" dxfId="301" priority="240" operator="containsText" text="High">
      <formula>NOT(ISERROR(SEARCH("High",I384)))</formula>
    </cfRule>
  </conditionalFormatting>
  <conditionalFormatting sqref="I396">
    <cfRule type="containsText" dxfId="300" priority="398" operator="containsText" text="Medium-Low">
      <formula>NOT(ISERROR(SEARCH("Medium-Low",I396)))</formula>
    </cfRule>
    <cfRule type="containsText" dxfId="299" priority="399" operator="containsText" text="High">
      <formula>NOT(ISERROR(SEARCH("High",I396)))</formula>
    </cfRule>
    <cfRule type="containsText" dxfId="298" priority="400" operator="containsText" text="Low">
      <formula>NOT(ISERROR(SEARCH("Low",I396)))</formula>
    </cfRule>
    <cfRule type="containsText" dxfId="297" priority="401" operator="containsText" text="Medium">
      <formula>NOT(ISERROR(SEARCH("Medium",I396)))</formula>
    </cfRule>
  </conditionalFormatting>
  <conditionalFormatting sqref="I399">
    <cfRule type="containsText" dxfId="296" priority="394" operator="containsText" text="High">
      <formula>NOT(ISERROR(SEARCH("High",I399)))</formula>
    </cfRule>
    <cfRule type="containsText" dxfId="295" priority="393" operator="containsText" text="Medium-Low">
      <formula>NOT(ISERROR(SEARCH("Medium-Low",I399)))</formula>
    </cfRule>
    <cfRule type="containsText" dxfId="294" priority="395" operator="containsText" text="Low">
      <formula>NOT(ISERROR(SEARCH("Low",I399)))</formula>
    </cfRule>
    <cfRule type="containsText" dxfId="293" priority="396" operator="containsText" text="Medium">
      <formula>NOT(ISERROR(SEARCH("Medium",I399)))</formula>
    </cfRule>
  </conditionalFormatting>
  <conditionalFormatting sqref="I418">
    <cfRule type="containsText" dxfId="292" priority="341" operator="containsText" text="Medium-High">
      <formula>NOT(ISERROR(SEARCH("Medium-High",I418)))</formula>
    </cfRule>
    <cfRule type="containsText" dxfId="291" priority="342" operator="containsText" text="High*">
      <formula>NOT(ISERROR(SEARCH("High*",I418)))</formula>
    </cfRule>
  </conditionalFormatting>
  <conditionalFormatting sqref="I433">
    <cfRule type="containsText" dxfId="290" priority="392" operator="containsText" text="High*">
      <formula>NOT(ISERROR(SEARCH("High*",I433)))</formula>
    </cfRule>
    <cfRule type="containsText" dxfId="289" priority="391" operator="containsText" text="Medium-High">
      <formula>NOT(ISERROR(SEARCH("Medium-High",I433)))</formula>
    </cfRule>
  </conditionalFormatting>
  <conditionalFormatting sqref="I437:I438">
    <cfRule type="containsText" dxfId="288" priority="386" operator="containsText" text="High*">
      <formula>NOT(ISERROR(SEARCH("High*",I437)))</formula>
    </cfRule>
    <cfRule type="containsText" dxfId="287" priority="385" operator="containsText" text="Medium-High">
      <formula>NOT(ISERROR(SEARCH("Medium-High",I437)))</formula>
    </cfRule>
  </conditionalFormatting>
  <conditionalFormatting sqref="I442:I445">
    <cfRule type="containsText" dxfId="286" priority="379" operator="containsText" text="Medium-High">
      <formula>NOT(ISERROR(SEARCH("Medium-High",I442)))</formula>
    </cfRule>
    <cfRule type="containsText" dxfId="285" priority="380" operator="containsText" text="High*">
      <formula>NOT(ISERROR(SEARCH("High*",I442)))</formula>
    </cfRule>
  </conditionalFormatting>
  <conditionalFormatting sqref="I448">
    <cfRule type="containsText" dxfId="284" priority="130" operator="containsText" text="Medium-High">
      <formula>NOT(ISERROR(SEARCH("Medium-High",I448)))</formula>
    </cfRule>
    <cfRule type="containsText" dxfId="283" priority="131" operator="containsText" text="High*">
      <formula>NOT(ISERROR(SEARCH("High*",I448)))</formula>
    </cfRule>
  </conditionalFormatting>
  <conditionalFormatting sqref="I457">
    <cfRule type="containsText" dxfId="282" priority="56" operator="containsText" text="High">
      <formula>NOT(ISERROR(SEARCH("High",I457)))</formula>
    </cfRule>
    <cfRule type="containsText" dxfId="281" priority="57" operator="containsText" text="Medium">
      <formula>NOT(ISERROR(SEARCH("Medium",I457)))</formula>
    </cfRule>
    <cfRule type="containsText" dxfId="280" priority="58" operator="containsText" text="Low">
      <formula>NOT(ISERROR(SEARCH("Low",I457)))</formula>
    </cfRule>
  </conditionalFormatting>
  <conditionalFormatting sqref="I461:I463">
    <cfRule type="containsText" dxfId="279" priority="367" operator="containsText" text="High*">
      <formula>NOT(ISERROR(SEARCH("High*",I461)))</formula>
    </cfRule>
    <cfRule type="containsText" dxfId="278" priority="366" operator="containsText" text="Medium-High">
      <formula>NOT(ISERROR(SEARCH("Medium-High",I461)))</formula>
    </cfRule>
  </conditionalFormatting>
  <conditionalFormatting sqref="I467">
    <cfRule type="containsText" dxfId="277" priority="280" operator="containsText" text="High*">
      <formula>NOT(ISERROR(SEARCH("High*",I467)))</formula>
    </cfRule>
    <cfRule type="containsText" dxfId="276" priority="279" operator="containsText" text="Medium-High">
      <formula>NOT(ISERROR(SEARCH("Medium-High",I467)))</formula>
    </cfRule>
  </conditionalFormatting>
  <conditionalFormatting sqref="I470">
    <cfRule type="containsText" dxfId="275" priority="156" operator="containsText" text="Medium-High">
      <formula>NOT(ISERROR(SEARCH("Medium-High",I470)))</formula>
    </cfRule>
    <cfRule type="containsText" dxfId="274" priority="157" operator="containsText" text="High*">
      <formula>NOT(ISERROR(SEARCH("High*",I470)))</formula>
    </cfRule>
  </conditionalFormatting>
  <conditionalFormatting sqref="I472">
    <cfRule type="containsText" dxfId="273" priority="158" operator="containsText" text="High">
      <formula>NOT(ISERROR(SEARCH("High",I472)))</formula>
    </cfRule>
    <cfRule type="containsText" dxfId="272" priority="159" operator="containsText" text="Medium">
      <formula>NOT(ISERROR(SEARCH("Medium",I472)))</formula>
    </cfRule>
    <cfRule type="containsText" dxfId="271" priority="160" operator="containsText" text="Low">
      <formula>NOT(ISERROR(SEARCH("Low",I472)))</formula>
    </cfRule>
  </conditionalFormatting>
  <conditionalFormatting sqref="I473:I474">
    <cfRule type="containsText" dxfId="270" priority="143" operator="containsText" text="Medium">
      <formula>NOT(ISERROR(SEARCH("Medium",I473)))</formula>
    </cfRule>
    <cfRule type="containsText" dxfId="269" priority="142" operator="containsText" text="Low">
      <formula>NOT(ISERROR(SEARCH("Low",I473)))</formula>
    </cfRule>
    <cfRule type="containsText" dxfId="268" priority="141" operator="containsText" text="High">
      <formula>NOT(ISERROR(SEARCH("High",I473)))</formula>
    </cfRule>
    <cfRule type="containsText" dxfId="267" priority="140" operator="containsText" text="Medium-Low">
      <formula>NOT(ISERROR(SEARCH("Medium-Low",I473)))</formula>
    </cfRule>
  </conditionalFormatting>
  <conditionalFormatting sqref="I475">
    <cfRule type="containsText" dxfId="266" priority="146" operator="containsText" text="Low">
      <formula>NOT(ISERROR(SEARCH("Low",I475)))</formula>
    </cfRule>
    <cfRule type="containsText" dxfId="265" priority="145" operator="containsText" text="Medium">
      <formula>NOT(ISERROR(SEARCH("Medium",I475)))</formula>
    </cfRule>
    <cfRule type="containsText" dxfId="264" priority="144" operator="containsText" text="High">
      <formula>NOT(ISERROR(SEARCH("High",I475)))</formula>
    </cfRule>
  </conditionalFormatting>
  <conditionalFormatting sqref="I476:I488">
    <cfRule type="containsText" dxfId="263" priority="206" operator="containsText" text="Low">
      <formula>NOT(ISERROR(SEARCH("Low",I476)))</formula>
    </cfRule>
    <cfRule type="containsText" dxfId="262" priority="204" operator="containsText" text="High">
      <formula>NOT(ISERROR(SEARCH("High",I476)))</formula>
    </cfRule>
    <cfRule type="containsText" dxfId="261" priority="205" operator="containsText" text="Medium">
      <formula>NOT(ISERROR(SEARCH("Medium",I476)))</formula>
    </cfRule>
  </conditionalFormatting>
  <conditionalFormatting sqref="I487">
    <cfRule type="containsText" dxfId="260" priority="201" operator="containsText" text="High">
      <formula>NOT(ISERROR(SEARCH("High",I487)))</formula>
    </cfRule>
    <cfRule type="containsText" dxfId="259" priority="202" operator="containsText" text="Medium">
      <formula>NOT(ISERROR(SEARCH("Medium",I487)))</formula>
    </cfRule>
    <cfRule type="containsText" dxfId="258" priority="203" operator="containsText" text="Low">
      <formula>NOT(ISERROR(SEARCH("Low",I487)))</formula>
    </cfRule>
  </conditionalFormatting>
  <conditionalFormatting sqref="I489:I490">
    <cfRule type="containsText" dxfId="257" priority="197" operator="containsText" text="Medium-Low">
      <formula>NOT(ISERROR(SEARCH("Medium-Low",I489)))</formula>
    </cfRule>
    <cfRule type="containsText" dxfId="256" priority="198" operator="containsText" text="High">
      <formula>NOT(ISERROR(SEARCH("High",I489)))</formula>
    </cfRule>
    <cfRule type="containsText" dxfId="255" priority="199" operator="containsText" text="Low">
      <formula>NOT(ISERROR(SEARCH("Low",I489)))</formula>
    </cfRule>
    <cfRule type="containsText" dxfId="254" priority="200" operator="containsText" text="Medium">
      <formula>NOT(ISERROR(SEARCH("Medium",I489)))</formula>
    </cfRule>
  </conditionalFormatting>
  <conditionalFormatting sqref="I497">
    <cfRule type="containsText" dxfId="253" priority="333" operator="containsText" text="Medium-High">
      <formula>NOT(ISERROR(SEARCH("Medium-High",I497)))</formula>
    </cfRule>
    <cfRule type="containsText" dxfId="252" priority="334" operator="containsText" text="High*">
      <formula>NOT(ISERROR(SEARCH("High*",I497)))</formula>
    </cfRule>
  </conditionalFormatting>
  <conditionalFormatting sqref="I501">
    <cfRule type="containsText" dxfId="251" priority="339" operator="containsText" text="Medium-High">
      <formula>NOT(ISERROR(SEARCH("Medium-High",I501)))</formula>
    </cfRule>
    <cfRule type="containsText" dxfId="250" priority="340" operator="containsText" text="High*">
      <formula>NOT(ISERROR(SEARCH("High*",I501)))</formula>
    </cfRule>
  </conditionalFormatting>
  <conditionalFormatting sqref="I503">
    <cfRule type="containsText" dxfId="249" priority="337" operator="containsText" text="Medium-High">
      <formula>NOT(ISERROR(SEARCH("Medium-High",I503)))</formula>
    </cfRule>
    <cfRule type="containsText" dxfId="248" priority="338" operator="containsText" text="High*">
      <formula>NOT(ISERROR(SEARCH("High*",I503)))</formula>
    </cfRule>
  </conditionalFormatting>
  <conditionalFormatting sqref="I506">
    <cfRule type="containsText" dxfId="247" priority="335" operator="containsText" text="Medium-High">
      <formula>NOT(ISERROR(SEARCH("Medium-High",I506)))</formula>
    </cfRule>
    <cfRule type="containsText" dxfId="246" priority="336" operator="containsText" text="High*">
      <formula>NOT(ISERROR(SEARCH("High*",I506)))</formula>
    </cfRule>
  </conditionalFormatting>
  <conditionalFormatting sqref="I510">
    <cfRule type="containsText" dxfId="245" priority="304" operator="containsText" text="Medium-High">
      <formula>NOT(ISERROR(SEARCH("Medium-High",I510)))</formula>
    </cfRule>
    <cfRule type="containsText" dxfId="244" priority="305" operator="containsText" text="High*">
      <formula>NOT(ISERROR(SEARCH("High*",I510)))</formula>
    </cfRule>
  </conditionalFormatting>
  <conditionalFormatting sqref="I512">
    <cfRule type="containsText" dxfId="243" priority="302" operator="containsText" text="Medium-High">
      <formula>NOT(ISERROR(SEARCH("Medium-High",I512)))</formula>
    </cfRule>
    <cfRule type="containsText" dxfId="242" priority="303" operator="containsText" text="High*">
      <formula>NOT(ISERROR(SEARCH("High*",I512)))</formula>
    </cfRule>
  </conditionalFormatting>
  <conditionalFormatting sqref="I514">
    <cfRule type="containsText" dxfId="241" priority="314" operator="containsText" text="High*">
      <formula>NOT(ISERROR(SEARCH("High*",I514)))</formula>
    </cfRule>
    <cfRule type="containsText" dxfId="240" priority="313" operator="containsText" text="Medium-High">
      <formula>NOT(ISERROR(SEARCH("Medium-High",I514)))</formula>
    </cfRule>
  </conditionalFormatting>
  <conditionalFormatting sqref="I518:I520">
    <cfRule type="containsText" dxfId="239" priority="323" operator="containsText" text="Medium">
      <formula>NOT(ISERROR(SEARCH("Medium",I518)))</formula>
    </cfRule>
    <cfRule type="containsText" dxfId="238" priority="324" operator="containsText" text="Low">
      <formula>NOT(ISERROR(SEARCH("Low",I518)))</formula>
    </cfRule>
    <cfRule type="containsText" dxfId="237" priority="322" operator="containsText" text="High">
      <formula>NOT(ISERROR(SEARCH("High",I518)))</formula>
    </cfRule>
  </conditionalFormatting>
  <conditionalFormatting sqref="I530:I531">
    <cfRule type="containsText" dxfId="236" priority="482" operator="containsText" text="Medium-High">
      <formula>NOT(ISERROR(SEARCH("Medium-High",I530)))</formula>
    </cfRule>
    <cfRule type="containsText" dxfId="235" priority="483" operator="containsText" text="High*">
      <formula>NOT(ISERROR(SEARCH("High*",I530)))</formula>
    </cfRule>
  </conditionalFormatting>
  <conditionalFormatting sqref="I534">
    <cfRule type="containsText" dxfId="234" priority="480" operator="containsText" text="Medium-High">
      <formula>NOT(ISERROR(SEARCH("Medium-High",I534)))</formula>
    </cfRule>
    <cfRule type="containsText" dxfId="233" priority="481" operator="containsText" text="High*">
      <formula>NOT(ISERROR(SEARCH("High*",I534)))</formula>
    </cfRule>
  </conditionalFormatting>
  <conditionalFormatting sqref="I614">
    <cfRule type="containsText" dxfId="232" priority="494" operator="containsText" text="Medium-High">
      <formula>NOT(ISERROR(SEARCH("Medium-High",I614)))</formula>
    </cfRule>
    <cfRule type="containsText" dxfId="231" priority="495" operator="containsText" text="High*">
      <formula>NOT(ISERROR(SEARCH("High*",I614)))</formula>
    </cfRule>
  </conditionalFormatting>
  <conditionalFormatting sqref="I624">
    <cfRule type="containsText" dxfId="230" priority="503" operator="containsText" text="Medium-High">
      <formula>NOT(ISERROR(SEARCH("Medium-High",I624)))</formula>
    </cfRule>
    <cfRule type="containsText" dxfId="229" priority="504" operator="containsText" text="High*">
      <formula>NOT(ISERROR(SEARCH("High*",I624)))</formula>
    </cfRule>
  </conditionalFormatting>
  <conditionalFormatting sqref="I629">
    <cfRule type="containsText" dxfId="228" priority="508" operator="containsText" text="Low">
      <formula>NOT(ISERROR(SEARCH("Low",I629)))</formula>
    </cfRule>
    <cfRule type="containsText" dxfId="227" priority="509" operator="containsText" text="Medium">
      <formula>NOT(ISERROR(SEARCH("Medium",I629)))</formula>
    </cfRule>
    <cfRule type="containsText" dxfId="226" priority="506" operator="containsText" text="Medium-Low">
      <formula>NOT(ISERROR(SEARCH("Medium-Low",I629)))</formula>
    </cfRule>
    <cfRule type="containsText" dxfId="225" priority="507" operator="containsText" text="High">
      <formula>NOT(ISERROR(SEARCH("High",I629)))</formula>
    </cfRule>
  </conditionalFormatting>
  <conditionalFormatting sqref="I632">
    <cfRule type="containsText" dxfId="224" priority="497" operator="containsText" text="High*">
      <formula>NOT(ISERROR(SEARCH("High*",I632)))</formula>
    </cfRule>
    <cfRule type="containsText" dxfId="223" priority="496" operator="containsText" text="Medium-High">
      <formula>NOT(ISERROR(SEARCH("Medium-High",I632)))</formula>
    </cfRule>
  </conditionalFormatting>
  <conditionalFormatting sqref="I691">
    <cfRule type="containsText" dxfId="222" priority="510" operator="containsText" text="Medium-High">
      <formula>NOT(ISERROR(SEARCH("Medium-High",I691)))</formula>
    </cfRule>
    <cfRule type="containsText" dxfId="221" priority="511" operator="containsText" text="High*">
      <formula>NOT(ISERROR(SEARCH("High*",I691)))</formula>
    </cfRule>
  </conditionalFormatting>
  <conditionalFormatting sqref="I701">
    <cfRule type="containsText" dxfId="220" priority="513" operator="containsText" text="Medium-High">
      <formula>NOT(ISERROR(SEARCH("Medium-High",I701)))</formula>
    </cfRule>
    <cfRule type="containsText" dxfId="219" priority="514" operator="containsText" text="High*">
      <formula>NOT(ISERROR(SEARCH("High*",I701)))</formula>
    </cfRule>
  </conditionalFormatting>
  <conditionalFormatting sqref="I708">
    <cfRule type="containsText" dxfId="218" priority="515" operator="containsText" text="Medium-High">
      <formula>NOT(ISERROR(SEARCH("Medium-High",I708)))</formula>
    </cfRule>
    <cfRule type="containsText" dxfId="217" priority="516" operator="containsText" text="High*">
      <formula>NOT(ISERROR(SEARCH("High*",I708)))</formula>
    </cfRule>
  </conditionalFormatting>
  <conditionalFormatting sqref="I713">
    <cfRule type="containsText" dxfId="216" priority="518" operator="containsText" text="Medium-High">
      <formula>NOT(ISERROR(SEARCH("Medium-High",I713)))</formula>
    </cfRule>
    <cfRule type="containsText" dxfId="215" priority="519" operator="containsText" text="High*">
      <formula>NOT(ISERROR(SEARCH("High*",I713)))</formula>
    </cfRule>
  </conditionalFormatting>
  <conditionalFormatting sqref="I721">
    <cfRule type="containsText" dxfId="214" priority="520" operator="containsText" text="Medium-High">
      <formula>NOT(ISERROR(SEARCH("Medium-High",I721)))</formula>
    </cfRule>
    <cfRule type="containsText" dxfId="213" priority="521" operator="containsText" text="High*">
      <formula>NOT(ISERROR(SEARCH("High*",I721)))</formula>
    </cfRule>
  </conditionalFormatting>
  <conditionalFormatting sqref="I727">
    <cfRule type="containsText" dxfId="212" priority="523" operator="containsText" text="Medium-High">
      <formula>NOT(ISERROR(SEARCH("Medium-High",I727)))</formula>
    </cfRule>
    <cfRule type="containsText" dxfId="211" priority="524" operator="containsText" text="High*">
      <formula>NOT(ISERROR(SEARCH("High*",I727)))</formula>
    </cfRule>
  </conditionalFormatting>
  <conditionalFormatting sqref="I734">
    <cfRule type="containsText" dxfId="210" priority="527" operator="containsText" text="High*">
      <formula>NOT(ISERROR(SEARCH("High*",I734)))</formula>
    </cfRule>
    <cfRule type="containsText" dxfId="209" priority="526" operator="containsText" text="Medium-High">
      <formula>NOT(ISERROR(SEARCH("Medium-High",I734)))</formula>
    </cfRule>
  </conditionalFormatting>
  <conditionalFormatting sqref="I736:I738">
    <cfRule type="containsText" dxfId="208" priority="529" operator="containsText" text="Medium-High">
      <formula>NOT(ISERROR(SEARCH("Medium-High",I736)))</formula>
    </cfRule>
    <cfRule type="containsText" dxfId="207" priority="530" operator="containsText" text="High*">
      <formula>NOT(ISERROR(SEARCH("High*",I736)))</formula>
    </cfRule>
  </conditionalFormatting>
  <conditionalFormatting sqref="I741">
    <cfRule type="containsText" dxfId="206" priority="533" operator="containsText" text="High*">
      <formula>NOT(ISERROR(SEARCH("High*",I741)))</formula>
    </cfRule>
    <cfRule type="containsText" dxfId="205" priority="532" operator="containsText" text="Medium-High">
      <formula>NOT(ISERROR(SEARCH("Medium-High",I741)))</formula>
    </cfRule>
  </conditionalFormatting>
  <conditionalFormatting sqref="I747">
    <cfRule type="containsText" dxfId="204" priority="536" operator="containsText" text="High*">
      <formula>NOT(ISERROR(SEARCH("High*",I747)))</formula>
    </cfRule>
    <cfRule type="containsText" dxfId="203" priority="535" operator="containsText" text="Medium-High">
      <formula>NOT(ISERROR(SEARCH("Medium-High",I747)))</formula>
    </cfRule>
  </conditionalFormatting>
  <conditionalFormatting sqref="I753">
    <cfRule type="containsText" dxfId="202" priority="538" operator="containsText" text="Medium-High">
      <formula>NOT(ISERROR(SEARCH("Medium-High",I753)))</formula>
    </cfRule>
    <cfRule type="containsText" dxfId="201" priority="539" operator="containsText" text="High*">
      <formula>NOT(ISERROR(SEARCH("High*",I753)))</formula>
    </cfRule>
  </conditionalFormatting>
  <conditionalFormatting sqref="I782">
    <cfRule type="containsText" dxfId="200" priority="541" operator="containsText" text="Medium-High">
      <formula>NOT(ISERROR(SEARCH("Medium-High",I782)))</formula>
    </cfRule>
    <cfRule type="containsText" dxfId="199" priority="542" operator="containsText" text="High*">
      <formula>NOT(ISERROR(SEARCH("High*",I782)))</formula>
    </cfRule>
  </conditionalFormatting>
  <conditionalFormatting sqref="K474:L475">
    <cfRule type="containsText" dxfId="198" priority="134" operator="containsText" text="Low">
      <formula>NOT(ISERROR(SEARCH("Low",K474)))</formula>
    </cfRule>
    <cfRule type="containsText" dxfId="197" priority="133" operator="containsText" text="High">
      <formula>NOT(ISERROR(SEARCH("High",K474)))</formula>
    </cfRule>
    <cfRule type="containsText" dxfId="196" priority="135" operator="containsText" text="Medium">
      <formula>NOT(ISERROR(SEARCH("Medium",K474)))</formula>
    </cfRule>
  </conditionalFormatting>
  <conditionalFormatting sqref="L2:L200 L202:L240 L242:L294 L296:L364 F313 L366:L415 L458:L463 L465:L466 L522:L524 L586:L623 L625:L1048576">
    <cfRule type="containsText" dxfId="195" priority="623" operator="containsText" text="Low">
      <formula>NOT(ISERROR(SEARCH("Low",F2)))</formula>
    </cfRule>
    <cfRule type="containsText" dxfId="194" priority="624" operator="containsText" text="Medium">
      <formula>NOT(ISERROR(SEARCH("Medium",F2)))</formula>
    </cfRule>
  </conditionalFormatting>
  <conditionalFormatting sqref="L5:L10">
    <cfRule type="containsText" dxfId="193" priority="611" operator="containsText" text="Medium-High">
      <formula>NOT(ISERROR(SEARCH("Medium-High",L5)))</formula>
    </cfRule>
  </conditionalFormatting>
  <conditionalFormatting sqref="L19:L20">
    <cfRule type="containsText" dxfId="192" priority="612" operator="containsText" text="Medium-High">
      <formula>NOT(ISERROR(SEARCH("Medium-High",L19)))</formula>
    </cfRule>
  </conditionalFormatting>
  <conditionalFormatting sqref="L27:L32">
    <cfRule type="containsText" dxfId="191" priority="29" operator="containsText" text="Medium-High">
      <formula>NOT(ISERROR(SEARCH("Medium-High",L27)))</formula>
    </cfRule>
  </conditionalFormatting>
  <conditionalFormatting sqref="L41:L42">
    <cfRule type="containsText" dxfId="190" priority="604" operator="containsText" text="Medium-High">
      <formula>NOT(ISERROR(SEARCH("Medium-High",L41)))</formula>
    </cfRule>
  </conditionalFormatting>
  <conditionalFormatting sqref="L49:L54">
    <cfRule type="containsText" dxfId="189" priority="596" operator="containsText" text="Medium-High">
      <formula>NOT(ISERROR(SEARCH("Medium-High",L49)))</formula>
    </cfRule>
  </conditionalFormatting>
  <conditionalFormatting sqref="L63:L64">
    <cfRule type="containsText" dxfId="188" priority="597" operator="containsText" text="Medium-High">
      <formula>NOT(ISERROR(SEARCH("Medium-High",L63)))</formula>
    </cfRule>
  </conditionalFormatting>
  <conditionalFormatting sqref="L71:L76">
    <cfRule type="containsText" dxfId="187" priority="588" operator="containsText" text="Medium-High">
      <formula>NOT(ISERROR(SEARCH("Medium-High",L71)))</formula>
    </cfRule>
  </conditionalFormatting>
  <conditionalFormatting sqref="L85:L86">
    <cfRule type="containsText" dxfId="186" priority="589" operator="containsText" text="Medium-High">
      <formula>NOT(ISERROR(SEARCH("Medium-High",L85)))</formula>
    </cfRule>
  </conditionalFormatting>
  <conditionalFormatting sqref="L89:L90">
    <cfRule type="containsText" dxfId="185" priority="548" operator="containsText" text="Medium-High">
      <formula>NOT(ISERROR(SEARCH("Medium-High",L89)))</formula>
    </cfRule>
  </conditionalFormatting>
  <conditionalFormatting sqref="L94:L99">
    <cfRule type="containsText" dxfId="184" priority="580" operator="containsText" text="Medium-High">
      <formula>NOT(ISERROR(SEARCH("Medium-High",L94)))</formula>
    </cfRule>
  </conditionalFormatting>
  <conditionalFormatting sqref="L108:L109">
    <cfRule type="containsText" dxfId="183" priority="581" operator="containsText" text="Medium-High">
      <formula>NOT(ISERROR(SEARCH("Medium-High",L108)))</formula>
    </cfRule>
  </conditionalFormatting>
  <conditionalFormatting sqref="L116:L121">
    <cfRule type="containsText" dxfId="182" priority="70" operator="containsText" text="Medium-High">
      <formula>NOT(ISERROR(SEARCH("Medium-High",L116)))</formula>
    </cfRule>
  </conditionalFormatting>
  <conditionalFormatting sqref="L130:L131">
    <cfRule type="containsText" dxfId="181" priority="573" operator="containsText" text="Medium-High">
      <formula>NOT(ISERROR(SEARCH("Medium-High",L130)))</formula>
    </cfRule>
  </conditionalFormatting>
  <conditionalFormatting sqref="L138:L143">
    <cfRule type="containsText" dxfId="180" priority="565" operator="containsText" text="Medium-High">
      <formula>NOT(ISERROR(SEARCH("Medium-High",L138)))</formula>
    </cfRule>
  </conditionalFormatting>
  <conditionalFormatting sqref="L152:L153">
    <cfRule type="containsText" dxfId="179" priority="566" operator="containsText" text="Medium-High">
      <formula>NOT(ISERROR(SEARCH("Medium-High",L152)))</formula>
    </cfRule>
  </conditionalFormatting>
  <conditionalFormatting sqref="L160:L165">
    <cfRule type="containsText" dxfId="178" priority="557" operator="containsText" text="Medium-High">
      <formula>NOT(ISERROR(SEARCH("Medium-High",L160)))</formula>
    </cfRule>
  </conditionalFormatting>
  <conditionalFormatting sqref="L174:L175">
    <cfRule type="containsText" dxfId="177" priority="558" operator="containsText" text="Medium-High">
      <formula>NOT(ISERROR(SEARCH("Medium-High",L174)))</formula>
    </cfRule>
  </conditionalFormatting>
  <conditionalFormatting sqref="L182:L187">
    <cfRule type="containsText" dxfId="176" priority="549" operator="containsText" text="Medium-High">
      <formula>NOT(ISERROR(SEARCH("Medium-High",L182)))</formula>
    </cfRule>
  </conditionalFormatting>
  <conditionalFormatting sqref="L197:L198">
    <cfRule type="containsText" dxfId="175" priority="550" operator="containsText" text="Medium-High">
      <formula>NOT(ISERROR(SEARCH("Medium-High",L197)))</formula>
    </cfRule>
  </conditionalFormatting>
  <conditionalFormatting sqref="L206">
    <cfRule type="containsText" dxfId="174" priority="475" operator="containsText" text="Medium-High">
      <formula>NOT(ISERROR(SEARCH("Medium-High",L206)))</formula>
    </cfRule>
  </conditionalFormatting>
  <conditionalFormatting sqref="L208:L209">
    <cfRule type="containsText" dxfId="173" priority="417" operator="containsText" text="Medium-High">
      <formula>NOT(ISERROR(SEARCH("Medium-High",L208)))</formula>
    </cfRule>
  </conditionalFormatting>
  <conditionalFormatting sqref="L228:L230">
    <cfRule type="containsText" dxfId="172" priority="267" operator="containsText" text="Medium-High">
      <formula>NOT(ISERROR(SEARCH("Medium-High",L228)))</formula>
    </cfRule>
  </conditionalFormatting>
  <conditionalFormatting sqref="L233">
    <cfRule type="containsText" dxfId="171" priority="95" operator="containsText" text="Medium-High">
      <formula>NOT(ISERROR(SEARCH("Medium-High",L233)))</formula>
    </cfRule>
  </conditionalFormatting>
  <conditionalFormatting sqref="L237">
    <cfRule type="containsText" dxfId="170" priority="234" operator="containsText" text="Medium-High">
      <formula>NOT(ISERROR(SEARCH("Medium-High",L237)))</formula>
    </cfRule>
  </conditionalFormatting>
  <conditionalFormatting sqref="L239:L240">
    <cfRule type="containsText" dxfId="169" priority="13" operator="containsText" text="Medium-High">
      <formula>NOT(ISERROR(SEARCH("Medium-High",L239)))</formula>
    </cfRule>
    <cfRule type="containsText" dxfId="168" priority="14" operator="containsText" text="High">
      <formula>NOT(ISERROR(SEARCH("High",L239)))</formula>
    </cfRule>
    <cfRule type="containsText" dxfId="167" priority="16" operator="containsText" text="Medium">
      <formula>NOT(ISERROR(SEARCH("Medium",L239)))</formula>
    </cfRule>
    <cfRule type="containsText" dxfId="166" priority="15" operator="containsText" text="Low">
      <formula>NOT(ISERROR(SEARCH("Low",L239)))</formula>
    </cfRule>
  </conditionalFormatting>
  <conditionalFormatting sqref="L241">
    <cfRule type="containsText" dxfId="165" priority="11" operator="containsText" text="Low">
      <formula>NOT(ISERROR(SEARCH("Low",L241)))</formula>
    </cfRule>
    <cfRule type="containsText" dxfId="164" priority="12" operator="containsText" text="Medium">
      <formula>NOT(ISERROR(SEARCH("Medium",L241)))</formula>
    </cfRule>
    <cfRule type="containsText" dxfId="163" priority="9" operator="containsText" text="Medium-Low">
      <formula>NOT(ISERROR(SEARCH("Medium-Low",L241)))</formula>
    </cfRule>
    <cfRule type="containsText" dxfId="162" priority="10" operator="containsText" text="High">
      <formula>NOT(ISERROR(SEARCH("High",L241)))</formula>
    </cfRule>
  </conditionalFormatting>
  <conditionalFormatting sqref="L257">
    <cfRule type="containsText" dxfId="161" priority="469" operator="containsText" text="Medium-High">
      <formula>NOT(ISERROR(SEARCH("Medium-High",L257)))</formula>
    </cfRule>
  </conditionalFormatting>
  <conditionalFormatting sqref="L259:L261">
    <cfRule type="containsText" dxfId="160" priority="470" operator="containsText" text="Medium-High">
      <formula>NOT(ISERROR(SEARCH("Medium-High",L259)))</formula>
    </cfRule>
  </conditionalFormatting>
  <conditionalFormatting sqref="L271:L272">
    <cfRule type="containsText" dxfId="159" priority="423" operator="containsText" text="Medium-High">
      <formula>NOT(ISERROR(SEARCH("Medium-High",L271)))</formula>
    </cfRule>
  </conditionalFormatting>
  <conditionalFormatting sqref="L277:L278">
    <cfRule type="containsText" dxfId="158" priority="422" operator="containsText" text="Medium-High">
      <formula>NOT(ISERROR(SEARCH("Medium-High",L277)))</formula>
    </cfRule>
  </conditionalFormatting>
  <conditionalFormatting sqref="L283">
    <cfRule type="containsText" dxfId="157" priority="463" operator="containsText" text="Medium-High">
      <formula>NOT(ISERROR(SEARCH("Medium-High",L283)))</formula>
    </cfRule>
  </conditionalFormatting>
  <conditionalFormatting sqref="L285:L287">
    <cfRule type="containsText" dxfId="156" priority="464" operator="containsText" text="Medium-High">
      <formula>NOT(ISERROR(SEARCH("Medium-High",L285)))</formula>
    </cfRule>
  </conditionalFormatting>
  <conditionalFormatting sqref="L293:L294">
    <cfRule type="containsText" dxfId="155" priority="22" operator="containsText" text="High">
      <formula>NOT(ISERROR(SEARCH("High",L293)))</formula>
    </cfRule>
    <cfRule type="containsText" dxfId="154" priority="21" operator="containsText" text="Medium-High">
      <formula>NOT(ISERROR(SEARCH("Medium-High",L293)))</formula>
    </cfRule>
    <cfRule type="containsText" dxfId="153" priority="23" operator="containsText" text="Low">
      <formula>NOT(ISERROR(SEARCH("Low",L293)))</formula>
    </cfRule>
    <cfRule type="containsText" dxfId="152" priority="24" operator="containsText" text="Medium">
      <formula>NOT(ISERROR(SEARCH("Medium",L293)))</formula>
    </cfRule>
  </conditionalFormatting>
  <conditionalFormatting sqref="L295">
    <cfRule type="containsText" dxfId="151" priority="17" operator="containsText" text="Medium-Low">
      <formula>NOT(ISERROR(SEARCH("Medium-Low",L295)))</formula>
    </cfRule>
    <cfRule type="containsText" dxfId="150" priority="18" operator="containsText" text="High">
      <formula>NOT(ISERROR(SEARCH("High",L295)))</formula>
    </cfRule>
    <cfRule type="containsText" dxfId="149" priority="19" operator="containsText" text="Low">
      <formula>NOT(ISERROR(SEARCH("Low",L295)))</formula>
    </cfRule>
    <cfRule type="containsText" dxfId="148" priority="20" operator="containsText" text="Medium">
      <formula>NOT(ISERROR(SEARCH("Medium",L295)))</formula>
    </cfRule>
  </conditionalFormatting>
  <conditionalFormatting sqref="L296">
    <cfRule type="containsText" dxfId="147" priority="458" operator="containsText" text="Medium-High">
      <formula>NOT(ISERROR(SEARCH("Medium-High",L296)))</formula>
    </cfRule>
  </conditionalFormatting>
  <conditionalFormatting sqref="L298">
    <cfRule type="containsText" dxfId="146" priority="453" operator="containsText" text="Medium-High">
      <formula>NOT(ISERROR(SEARCH("Medium-High",L298)))</formula>
    </cfRule>
  </conditionalFormatting>
  <conditionalFormatting sqref="L300">
    <cfRule type="containsText" dxfId="145" priority="448" operator="containsText" text="Medium-High">
      <formula>NOT(ISERROR(SEARCH("Medium-High",L300)))</formula>
    </cfRule>
  </conditionalFormatting>
  <conditionalFormatting sqref="L302">
    <cfRule type="containsText" dxfId="144" priority="447" operator="containsText" text="Medium-High">
      <formula>NOT(ISERROR(SEARCH("Medium-High",L302)))</formula>
    </cfRule>
  </conditionalFormatting>
  <conditionalFormatting sqref="L304">
    <cfRule type="containsText" dxfId="143" priority="188" operator="containsText" text="Medium-High">
      <formula>NOT(ISERROR(SEARCH("Medium-High",L304)))</formula>
    </cfRule>
  </conditionalFormatting>
  <conditionalFormatting sqref="L306:L308">
    <cfRule type="containsText" dxfId="142" priority="187" operator="containsText" text="Medium-High">
      <formula>NOT(ISERROR(SEARCH("Medium-High",L306)))</formula>
    </cfRule>
  </conditionalFormatting>
  <conditionalFormatting sqref="L311">
    <cfRule type="containsText" dxfId="141" priority="37" operator="containsText" text="Medium-High">
      <formula>NOT(ISERROR(SEARCH("Medium-High",L311)))</formula>
    </cfRule>
  </conditionalFormatting>
  <conditionalFormatting sqref="L314">
    <cfRule type="containsText" dxfId="140" priority="51" operator="containsText" text="Medium-High">
      <formula>NOT(ISERROR(SEARCH("Medium-High",L314)))</formula>
    </cfRule>
  </conditionalFormatting>
  <conditionalFormatting sqref="L317">
    <cfRule type="containsText" dxfId="139" priority="442" operator="containsText" text="Medium-High">
      <formula>NOT(ISERROR(SEARCH("Medium-High",L317)))</formula>
    </cfRule>
  </conditionalFormatting>
  <conditionalFormatting sqref="L319">
    <cfRule type="containsText" dxfId="138" priority="412" operator="containsText" text="Medium-High">
      <formula>NOT(ISERROR(SEARCH("Medium-High",L319)))</formula>
    </cfRule>
  </conditionalFormatting>
  <conditionalFormatting sqref="L321:L322">
    <cfRule type="containsText" dxfId="137" priority="407" operator="containsText" text="Medium-High">
      <formula>NOT(ISERROR(SEARCH("Medium-High",L321)))</formula>
    </cfRule>
  </conditionalFormatting>
  <conditionalFormatting sqref="L333:L335">
    <cfRule type="containsText" dxfId="136" priority="233" operator="containsText" text="Medium-High">
      <formula>NOT(ISERROR(SEARCH("Medium-High",L333)))</formula>
    </cfRule>
  </conditionalFormatting>
  <conditionalFormatting sqref="L338">
    <cfRule type="containsText" dxfId="135" priority="94" operator="containsText" text="Medium-High">
      <formula>NOT(ISERROR(SEARCH("Medium-High",L338)))</formula>
    </cfRule>
  </conditionalFormatting>
  <conditionalFormatting sqref="L341">
    <cfRule type="containsText" dxfId="134" priority="228" operator="containsText" text="Medium-High">
      <formula>NOT(ISERROR(SEARCH("Medium-High",L341)))</formula>
    </cfRule>
  </conditionalFormatting>
  <conditionalFormatting sqref="L350">
    <cfRule type="containsText" dxfId="133" priority="426" operator="containsText" text="Medium-High">
      <formula>NOT(ISERROR(SEARCH("Medium-High",L350)))</formula>
    </cfRule>
  </conditionalFormatting>
  <conditionalFormatting sqref="L352">
    <cfRule type="containsText" dxfId="132" priority="425" operator="containsText" text="Medium-High">
      <formula>NOT(ISERROR(SEARCH("Medium-High",L352)))</formula>
    </cfRule>
  </conditionalFormatting>
  <conditionalFormatting sqref="L354">
    <cfRule type="containsText" dxfId="131" priority="424" operator="containsText" text="Medium-High">
      <formula>NOT(ISERROR(SEARCH("Medium-High",L354)))</formula>
    </cfRule>
  </conditionalFormatting>
  <conditionalFormatting sqref="L358">
    <cfRule type="containsText" dxfId="130" priority="107" operator="containsText" text="High">
      <formula>NOT(ISERROR(SEARCH("High",L358)))</formula>
    </cfRule>
    <cfRule type="containsText" dxfId="129" priority="109" operator="containsText" text="Medium">
      <formula>NOT(ISERROR(SEARCH("Medium",L358)))</formula>
    </cfRule>
    <cfRule type="containsText" dxfId="128" priority="108" operator="containsText" text="Low">
      <formula>NOT(ISERROR(SEARCH("Low",L358)))</formula>
    </cfRule>
  </conditionalFormatting>
  <conditionalFormatting sqref="L358:L359">
    <cfRule type="containsText" dxfId="127" priority="104" operator="containsText" text="Medium-High">
      <formula>NOT(ISERROR(SEARCH("Medium-High",L358)))</formula>
    </cfRule>
  </conditionalFormatting>
  <conditionalFormatting sqref="L362:L367">
    <cfRule type="containsText" dxfId="126" priority="93" operator="containsText" text="Medium-High">
      <formula>NOT(ISERROR(SEARCH("Medium-High",L362)))</formula>
    </cfRule>
  </conditionalFormatting>
  <conditionalFormatting sqref="L365">
    <cfRule type="containsText" dxfId="125" priority="101" operator="containsText" text="High">
      <formula>NOT(ISERROR(SEARCH("High",L365)))</formula>
    </cfRule>
    <cfRule type="containsText" dxfId="124" priority="102" operator="containsText" text="Low">
      <formula>NOT(ISERROR(SEARCH("Low",L365)))</formula>
    </cfRule>
    <cfRule type="containsText" dxfId="123" priority="103" operator="containsText" text="Medium">
      <formula>NOT(ISERROR(SEARCH("Medium",L365)))</formula>
    </cfRule>
  </conditionalFormatting>
  <conditionalFormatting sqref="L370">
    <cfRule type="containsText" dxfId="122" priority="268" operator="containsText" text="Medium-High">
      <formula>NOT(ISERROR(SEARCH("Medium-High",L370)))</formula>
    </cfRule>
  </conditionalFormatting>
  <conditionalFormatting sqref="L372:L374">
    <cfRule type="containsText" dxfId="121" priority="269" operator="containsText" text="Medium-High">
      <formula>NOT(ISERROR(SEARCH("Medium-High",L372)))</formula>
    </cfRule>
  </conditionalFormatting>
  <conditionalFormatting sqref="L380">
    <cfRule type="containsText" dxfId="120" priority="292" operator="containsText" text="Medium-High">
      <formula>NOT(ISERROR(SEARCH("Medium-High",L380)))</formula>
    </cfRule>
  </conditionalFormatting>
  <conditionalFormatting sqref="L382:L384">
    <cfRule type="containsText" dxfId="119" priority="293" operator="containsText" text="Medium-High">
      <formula>NOT(ISERROR(SEARCH("Medium-High",L382)))</formula>
    </cfRule>
  </conditionalFormatting>
  <conditionalFormatting sqref="L389">
    <cfRule type="containsText" dxfId="118" priority="437" operator="containsText" text="Medium-High">
      <formula>NOT(ISERROR(SEARCH("Medium-High",L389)))</formula>
    </cfRule>
  </conditionalFormatting>
  <conditionalFormatting sqref="L391">
    <cfRule type="containsText" dxfId="117" priority="432" operator="containsText" text="Medium-High">
      <formula>NOT(ISERROR(SEARCH("Medium-High",L391)))</formula>
    </cfRule>
  </conditionalFormatting>
  <conditionalFormatting sqref="L393">
    <cfRule type="containsText" dxfId="116" priority="427" operator="containsText" text="Medium-High">
      <formula>NOT(ISERROR(SEARCH("Medium-High",L393)))</formula>
    </cfRule>
  </conditionalFormatting>
  <conditionalFormatting sqref="L395">
    <cfRule type="containsText" dxfId="115" priority="402" operator="containsText" text="Medium-High">
      <formula>NOT(ISERROR(SEARCH("Medium-High",L395)))</formula>
    </cfRule>
  </conditionalFormatting>
  <conditionalFormatting sqref="L397:L398">
    <cfRule type="containsText" dxfId="114" priority="397" operator="containsText" text="Medium-High">
      <formula>NOT(ISERROR(SEARCH("Medium-High",L397)))</formula>
    </cfRule>
  </conditionalFormatting>
  <conditionalFormatting sqref="L406">
    <cfRule type="containsText" dxfId="113" priority="360" operator="containsText" text="Medium-High">
      <formula>NOT(ISERROR(SEARCH("Medium-High",L406)))</formula>
    </cfRule>
  </conditionalFormatting>
  <conditionalFormatting sqref="L408">
    <cfRule type="containsText" dxfId="112" priority="359" operator="containsText" text="Medium">
      <formula>NOT(ISERROR(SEARCH("Medium",L408)))</formula>
    </cfRule>
    <cfRule type="containsText" dxfId="111" priority="358" operator="containsText" text="Low">
      <formula>NOT(ISERROR(SEARCH("Low",L408)))</formula>
    </cfRule>
    <cfRule type="containsText" dxfId="110" priority="357" operator="containsText" text="High">
      <formula>NOT(ISERROR(SEARCH("High",L408)))</formula>
    </cfRule>
  </conditionalFormatting>
  <conditionalFormatting sqref="L408:L412">
    <cfRule type="containsText" dxfId="109" priority="619" operator="containsText" text="Medium-High">
      <formula>NOT(ISERROR(SEARCH("Medium-High",L408)))</formula>
    </cfRule>
  </conditionalFormatting>
  <conditionalFormatting sqref="L410">
    <cfRule type="containsText" dxfId="108" priority="353" operator="containsText" text="Medium">
      <formula>NOT(ISERROR(SEARCH("Medium",L410)))</formula>
    </cfRule>
    <cfRule type="containsText" dxfId="107" priority="352" operator="containsText" text="Low">
      <formula>NOT(ISERROR(SEARCH("Low",L410)))</formula>
    </cfRule>
    <cfRule type="containsText" dxfId="106" priority="351" operator="containsText" text="High">
      <formula>NOT(ISERROR(SEARCH("High",L410)))</formula>
    </cfRule>
  </conditionalFormatting>
  <conditionalFormatting sqref="L412">
    <cfRule type="containsText" dxfId="105" priority="345" operator="containsText" text="High">
      <formula>NOT(ISERROR(SEARCH("High",L412)))</formula>
    </cfRule>
    <cfRule type="containsText" dxfId="104" priority="346" operator="containsText" text="Low">
      <formula>NOT(ISERROR(SEARCH("Low",L412)))</formula>
    </cfRule>
    <cfRule type="containsText" dxfId="103" priority="347" operator="containsText" text="Medium">
      <formula>NOT(ISERROR(SEARCH("Medium",L412)))</formula>
    </cfRule>
  </conditionalFormatting>
  <conditionalFormatting sqref="L413">
    <cfRule type="containsText" dxfId="102" priority="350" operator="containsText" text="Medium-High">
      <formula>NOT(ISERROR(SEARCH("Medium-High",L413)))</formula>
    </cfRule>
  </conditionalFormatting>
  <conditionalFormatting sqref="L417:L452">
    <cfRule type="containsText" dxfId="101" priority="389" operator="containsText" text="Low">
      <formula>NOT(ISERROR(SEARCH("Low",L417)))</formula>
    </cfRule>
    <cfRule type="containsText" dxfId="100" priority="390" operator="containsText" text="Medium">
      <formula>NOT(ISERROR(SEARCH("Medium",L417)))</formula>
    </cfRule>
    <cfRule type="containsText" dxfId="99" priority="388" operator="containsText" text="High">
      <formula>NOT(ISERROR(SEARCH("High",L417)))</formula>
    </cfRule>
  </conditionalFormatting>
  <conditionalFormatting sqref="L436">
    <cfRule type="containsText" dxfId="98" priority="387" operator="containsText" text="Medium-High">
      <formula>NOT(ISERROR(SEARCH("Medium-High",L436)))</formula>
    </cfRule>
  </conditionalFormatting>
  <conditionalFormatting sqref="L440">
    <cfRule type="containsText" dxfId="97" priority="376" operator="containsText" text="Medium-High">
      <formula>NOT(ISERROR(SEARCH("Medium-High",L440)))</formula>
    </cfRule>
  </conditionalFormatting>
  <conditionalFormatting sqref="L443">
    <cfRule type="containsText" dxfId="96" priority="368" operator="containsText" text="Medium-High">
      <formula>NOT(ISERROR(SEARCH("Medium-High",L443)))</formula>
    </cfRule>
  </conditionalFormatting>
  <conditionalFormatting sqref="L447">
    <cfRule type="containsText" dxfId="95" priority="375" operator="containsText" text="Medium-High">
      <formula>NOT(ISERROR(SEARCH("Medium-High",L447)))</formula>
    </cfRule>
  </conditionalFormatting>
  <conditionalFormatting sqref="L453">
    <cfRule type="containsText" dxfId="94" priority="126" operator="containsText" text="Medium-High">
      <formula>NOT(ISERROR(SEARCH("Medium-High",L453)))</formula>
    </cfRule>
  </conditionalFormatting>
  <conditionalFormatting sqref="L453:L455">
    <cfRule type="containsText" dxfId="93" priority="127" operator="containsText" text="High">
      <formula>NOT(ISERROR(SEARCH("High",L453)))</formula>
    </cfRule>
    <cfRule type="containsText" dxfId="92" priority="128" operator="containsText" text="Low">
      <formula>NOT(ISERROR(SEARCH("Low",L453)))</formula>
    </cfRule>
    <cfRule type="containsText" dxfId="91" priority="129" operator="containsText" text="Medium">
      <formula>NOT(ISERROR(SEARCH("Medium",L453)))</formula>
    </cfRule>
  </conditionalFormatting>
  <conditionalFormatting sqref="L455:L457">
    <cfRule type="containsText" dxfId="90" priority="66" operator="containsText" text="Medium">
      <formula>NOT(ISERROR(SEARCH("Medium",L455)))</formula>
    </cfRule>
    <cfRule type="containsText" dxfId="89" priority="52" operator="containsText" text="Medium-High">
      <formula>NOT(ISERROR(SEARCH("Medium-High",L455)))</formula>
    </cfRule>
    <cfRule type="containsText" dxfId="88" priority="64" operator="containsText" text="High">
      <formula>NOT(ISERROR(SEARCH("High",L455)))</formula>
    </cfRule>
    <cfRule type="containsText" dxfId="87" priority="65" operator="containsText" text="Low">
      <formula>NOT(ISERROR(SEARCH("Low",L455)))</formula>
    </cfRule>
  </conditionalFormatting>
  <conditionalFormatting sqref="L456:L457">
    <cfRule type="containsText" dxfId="86" priority="53" operator="containsText" text="High">
      <formula>NOT(ISERROR(SEARCH("High",L456)))</formula>
    </cfRule>
    <cfRule type="containsText" dxfId="85" priority="54" operator="containsText" text="Low">
      <formula>NOT(ISERROR(SEARCH("Low",L456)))</formula>
    </cfRule>
    <cfRule type="containsText" dxfId="84" priority="55" operator="containsText" text="Medium">
      <formula>NOT(ISERROR(SEARCH("Medium",L456)))</formula>
    </cfRule>
  </conditionalFormatting>
  <conditionalFormatting sqref="L461">
    <cfRule type="containsText" dxfId="83" priority="363" operator="containsText" text="Medium-High">
      <formula>NOT(ISERROR(SEARCH("Medium-High",L461)))</formula>
    </cfRule>
  </conditionalFormatting>
  <conditionalFormatting sqref="L467">
    <cfRule type="containsText" dxfId="82" priority="275" operator="containsText" text="High*">
      <formula>NOT(ISERROR(SEARCH("High*",L467)))</formula>
    </cfRule>
    <cfRule type="containsText" dxfId="81" priority="274" operator="containsText" text="Medium-High">
      <formula>NOT(ISERROR(SEARCH("Medium-High",L467)))</formula>
    </cfRule>
    <cfRule type="containsText" dxfId="80" priority="278" operator="containsText" text="Low">
      <formula>NOT(ISERROR(SEARCH("Low",L467)))</formula>
    </cfRule>
    <cfRule type="containsText" dxfId="79" priority="277" operator="containsText" text="Medium">
      <formula>NOT(ISERROR(SEARCH("Medium",L467)))</formula>
    </cfRule>
    <cfRule type="containsText" dxfId="78" priority="276" operator="containsText" text="High">
      <formula>NOT(ISERROR(SEARCH("High",L467)))</formula>
    </cfRule>
  </conditionalFormatting>
  <conditionalFormatting sqref="L468:L473">
    <cfRule type="containsText" dxfId="77" priority="139" operator="containsText" text="Medium">
      <formula>NOT(ISERROR(SEARCH("Medium",L468)))</formula>
    </cfRule>
    <cfRule type="containsText" dxfId="76" priority="138" operator="containsText" text="Low">
      <formula>NOT(ISERROR(SEARCH("Low",L468)))</formula>
    </cfRule>
    <cfRule type="containsText" dxfId="75" priority="137" operator="containsText" text="High">
      <formula>NOT(ISERROR(SEARCH("High",L468)))</formula>
    </cfRule>
  </conditionalFormatting>
  <conditionalFormatting sqref="L473">
    <cfRule type="containsText" dxfId="74" priority="136" operator="containsText" text="Medium-Low">
      <formula>NOT(ISERROR(SEARCH("Medium-Low",L473)))</formula>
    </cfRule>
  </conditionalFormatting>
  <conditionalFormatting sqref="L474">
    <cfRule type="containsText" dxfId="73" priority="132" operator="containsText" text="Medium-High">
      <formula>NOT(ISERROR(SEARCH("Medium-High",L474)))</formula>
    </cfRule>
  </conditionalFormatting>
  <conditionalFormatting sqref="L476:L479">
    <cfRule type="containsText" dxfId="72" priority="286" operator="containsText" text="High">
      <formula>NOT(ISERROR(SEARCH("High",L476)))</formula>
    </cfRule>
    <cfRule type="containsText" dxfId="71" priority="287" operator="containsText" text="Low">
      <formula>NOT(ISERROR(SEARCH("Low",L476)))</formula>
    </cfRule>
    <cfRule type="containsText" dxfId="70" priority="288" operator="containsText" text="Medium">
      <formula>NOT(ISERROR(SEARCH("Medium",L476)))</formula>
    </cfRule>
  </conditionalFormatting>
  <conditionalFormatting sqref="L478">
    <cfRule type="containsText" dxfId="69" priority="285" operator="containsText" text="Medium-High">
      <formula>NOT(ISERROR(SEARCH("Medium-High",L478)))</formula>
    </cfRule>
  </conditionalFormatting>
  <conditionalFormatting sqref="L480:L481">
    <cfRule type="containsText" dxfId="68" priority="281" operator="containsText" text="Medium-High">
      <formula>NOT(ISERROR(SEARCH("Medium-High",L480)))</formula>
    </cfRule>
  </conditionalFormatting>
  <conditionalFormatting sqref="L480:L483">
    <cfRule type="containsText" dxfId="67" priority="284" operator="containsText" text="Medium">
      <formula>NOT(ISERROR(SEARCH("Medium",L480)))</formula>
    </cfRule>
    <cfRule type="containsText" dxfId="66" priority="283" operator="containsText" text="Low">
      <formula>NOT(ISERROR(SEARCH("Low",L480)))</formula>
    </cfRule>
    <cfRule type="containsText" dxfId="65" priority="282" operator="containsText" text="High">
      <formula>NOT(ISERROR(SEARCH("High",L480)))</formula>
    </cfRule>
  </conditionalFormatting>
  <conditionalFormatting sqref="L484:L490">
    <cfRule type="containsText" dxfId="64" priority="209" operator="containsText" text="Low">
      <formula>NOT(ISERROR(SEARCH("Low",L484)))</formula>
    </cfRule>
    <cfRule type="containsText" dxfId="63" priority="208" operator="containsText" text="High">
      <formula>NOT(ISERROR(SEARCH("High",L484)))</formula>
    </cfRule>
    <cfRule type="containsText" dxfId="62" priority="210" operator="containsText" text="Medium">
      <formula>NOT(ISERROR(SEARCH("Medium",L484)))</formula>
    </cfRule>
  </conditionalFormatting>
  <conditionalFormatting sqref="L487">
    <cfRule type="containsText" dxfId="61" priority="196" operator="containsText" text="Medium">
      <formula>NOT(ISERROR(SEARCH("Medium",L487)))</formula>
    </cfRule>
    <cfRule type="containsText" dxfId="60" priority="195" operator="containsText" text="Low">
      <formula>NOT(ISERROR(SEARCH("Low",L487)))</formula>
    </cfRule>
    <cfRule type="containsText" dxfId="59" priority="194" operator="containsText" text="High">
      <formula>NOT(ISERROR(SEARCH("High",L487)))</formula>
    </cfRule>
    <cfRule type="containsText" dxfId="58" priority="193" operator="containsText" text="Medium-High">
      <formula>NOT(ISERROR(SEARCH("Medium-High",L487)))</formula>
    </cfRule>
  </conditionalFormatting>
  <conditionalFormatting sqref="L489:L490">
    <cfRule type="containsText" dxfId="57" priority="207" operator="containsText" text="Medium-Low">
      <formula>NOT(ISERROR(SEARCH("Medium-Low",L489)))</formula>
    </cfRule>
  </conditionalFormatting>
  <conditionalFormatting sqref="L491">
    <cfRule type="containsText" dxfId="56" priority="191" operator="containsText" text="Low">
      <formula>NOT(ISERROR(SEARCH("Low",L491)))</formula>
    </cfRule>
    <cfRule type="containsText" dxfId="55" priority="189" operator="containsText" text="Medium-High">
      <formula>NOT(ISERROR(SEARCH("Medium-High",L491)))</formula>
    </cfRule>
    <cfRule type="containsText" dxfId="54" priority="190" operator="containsText" text="High">
      <formula>NOT(ISERROR(SEARCH("High",L491)))</formula>
    </cfRule>
    <cfRule type="containsText" dxfId="53" priority="192" operator="containsText" text="Medium">
      <formula>NOT(ISERROR(SEARCH("Medium",L491)))</formula>
    </cfRule>
  </conditionalFormatting>
  <conditionalFormatting sqref="L491:L507">
    <cfRule type="containsText" dxfId="52" priority="332" operator="containsText" text="Medium">
      <formula>NOT(ISERROR(SEARCH("Medium",L491)))</formula>
    </cfRule>
    <cfRule type="containsText" dxfId="51" priority="331" operator="containsText" text="Low">
      <formula>NOT(ISERROR(SEARCH("Low",L491)))</formula>
    </cfRule>
    <cfRule type="containsText" dxfId="50" priority="330" operator="containsText" text="High">
      <formula>NOT(ISERROR(SEARCH("High",L491)))</formula>
    </cfRule>
  </conditionalFormatting>
  <conditionalFormatting sqref="L495">
    <cfRule type="containsText" dxfId="49" priority="329" operator="containsText" text="Medium-High">
      <formula>NOT(ISERROR(SEARCH("Medium-High",L495)))</formula>
    </cfRule>
  </conditionalFormatting>
  <conditionalFormatting sqref="L508">
    <cfRule type="containsText" dxfId="48" priority="301" operator="containsText" text="Medium">
      <formula>NOT(ISERROR(SEARCH("Medium",L508)))</formula>
    </cfRule>
    <cfRule type="containsText" dxfId="47" priority="300" operator="containsText" text="Low">
      <formula>NOT(ISERROR(SEARCH("Low",L508)))</formula>
    </cfRule>
    <cfRule type="containsText" dxfId="46" priority="299" operator="containsText" text="High">
      <formula>NOT(ISERROR(SEARCH("High",L508)))</formula>
    </cfRule>
    <cfRule type="containsText" dxfId="45" priority="298" operator="containsText" text="Medium-Low">
      <formula>NOT(ISERROR(SEARCH("Medium-Low",L508)))</formula>
    </cfRule>
  </conditionalFormatting>
  <conditionalFormatting sqref="L509:L510">
    <cfRule type="containsText" dxfId="44" priority="311" operator="containsText" text="Medium">
      <formula>NOT(ISERROR(SEARCH("Medium",L509)))</formula>
    </cfRule>
    <cfRule type="containsText" dxfId="43" priority="309" operator="containsText" text="High">
      <formula>NOT(ISERROR(SEARCH("High",L509)))</formula>
    </cfRule>
    <cfRule type="containsText" dxfId="42" priority="310" operator="containsText" text="Low">
      <formula>NOT(ISERROR(SEARCH("Low",L509)))</formula>
    </cfRule>
  </conditionalFormatting>
  <conditionalFormatting sqref="L510">
    <cfRule type="containsText" dxfId="41" priority="308" operator="containsText" text="Medium-High">
      <formula>NOT(ISERROR(SEARCH("Medium-High",L510)))</formula>
    </cfRule>
  </conditionalFormatting>
  <conditionalFormatting sqref="L511:L515">
    <cfRule type="containsText" dxfId="40" priority="317" operator="containsText" text="Medium">
      <formula>NOT(ISERROR(SEARCH("Medium",L511)))</formula>
    </cfRule>
    <cfRule type="containsText" dxfId="39" priority="316" operator="containsText" text="Low">
      <formula>NOT(ISERROR(SEARCH("Low",L511)))</formula>
    </cfRule>
    <cfRule type="containsText" dxfId="38" priority="315" operator="containsText" text="High">
      <formula>NOT(ISERROR(SEARCH("High",L511)))</formula>
    </cfRule>
  </conditionalFormatting>
  <conditionalFormatting sqref="L514">
    <cfRule type="containsText" dxfId="37" priority="312" operator="containsText" text="Medium-Low">
      <formula>NOT(ISERROR(SEARCH("Medium-Low",L514)))</formula>
    </cfRule>
  </conditionalFormatting>
  <conditionalFormatting sqref="L516">
    <cfRule type="containsText" dxfId="36" priority="325" operator="containsText" text="Medium-High">
      <formula>NOT(ISERROR(SEARCH("Medium-High",L516)))</formula>
    </cfRule>
  </conditionalFormatting>
  <conditionalFormatting sqref="L516:L521">
    <cfRule type="containsText" dxfId="35" priority="326" operator="containsText" text="High">
      <formula>NOT(ISERROR(SEARCH("High",L516)))</formula>
    </cfRule>
    <cfRule type="containsText" dxfId="34" priority="327" operator="containsText" text="Low">
      <formula>NOT(ISERROR(SEARCH("Low",L516)))</formula>
    </cfRule>
    <cfRule type="containsText" dxfId="33" priority="328" operator="containsText" text="Medium">
      <formula>NOT(ISERROR(SEARCH("Medium",L516)))</formula>
    </cfRule>
  </conditionalFormatting>
  <conditionalFormatting sqref="L518:L520">
    <cfRule type="containsText" dxfId="32" priority="320" operator="containsText" text="Low">
      <formula>NOT(ISERROR(SEARCH("Low",L518)))</formula>
    </cfRule>
    <cfRule type="containsText" dxfId="31" priority="319" operator="containsText" text="High">
      <formula>NOT(ISERROR(SEARCH("High",L518)))</formula>
    </cfRule>
    <cfRule type="containsText" dxfId="30" priority="321" operator="containsText" text="Medium">
      <formula>NOT(ISERROR(SEARCH("Medium",L518)))</formula>
    </cfRule>
  </conditionalFormatting>
  <conditionalFormatting sqref="L518:L521">
    <cfRule type="containsText" dxfId="29" priority="318" operator="containsText" text="Medium-High">
      <formula>NOT(ISERROR(SEARCH("Medium-High",L518)))</formula>
    </cfRule>
  </conditionalFormatting>
  <conditionalFormatting sqref="L523:L524">
    <cfRule type="containsText" dxfId="28" priority="476" operator="containsText" text="Medium-High">
      <formula>NOT(ISERROR(SEARCH("Medium-High",L523)))</formula>
    </cfRule>
    <cfRule type="containsText" dxfId="27" priority="477" operator="containsText" text="High">
      <formula>NOT(ISERROR(SEARCH("High",L523)))</formula>
    </cfRule>
    <cfRule type="containsText" dxfId="26" priority="478" operator="containsText" text="Low">
      <formula>NOT(ISERROR(SEARCH("Low",L523)))</formula>
    </cfRule>
    <cfRule type="containsText" dxfId="25" priority="479" operator="containsText" text="Medium">
      <formula>NOT(ISERROR(SEARCH("Medium",L523)))</formula>
    </cfRule>
  </conditionalFormatting>
  <conditionalFormatting sqref="L525">
    <cfRule type="containsText" dxfId="24" priority="25" operator="containsText" text="Medium-Low">
      <formula>NOT(ISERROR(SEARCH("Medium-Low",L525)))</formula>
    </cfRule>
  </conditionalFormatting>
  <conditionalFormatting sqref="L525:L527">
    <cfRule type="containsText" dxfId="23" priority="26" operator="containsText" text="High">
      <formula>NOT(ISERROR(SEARCH("High",L525)))</formula>
    </cfRule>
    <cfRule type="containsText" dxfId="22" priority="27" operator="containsText" text="Low">
      <formula>NOT(ISERROR(SEARCH("Low",L525)))</formula>
    </cfRule>
    <cfRule type="containsText" dxfId="21" priority="28" operator="containsText" text="Medium">
      <formula>NOT(ISERROR(SEARCH("Medium",L525)))</formula>
    </cfRule>
  </conditionalFormatting>
  <conditionalFormatting sqref="L527">
    <cfRule type="containsText" dxfId="20" priority="1" operator="containsText" text="Medium-High">
      <formula>NOT(ISERROR(SEARCH("Medium-High",L527)))</formula>
    </cfRule>
    <cfRule type="containsText" dxfId="19" priority="4" operator="containsText" text="Medium">
      <formula>NOT(ISERROR(SEARCH("Medium",L527)))</formula>
    </cfRule>
    <cfRule type="containsText" dxfId="18" priority="3" operator="containsText" text="Low">
      <formula>NOT(ISERROR(SEARCH("Low",L527)))</formula>
    </cfRule>
    <cfRule type="containsText" dxfId="17" priority="2" operator="containsText" text="High">
      <formula>NOT(ISERROR(SEARCH("High",L527)))</formula>
    </cfRule>
  </conditionalFormatting>
  <conditionalFormatting sqref="L528">
    <cfRule type="containsText" dxfId="16" priority="8" operator="containsText" text="Medium">
      <formula>NOT(ISERROR(SEARCH("Medium",L528)))</formula>
    </cfRule>
    <cfRule type="containsText" dxfId="15" priority="7" operator="containsText" text="Low">
      <formula>NOT(ISERROR(SEARCH("Low",L528)))</formula>
    </cfRule>
    <cfRule type="containsText" dxfId="14" priority="6" operator="containsText" text="High">
      <formula>NOT(ISERROR(SEARCH("High",L528)))</formula>
    </cfRule>
    <cfRule type="containsText" dxfId="13" priority="5" operator="containsText" text="Medium-Low">
      <formula>NOT(ISERROR(SEARCH("Medium-Low",L528)))</formula>
    </cfRule>
  </conditionalFormatting>
  <conditionalFormatting sqref="L529:L585">
    <cfRule type="containsText" dxfId="12" priority="487" operator="containsText" text="Medium">
      <formula>NOT(ISERROR(SEARCH("Medium",L529)))</formula>
    </cfRule>
    <cfRule type="containsText" dxfId="11" priority="486" operator="containsText" text="Low">
      <formula>NOT(ISERROR(SEARCH("Low",L529)))</formula>
    </cfRule>
    <cfRule type="containsText" dxfId="10" priority="485" operator="containsText" text="High">
      <formula>NOT(ISERROR(SEARCH("High",L529)))</formula>
    </cfRule>
  </conditionalFormatting>
  <conditionalFormatting sqref="L585">
    <cfRule type="containsText" dxfId="9" priority="484" operator="containsText" text="Medium-High">
      <formula>NOT(ISERROR(SEARCH("Medium-High",L585)))</formula>
    </cfRule>
  </conditionalFormatting>
  <conditionalFormatting sqref="L588">
    <cfRule type="containsText" dxfId="8" priority="490" operator="containsText" text="Medium">
      <formula>NOT(ISERROR(SEARCH("Medium",L588)))</formula>
    </cfRule>
    <cfRule type="containsText" dxfId="7" priority="489" operator="containsText" text="Low">
      <formula>NOT(ISERROR(SEARCH("Low",L588)))</formula>
    </cfRule>
    <cfRule type="containsText" dxfId="6" priority="488" operator="containsText" text="High">
      <formula>NOT(ISERROR(SEARCH("High",L588)))</formula>
    </cfRule>
  </conditionalFormatting>
  <conditionalFormatting sqref="L624">
    <cfRule type="containsText" dxfId="5" priority="498" operator="containsText" text="Medium-High">
      <formula>NOT(ISERROR(SEARCH("Medium-High",L624)))</formula>
    </cfRule>
    <cfRule type="containsText" dxfId="4" priority="499" operator="containsText" text="High*">
      <formula>NOT(ISERROR(SEARCH("High*",L624)))</formula>
    </cfRule>
    <cfRule type="containsText" dxfId="3" priority="500" operator="containsText" text="High">
      <formula>NOT(ISERROR(SEARCH("High",L624)))</formula>
    </cfRule>
    <cfRule type="containsText" dxfId="2" priority="501" operator="containsText" text="Medium">
      <formula>NOT(ISERROR(SEARCH("Medium",L624)))</formula>
    </cfRule>
    <cfRule type="containsText" dxfId="1" priority="502" operator="containsText" text="Low">
      <formula>NOT(ISERROR(SEARCH("Low",L624)))</formula>
    </cfRule>
  </conditionalFormatting>
  <conditionalFormatting sqref="L629">
    <cfRule type="containsText" dxfId="0" priority="505" operator="containsText" text="Medium-High">
      <formula>NOT(ISERROR(SEARCH("Medium-High",L629)))</formula>
    </cfRule>
  </conditionalFormatting>
  <dataValidations count="12">
    <dataValidation type="list" allowBlank="1" showInputMessage="1" showErrorMessage="1" sqref="L233 L338 L367" xr:uid="{C71C18F0-F281-7E4F-A4A5-2B4CBAB36946}">
      <formula1>"High,Medium,Low,Medium-High*"</formula1>
    </dataValidation>
    <dataValidation type="list" allowBlank="1" showInputMessage="1" showErrorMessage="1" sqref="L514 L508 L489:L490 L473 L525 L295 L241 L528" xr:uid="{D935B4B4-9A3A-A048-B7F1-D132814D1373}">
      <formula1>"High,Medium,Low,High*,Medium*,Low* , Medium-Low"</formula1>
    </dataValidation>
    <dataValidation allowBlank="1" showInputMessage="1" showErrorMessage="1" sqref="J408:J413 M495 M510 J314" xr:uid="{D2AE0854-78C0-DD4D-825A-7F00ED90C295}"/>
    <dataValidation type="list" allowBlank="1" showInputMessage="1" showErrorMessage="1" sqref="L444 L462" xr:uid="{D780FCFD-E7BE-044E-B58E-6C67B6C9FE3B}">
      <formula1>"High,Medium,Low, High*"</formula1>
    </dataValidation>
    <dataValidation type="list" allowBlank="1" showInputMessage="1" showErrorMessage="1" sqref="F371 F284 F297 F299 F301 F339 F318 F390 F392 F394 F446 F407 F381 F258 F234 F308:F309 F360 F312 F303:F304" xr:uid="{302FDF6E-CD37-5448-BB8C-2BA78E498301}">
      <formula1>"High,Medium,Low,Medium-Low,Medium-Low*"</formula1>
    </dataValidation>
    <dataValidation type="list" allowBlank="1" showInputMessage="1" showErrorMessage="1" sqref="F264:F265 F259 F290:F291 F285 F271 F277 F443:F445 F372 F461:F463 F387:F388 F382 F377:F378 F447:F448" xr:uid="{F2CAC8FB-7620-6C40-9EBE-94CE34C4867A}">
      <formula1>"High,Medium,Low,Medium-High,Medium-High*"</formula1>
    </dataValidation>
    <dataValidation type="list" allowBlank="1" showInputMessage="1" showErrorMessage="1" sqref="I6:I8 F5 I311 F27 I50:I52 F49 I72:I74 F71 I95:I97 F94 I338 F116 I139:I141 F138 I161:I163 F160 I183:I185 F182 I629 I207 I210 I320 I323 I396 I399 I261 I230 I272 I278 I287 I374 I384 I335 I489:I490 I308 F305 F473 I473:I474 I359 I367 I233 I117:I118 I28:I30" xr:uid="{83910662-B319-3D4A-A1CF-3A434B36F431}">
      <formula1>"High,Medium,Low,Medium-Low"</formula1>
    </dataValidation>
    <dataValidation type="list" allowBlank="1" showInputMessage="1" showErrorMessage="1" sqref="F12 F10 L19:L20 L395 F17 I5 F14 F3:F4 L5:L10 F34 F32 L41:L42 F19:F22 F39 I27 F36 F25:F26 I219:I222 F56 F54 L63:L64 F41:F44 F61 I49 F58 F47:F48 L49:L54 F78 F76 L85:L86 F85:F88 F83 I71 F80 F69:F70 L71:L76 F101 F99 L108:L109 F63:F66 F106 I94 F103 F92:F93 L94:L99 F123 F121 L130:L131 F362 F108:F111 F128 I116 F125 F114:F115 F145 F143 L152:L153 F130:F133 F150 I138 F147 F136:F137 L138:L143 F167 F165 L174:L175 F152:F155 F172 I160 F169 F158:F159 L160:L165 F189 F187 L197:L198 F197:F200 F194 I182 F191 F180:F181 L182:L187 F90 L89:L90 F759 F741:F742 F715 F685 F679 F781:F783 F633 I782 F753 I753 F747 I747 I741 F736:F739 I736:I738 F734 I734 F727 I727 F721 I721 F713 I713 F708 I708 F701 I701 F691 I691 L629 F617 I632 F558 F556 F538 F574 F653 F772 F779 L585 F534 I530:I531 I534 L524 L208:L209 L206 F243:F250 F252:F253 F255:F256 F275:F276 F645:F646 L259:L261 L257 F266:F267 L228:L230 L283 L296 L298 L300 L302 L317 L389 L391 L393 L350 L352 L354 L271:L272 F281:F282 L277:L278 L321:L322 L319 L397:L398 F174:F177 L436 I437:I438 F434:F435 F437:F438 I442:I445 L440 L443 I461:I463 L461 L406 L408:L413 I418 I501 I503 F503:F504 F506 I506 F521 L495 L516 L518:L521 F518 I514 F514 L510 I510 F508 L370 L380 L480:L481 L478 F478:F479 I467 L467 L372:L374 L382:L384 F228 F225:F226 L285:L287 F235 L237 L333:L335 F333 F330:F331 L341 F348 I344:I345 I348 F490 L487 L491 L304 L306:L308 L314 F306 I470 L474 L447 I448 I450 I452 F453 L453 L116:L121 F357:F358 F365 L358:L359 I360 L362:L366 I362:I363 L455:L457 F313:F315 L311 I312 F221:F222 L27:L32 F523:F524 F205 L294 I293:I295 F293:F294 L240 I239:I241 F239:F240 I523:I528 F526:F527" xr:uid="{F34F98DD-7754-304E-9E49-201BCFAB97DD}">
      <formula1>"High,Medium,Low,Medium-High"</formula1>
    </dataValidation>
    <dataValidation type="list" allowBlank="1" showInputMessage="1" showErrorMessage="1" sqref="L14 L36 L58 L80 L103 L125 L147 L169 L191" xr:uid="{8FB43BBB-B3A5-2F41-98DB-EAD878C4CFE6}">
      <formula1>"High,Medium,Low,Low*"</formula1>
    </dataValidation>
    <dataValidation type="list" allowBlank="1" showInputMessage="1" showErrorMessage="1" sqref="L586:L623 L630:L644 L625:L628 L647:L802 M585 L434 L496:L498 L517:L520 L515 L511:L512 L500:L507 L509 L465:L466 L479 L482:L488 L236 L340 L343:L348 L491:L494 L315 K474:K475 L469:L472 L475:L477 L357:L358 L455:L457 L524 L240 L294 L529:L584" xr:uid="{96E41436-3C38-824C-B1FB-4527890BEDCC}">
      <formula1>"High,Medium,Low,High*,Medium*,Low* "</formula1>
    </dataValidation>
    <dataValidation type="list" allowBlank="1" showInputMessage="1" showErrorMessage="1" sqref="F760:F763 F754:F758 F748:F752 F743:F746 F722:F726 F716:F719 F709:F712 F703:F707 F692:F700 F687:F690 F681:F684 F675:F678 F654:F673 F648:F652 F640:F644 F634:F638 F609:F613 F602:F606 F596:F600 F590:F594 F567:F573 F791:F802 F789 F787 F784:F785 F539:F555 F740 F623 F619:F621 F580:F581 F575:F576 F559:F565 F557 F729:F733 F535:F537 F766:F771 F773:F778 F780 F257 F373:F376 F283 F232:F233 F296 F298 F300 F302 F317 F389 F391 F393 F350 F352 F354 F272:F274 F278:F280 F213 F326 F402 F406 F509 F380 F383:F386 F370 F260:F263 F286:F289 F337:F338 F310 F364 F366:F367" xr:uid="{8E71BA4E-0DF2-D940-8AB9-50381C495D33}">
      <formula1>"High,Medium,Low, High*,Medium*,Low* "</formula1>
    </dataValidation>
    <dataValidation type="list" allowBlank="1" showInputMessage="1" showErrorMessage="1" sqref="F803 F102 L11:L13 L499 L803:L816 I535:I628 I742:I746 I709:I712 I692:I700 F790 I748:I752 F67:F68 F639 F622 F577:F579 F566 I633:I690 I2:I4 F11 F57 L2:L4 F2 F13 F35 L33:L35 F33 F23:F24 L55:L57 F55 F45:F46 F79 L77:L79 F77 F91 L91:L93 F190 L100:L102 F100 F89 F124 L122:L124 F122 F112:F113 F146 L144:L146 F144 F134:F135 F166 F156:F157 L188:L190 F188 F195:F196 L192:L196 L87:L88 L645:L646 F788 F786 F764:F765 I739:I740 F728 I722:I726 I714:I720 I702:I707 F686 F680 I783:I802 F735 I735 F624:F632 F720 F714 F702 L624 I728:I733 F614:F616 F618 I630:I631 F601 F607:F608 F595 F674 I754:I781 F582 F584:F589 I532:I533 I529 I419:I436 L252:L253 L243:L250 F251 F254 F647 L255:L256 L297 L299 L301 L318 L390 L392 L394 L349 L351 F351 L353 F353 F268:F270 L273:L276 L279:L282 L21:L26 L59:L62 F62 L81:L84 F84 L43:L48 L104:L107 F107 L65:L70 L126:L129 F129 L110:L115 L148:L151 F151 L170:L173 F173 L37:L40 F40 L15:L18 F18 L132:L137 F178:F179 L166:L168 F168 L154:L159 L207 I208:I209 L320 I321:I322 L396 I397:I398 L176:L181 L375:L378 F319:F325 F395:F401 F408:F433 L417:L418 L437:L439 L435 F436 L445:L446 L441:L442 F439:F442 I439:I441 L460 L463 I468:I469 F403:F405 L399:L405 L407:L408 L410 L423:L433 L412 I400:I417 I502 F505 I504:I505 F519:F520 F515:F517 L513 F507 I507:I509 F510:F513 I511:I513 I465:I466 L381 L371 F379 L385:L388 L262:L270 L284 F227 F229:F231 I385:I395 I262:I271 I273:I277 L258 I279:I286 I375:I383 F334:F336 F327:F329 F332 L342 F340:F347 I346:I347 I296:I307 L234:L235 I324:I334 L323:L332 F349 I491:I500 F480:F489 F491:F502 L303 L305 F454:F460 L288:L291 F307:F309 F304 H474 I475:I488 F474:F477 I471:I472 F464:F472 I446:I447 I449:I451 L448:L452 F449:F452 L454 F192:F193 L360 F368:F369 L339 I349:I358 F355:F359 L231:L232 L336:L337 I339:I343 I361 L362:L364 I364:I366 I231:I232 I336:I337 F361 F363:F364 I368:I373 I8:I26 F6:F9 F15:F16 F214:F220 F37:F38 I52:I70 F50:F53 F59:F60 I74:I93 F72:F75 F81:F82 I97:I115 F95:F98 F104:F105 F126:F127 F117:F120 I119:I137 I141:I159 F139:F142 F148:F149 I163:I181 F161:F164 F170:F171 I242:I260 F183:F186 I453:I460 I313:I319 F316 F311 I309:I310 L309:L310 L312:L313 L526:L527 I223:I229 F223:F224 L210:L227 I211:I218 F28:F31 I30:I48 I288:I294 F292:F295 L293 I234:I240 L238:L239 F236:F242 F201:F204 L199:L200 L202:L205 F206:F212 I185:I206 I515:I524 L522:L523 I526:I527 F522:F533" xr:uid="{FCADE46F-1027-1F4C-87DC-7657806BA5CD}">
      <formula1>"High,Medium,Low"</formula1>
    </dataValidation>
  </dataValidations>
  <hyperlinks>
    <hyperlink ref="U361" r:id="rId1" xr:uid="{EB4B6388-D2B4-6749-8E9C-11F08BC834F0}"/>
    <hyperlink ref="U798" r:id="rId2" xr:uid="{40F84B62-D003-F644-B2DD-FEEF9FFB1CED}"/>
    <hyperlink ref="U799" r:id="rId3" xr:uid="{34F6AFAE-AED5-8B43-8943-91BE1304FE23}"/>
    <hyperlink ref="U766" r:id="rId4" xr:uid="{466F4063-AC28-2B49-BA6B-1087C7D34DE7}"/>
    <hyperlink ref="U767" r:id="rId5" xr:uid="{E88E0979-CBD9-0347-ACC8-C9590062A5BA}"/>
    <hyperlink ref="U768" r:id="rId6" xr:uid="{B4B4B526-EDFE-5A4B-978C-751EE7A93967}"/>
    <hyperlink ref="U769" r:id="rId7" xr:uid="{D5E83D31-BA0B-5E4D-8329-081AB73A3FF0}"/>
    <hyperlink ref="U760" r:id="rId8" xr:uid="{12759895-CF28-0C41-9DD7-F121E13B1BDE}"/>
    <hyperlink ref="U761" r:id="rId9" xr:uid="{14D25F95-7987-864C-B6CB-B61C8292FF5F}"/>
    <hyperlink ref="U762" r:id="rId10" xr:uid="{6B801CB6-A4AC-3B41-B775-4DD2948B4C69}"/>
    <hyperlink ref="U763" r:id="rId11" xr:uid="{F5BC6FAE-CE79-2240-8813-20817C7A59F4}"/>
    <hyperlink ref="U755" r:id="rId12" xr:uid="{3AD9CE38-5B13-1745-B297-4861DA9BE7CD}"/>
    <hyperlink ref="U756" r:id="rId13" xr:uid="{24FCB3C7-7D73-3044-89EC-39C3CD8F7776}"/>
    <hyperlink ref="U757" r:id="rId14" xr:uid="{5CC21D16-FDF5-9741-8C53-0A8487160880}"/>
    <hyperlink ref="U758" r:id="rId15" xr:uid="{2C2D252A-D66E-274B-A491-7E3C6C3611BD}"/>
    <hyperlink ref="U749" r:id="rId16" xr:uid="{DCC6896E-3F60-6F40-B54F-5A9C811E662A}"/>
    <hyperlink ref="U750" r:id="rId17" xr:uid="{3A18FCBD-D4EF-EE47-A563-8A9E3AA4F3EF}"/>
    <hyperlink ref="U751" r:id="rId18" xr:uid="{1BF4F30C-24BC-B94F-8288-3B0951B5895A}"/>
    <hyperlink ref="U752" r:id="rId19" xr:uid="{F0FE4C1E-902D-D648-95EF-CD94FD4B8569}"/>
    <hyperlink ref="U743" r:id="rId20" xr:uid="{C0DE46D6-26C7-0244-8B24-82633049DF83}"/>
    <hyperlink ref="U744" r:id="rId21" xr:uid="{2C17E992-9EA6-7F4B-9A50-B51BCB528CF1}"/>
    <hyperlink ref="U745" r:id="rId22" xr:uid="{03A1FE3E-2E49-F74E-A0C3-FED38C671042}"/>
    <hyperlink ref="U746" r:id="rId23" xr:uid="{9974FBE9-9139-724D-87D2-4050362A057D}"/>
    <hyperlink ref="U730" r:id="rId24" xr:uid="{5413845D-D562-3E47-BB7F-35DE54631041}"/>
    <hyperlink ref="U731" r:id="rId25" xr:uid="{BFF5F401-34DD-8B41-876E-3AB80AFFE372}"/>
    <hyperlink ref="U732" r:id="rId26" xr:uid="{D65CA1B6-E58E-3F41-829E-F530A37988C6}"/>
    <hyperlink ref="U733" r:id="rId27" xr:uid="{8822FD1E-2935-3247-AA05-6B1538699D80}"/>
    <hyperlink ref="U723" r:id="rId28" xr:uid="{7D6DC88A-3EEA-2B45-8B6E-D0B84163620E}"/>
    <hyperlink ref="U724" r:id="rId29" xr:uid="{A15A6640-8246-BE43-982F-FE0E20FF91A3}"/>
    <hyperlink ref="U725" r:id="rId30" xr:uid="{7C12C500-0EDD-A24C-8EF5-26CE9356BCB5}"/>
    <hyperlink ref="U726" r:id="rId31" xr:uid="{1F21EB95-36AC-074B-B063-BCFC08EC911A}"/>
    <hyperlink ref="U717" r:id="rId32" xr:uid="{CB50C234-49AE-8F4C-9AC8-8ED5C8F92F72}"/>
    <hyperlink ref="U718" r:id="rId33" xr:uid="{D82F08A9-0735-8243-B928-F7C477FB3014}"/>
    <hyperlink ref="U719" r:id="rId34" xr:uid="{7944B02A-9135-9543-9CE8-D78BC72356FC}"/>
    <hyperlink ref="U709" r:id="rId35" xr:uid="{7079A808-1A9D-DE45-8357-EB28EAF20A17}"/>
    <hyperlink ref="U710" r:id="rId36" xr:uid="{9F963B48-BC5F-AA41-AE30-DA564DC20179}"/>
    <hyperlink ref="U711" r:id="rId37" xr:uid="{D82E80E5-D789-9844-ABD8-C7D0FA181E81}"/>
    <hyperlink ref="U712" r:id="rId38" xr:uid="{FD1A8525-B232-084B-B7A1-FE50FFB7DB0F}"/>
    <hyperlink ref="U704" r:id="rId39" xr:uid="{ED89D6BF-FC79-064F-A8FB-C3F587C413CF}"/>
    <hyperlink ref="U705" r:id="rId40" xr:uid="{48C777C4-DF18-754D-8FF5-13B6C4C977AA}"/>
    <hyperlink ref="U706" r:id="rId41" xr:uid="{02421B01-BD53-8A4D-8537-DA15ED4467F8}"/>
    <hyperlink ref="U707" r:id="rId42" xr:uid="{EE00FE3C-9AFB-B545-AA1E-2E28F669B151}"/>
    <hyperlink ref="U697" r:id="rId43" xr:uid="{4F323BB9-6640-B344-B3CC-489A32D34B94}"/>
    <hyperlink ref="U698" r:id="rId44" xr:uid="{3E02A3CD-A1EA-1546-A8A2-5C96110424C0}"/>
    <hyperlink ref="U699" r:id="rId45" xr:uid="{80D5D771-E846-8643-8AB6-D14D343B9988}"/>
    <hyperlink ref="U700" r:id="rId46" xr:uid="{DD6422D1-6B48-7B4E-98F7-184BAE1B4D05}"/>
    <hyperlink ref="U692" r:id="rId47" xr:uid="{FA3F3557-5549-F640-BFE8-9B0D03E1B59F}"/>
    <hyperlink ref="U693" r:id="rId48" xr:uid="{8565959F-E7DB-A24D-8C91-9CA0A63C8116}"/>
    <hyperlink ref="U694" r:id="rId49" xr:uid="{860A2498-999C-AD49-B706-8D01A40F695A}"/>
    <hyperlink ref="U695" r:id="rId50" xr:uid="{2973588C-39CD-4C41-9EAD-BEA8D9295B0C}"/>
    <hyperlink ref="U687" r:id="rId51" xr:uid="{857B6FA9-2F59-0840-BE86-3CB707DF4AA0}"/>
    <hyperlink ref="U688" r:id="rId52" xr:uid="{C3C10BF6-A0FD-1B40-9A85-5D432D39376D}"/>
    <hyperlink ref="U689" r:id="rId53" xr:uid="{30ED7BF1-147B-F746-8CB4-2D7EE9122EFD}"/>
    <hyperlink ref="U690" r:id="rId54" xr:uid="{8688947C-EC5D-C34F-A546-5C9EEC495D11}"/>
    <hyperlink ref="U682" r:id="rId55" xr:uid="{0BB06368-44A1-CA42-B63E-9A52FF40B838}"/>
    <hyperlink ref="U683" r:id="rId56" xr:uid="{16BA9E15-77EF-1347-9302-00AD614F43DB}"/>
    <hyperlink ref="U684" r:id="rId57" xr:uid="{92A3E651-0CB5-D345-8EFD-63A0D7897821}"/>
    <hyperlink ref="U675" r:id="rId58" xr:uid="{69B9C5AD-0FA0-C74C-A181-A64C715E9263}"/>
    <hyperlink ref="U676" r:id="rId59" xr:uid="{1C93E5D6-6755-A144-9D9D-0C1E02EB429E}"/>
    <hyperlink ref="U677" r:id="rId60" xr:uid="{BE082F8E-C3D5-AC41-B83A-8474FAD4ECE4}"/>
    <hyperlink ref="U678" r:id="rId61" xr:uid="{A17C22AB-BBD5-EF42-82D9-3F282BE67576}"/>
    <hyperlink ref="U670" r:id="rId62" xr:uid="{CD1A6139-75EF-B444-940E-37B6B33B1976}"/>
    <hyperlink ref="U671" r:id="rId63" xr:uid="{83A2AC37-EBA4-9E4E-A358-C775A0FCE623}"/>
    <hyperlink ref="U672" r:id="rId64" xr:uid="{945E77A0-4FD3-7B4F-AE3E-D191FCA623EE}"/>
    <hyperlink ref="U673" r:id="rId65" xr:uid="{FB9325EB-E205-714A-9BE7-36D37C0E3C85}"/>
    <hyperlink ref="U665" r:id="rId66" xr:uid="{DC9BE386-7204-1242-AFB2-D1ABC4858667}"/>
    <hyperlink ref="U666" r:id="rId67" xr:uid="{0F95BC97-A235-914A-BF81-06CDDA8820CE}"/>
    <hyperlink ref="U667" r:id="rId68" xr:uid="{3AE2B104-8953-F64F-98B8-441E9EC57C3C}"/>
    <hyperlink ref="U668" r:id="rId69" xr:uid="{BA05601E-0102-AA42-B127-03A2BD8D6EB4}"/>
    <hyperlink ref="U660" r:id="rId70" xr:uid="{0D7DC685-190A-0B42-A7D3-5F0AFC8C216B}"/>
    <hyperlink ref="U661" r:id="rId71" xr:uid="{F9FE1D3B-A982-E140-A03C-0AF403877ABF}"/>
    <hyperlink ref="U662" r:id="rId72" xr:uid="{AEAF30BE-0D4E-3C45-B5D8-6B689EB732F7}"/>
    <hyperlink ref="U663" r:id="rId73" xr:uid="{093C29F0-80EB-0243-A142-E69A4E729EAA}"/>
    <hyperlink ref="U655" r:id="rId74" xr:uid="{935FEA82-4B15-A74B-BF8D-F0D7FAB82D26}"/>
    <hyperlink ref="U656" r:id="rId75" xr:uid="{74F97F6D-E772-0147-8A51-AF95E8230816}"/>
    <hyperlink ref="U657" r:id="rId76" xr:uid="{84DACC12-2E19-5B4F-B8CD-F4848D4BB8CB}"/>
    <hyperlink ref="U658" r:id="rId77" xr:uid="{CD4700F2-2189-AD4A-821E-EFA27B4A09B4}"/>
    <hyperlink ref="U649" r:id="rId78" xr:uid="{0E9E0335-CC7C-EE45-9BE7-4CADDE3DC3FF}"/>
    <hyperlink ref="U650" r:id="rId79" xr:uid="{29387941-7AF1-5648-92C0-B69AC5DCE786}"/>
    <hyperlink ref="U651" r:id="rId80" xr:uid="{3B1D84E9-6DFD-4841-B105-E2B169ACC5DF}"/>
    <hyperlink ref="U652" r:id="rId81" xr:uid="{2A838929-00B3-C246-8BB6-7A8B5E880EF4}"/>
    <hyperlink ref="U641" r:id="rId82" xr:uid="{2CBD26FB-9417-A94C-832C-C55FD12C0936}"/>
    <hyperlink ref="U642" r:id="rId83" xr:uid="{AF43C914-E72A-FF44-AC8E-A591F5BEDEBA}"/>
    <hyperlink ref="U643" r:id="rId84" xr:uid="{37FFCEF8-5CF8-414E-9F5D-7B08D36FE10E}"/>
    <hyperlink ref="U644" r:id="rId85" xr:uid="{44DACAA6-1F16-F14A-A189-03C10CF73B74}"/>
    <hyperlink ref="U635" r:id="rId86" xr:uid="{ABA94366-D7A0-FE4B-ACDB-9311BE4DE2FE}"/>
    <hyperlink ref="U636" r:id="rId87" xr:uid="{6A89BC1B-901B-D248-9FAA-CCD45860A3D0}"/>
    <hyperlink ref="U637" r:id="rId88" xr:uid="{3DC6FF91-32FB-6A4A-9F84-903494AB0723}"/>
    <hyperlink ref="U638" r:id="rId89" xr:uid="{4A05160D-41C7-4147-8945-C663B75874B7}"/>
    <hyperlink ref="U610" r:id="rId90" xr:uid="{244202D9-3383-6742-9FDE-DF60AEF3AA4C}"/>
    <hyperlink ref="U611" r:id="rId91" xr:uid="{B96D247B-119F-6644-A95D-B41AFB78DC32}"/>
    <hyperlink ref="U612" r:id="rId92" xr:uid="{2D699F3E-B9FB-A34D-9387-3ADF291BBA3F}"/>
    <hyperlink ref="U613" r:id="rId93" xr:uid="{B2C4DEF8-AFF1-464F-BFCD-46D82FD7D048}"/>
    <hyperlink ref="U603" r:id="rId94" xr:uid="{5BD3BC38-797C-2243-A5DA-4398E8401B68}"/>
    <hyperlink ref="U604" r:id="rId95" xr:uid="{EC2E508A-40B3-874F-AAB2-5F042627A748}"/>
    <hyperlink ref="U605" r:id="rId96" xr:uid="{7016C3E3-8F67-224B-B6FD-AA5903DC2E4C}"/>
    <hyperlink ref="U606" r:id="rId97" xr:uid="{05092B12-3B9B-5649-B75A-FDC8208DBB6C}"/>
    <hyperlink ref="U597" r:id="rId98" xr:uid="{0B54EEEC-08DC-CF47-99E4-A18135CB06BF}"/>
    <hyperlink ref="U598" r:id="rId99" xr:uid="{70077C02-17A6-C843-A5B5-CD1EB03D1FC0}"/>
    <hyperlink ref="U599" r:id="rId100" xr:uid="{6B173396-4736-5941-BC57-0DE0D2BA0A6F}"/>
    <hyperlink ref="U600" r:id="rId101" xr:uid="{66888CB6-1B47-144E-A555-B85F445F2DC9}"/>
    <hyperlink ref="U591" r:id="rId102" xr:uid="{C312D5FC-B78B-4C43-A0C4-80E1DEFE9A5C}"/>
    <hyperlink ref="U592" r:id="rId103" xr:uid="{FF822001-F359-9043-9D71-48DDC482A7CC}"/>
    <hyperlink ref="U593" r:id="rId104" xr:uid="{2CC992F3-9DFC-034F-9D2E-54D813187FBD}"/>
    <hyperlink ref="U594" r:id="rId105" xr:uid="{086CBAD0-CCAF-594B-997D-4C146522FF40}"/>
    <hyperlink ref="U569" r:id="rId106" xr:uid="{D0D106E4-7120-294A-9D03-A89C5BE8ECCC}"/>
    <hyperlink ref="U570" r:id="rId107" xr:uid="{B07BB24B-6953-4747-85C5-DC9C9F116605}"/>
    <hyperlink ref="U571" r:id="rId108" xr:uid="{1F6E6778-02C4-6D49-B438-59E963594577}"/>
    <hyperlink ref="U572" r:id="rId109" xr:uid="{4722FF26-C857-ED41-8C37-A1E3604A7183}"/>
    <hyperlink ref="U797" r:id="rId110" xr:uid="{D12078DE-D9A8-9E44-A113-44AFC8AB4E16}"/>
    <hyperlink ref="U12" r:id="rId111" xr:uid="{BB1406B4-4BA9-0441-8E9F-94B5D1D2C491}"/>
    <hyperlink ref="W8" r:id="rId112" xr:uid="{67DE3E2C-9360-B54D-978C-59FDBCB0BE4F}"/>
    <hyperlink ref="Y8" r:id="rId113" xr:uid="{4A131EC7-BA96-6E47-ACE9-F38C77FE1B9D}"/>
    <hyperlink ref="AA8" r:id="rId114" xr:uid="{353DEF49-682A-B346-9607-680D4BFC0DE3}"/>
    <hyperlink ref="AC8" r:id="rId115" xr:uid="{418C3A10-816B-C64F-8954-8603A801AD69}"/>
    <hyperlink ref="U10" r:id="rId116" xr:uid="{404D1517-2C2B-B141-85F5-8A0CCC0121C3}"/>
    <hyperlink ref="W10" r:id="rId117" xr:uid="{2316032C-29A7-3A43-AB89-348AD7F2272E}"/>
    <hyperlink ref="U22" r:id="rId118" xr:uid="{9746839E-5980-A448-A89F-D5AAC40CF915}"/>
    <hyperlink ref="W22" r:id="rId119" xr:uid="{C865D609-E0E0-1A46-9ADB-E80BF7D13180}"/>
    <hyperlink ref="Y22" r:id="rId120" xr:uid="{E46A7642-BCCC-A048-9B76-433D7DA1CAD9}"/>
    <hyperlink ref="AA22" r:id="rId121" xr:uid="{3D6F0DA3-7611-F545-9774-AFBD84A04F72}"/>
    <hyperlink ref="U21" r:id="rId122" xr:uid="{EAD5A15D-91DE-EB43-A656-8F3583B109CF}"/>
    <hyperlink ref="W21" r:id="rId123" xr:uid="{AD899D17-D926-3447-A1EF-5F53E79E72BD}"/>
    <hyperlink ref="Y21" r:id="rId124" xr:uid="{A627901C-C21C-1B42-95CF-B776440661AA}"/>
    <hyperlink ref="AA21" r:id="rId125" xr:uid="{401B5A25-92B4-1141-9855-83035CA4E63C}"/>
    <hyperlink ref="U19" r:id="rId126" xr:uid="{DFB76559-374E-B946-9FA9-AE2BBFF6CD68}"/>
    <hyperlink ref="U18" r:id="rId127" xr:uid="{4C235366-83AB-A241-B7B6-C73C6ED05C3F}"/>
    <hyperlink ref="U20" r:id="rId128" xr:uid="{8DDD11D2-A743-FF4F-AEDB-3D5D5C8BEC78}"/>
    <hyperlink ref="W18" r:id="rId129" xr:uid="{2726B762-FF2F-AE46-82CF-0C28E7D8BBCF}"/>
    <hyperlink ref="W19" r:id="rId130" xr:uid="{F076DA47-E632-8146-9BBD-D2500DE126BC}"/>
    <hyperlink ref="W17" r:id="rId131" xr:uid="{63FEDA65-032D-A843-840F-14F9E5BCB1CE}"/>
    <hyperlink ref="W16" r:id="rId132" xr:uid="{C067F8AF-1C24-EA40-9508-D832973228B9}"/>
    <hyperlink ref="U14" r:id="rId133" xr:uid="{0D7B8B12-3AC2-8C4E-995C-8FBB80416E49}"/>
    <hyperlink ref="W14" r:id="rId134" xr:uid="{1DD0CB76-24F7-174A-944E-072F128F500C}"/>
    <hyperlink ref="Y14" r:id="rId135" xr:uid="{2C437C62-C31F-E24E-8A71-94A115B60DB1}"/>
    <hyperlink ref="U13" r:id="rId136" xr:uid="{05F3AC59-96E3-984F-9796-056BA9ACC330}"/>
    <hyperlink ref="U11" r:id="rId137" xr:uid="{5E6BD3DD-CB11-234E-9C0B-7FB4CB949B2F}"/>
    <hyperlink ref="W11" r:id="rId138" xr:uid="{9CECEF73-037D-0A42-A467-1B5B399AD74A}"/>
    <hyperlink ref="Y11" r:id="rId139" xr:uid="{88D35918-4971-154B-97DD-1F6510C5ED54}"/>
    <hyperlink ref="Y10" r:id="rId140" xr:uid="{58483B8A-85E2-3F4E-9014-7BBBFF0D0519}"/>
    <hyperlink ref="U9" r:id="rId141" xr:uid="{0DB487E8-D2AE-1B46-BEEB-325907BC9C29}"/>
    <hyperlink ref="W9" r:id="rId142" xr:uid="{7673A123-0EF5-2341-8C67-E40BE457F76A}"/>
    <hyperlink ref="Y9" r:id="rId143" xr:uid="{312BD63A-0075-4C4B-8311-8C7DB136EC2D}"/>
    <hyperlink ref="U7" r:id="rId144" xr:uid="{5E2C8650-FE1F-9C4F-AF8D-20BC69A77FDF}"/>
    <hyperlink ref="W7" r:id="rId145" xr:uid="{1C5959FF-4E03-E14A-B9B4-3B40A861A040}"/>
    <hyperlink ref="Y4" r:id="rId146" xr:uid="{2C452DD2-2D2D-4745-8637-6B3330D6B75B}"/>
    <hyperlink ref="AA4" r:id="rId147" xr:uid="{C4B58B53-6482-C146-B3F2-D056A1455ECB}"/>
    <hyperlink ref="U5" r:id="rId148" xr:uid="{49DBDB2F-220F-F648-9424-AEBEEE06777A}"/>
    <hyperlink ref="W5" r:id="rId149" xr:uid="{6B4BF670-F507-BB49-8244-8B5A62E65883}"/>
    <hyperlink ref="U6" r:id="rId150" xr:uid="{991BEDB8-48C7-0549-9847-2F29135AC1FA}"/>
    <hyperlink ref="W6" r:id="rId151" xr:uid="{F723FD86-3BF4-FA4A-AA5E-54E78F02A519}"/>
    <hyperlink ref="AE4" r:id="rId152" location="v=onepage&amp;q&amp;f=false" xr:uid="{79A27124-8FEF-F948-96D9-47D581282A24}"/>
    <hyperlink ref="AG4" r:id="rId153" xr:uid="{090DECA3-8839-844A-84C8-F9BB0F1EE05E}"/>
    <hyperlink ref="U34" r:id="rId154" xr:uid="{D8C358FC-717C-E648-AF17-220BD1E9B8AF}"/>
    <hyperlink ref="U32" r:id="rId155" xr:uid="{0076EFCC-D615-0747-AFB0-26C94C7FF295}"/>
    <hyperlink ref="W32" r:id="rId156" xr:uid="{62E8D17A-327F-4344-9A63-9D2EF53D152D}"/>
    <hyperlink ref="U44" r:id="rId157" xr:uid="{D6ED7ABD-9048-8741-BD72-9058AE4279A1}"/>
    <hyperlink ref="W44" r:id="rId158" xr:uid="{B1AFF18A-D881-0244-AC02-079F74C3062E}"/>
    <hyperlink ref="Y44" r:id="rId159" xr:uid="{FDEA3CD0-0E31-854B-85D3-9A90FFA738E2}"/>
    <hyperlink ref="AA44" r:id="rId160" xr:uid="{703924F1-BC60-CC4F-B67E-3F3254398727}"/>
    <hyperlink ref="U43" r:id="rId161" xr:uid="{90A05BE8-49C4-0B49-A141-BAA6AE37B710}"/>
    <hyperlink ref="W43" r:id="rId162" xr:uid="{08E34FE9-55B7-464A-A9DF-86BBB8F8657B}"/>
    <hyperlink ref="Y43" r:id="rId163" xr:uid="{1599379F-5E9F-874E-BFCA-AF5327B02674}"/>
    <hyperlink ref="AA43" r:id="rId164" xr:uid="{C1E9A7A2-1993-0D4B-87C2-5E0DBAD6F6CF}"/>
    <hyperlink ref="U41" r:id="rId165" xr:uid="{FEE9F4F2-5DD0-0E4C-920A-64A01507A733}"/>
    <hyperlink ref="U40" r:id="rId166" xr:uid="{185AAEA8-58E7-404A-910A-71DF7C73193F}"/>
    <hyperlink ref="U42" r:id="rId167" xr:uid="{A5342DD8-DDCD-C54F-83CC-EED048BA2D60}"/>
    <hyperlink ref="W40" r:id="rId168" xr:uid="{1E249A5E-A075-FE4A-96FC-1A9D7AB6F4F0}"/>
    <hyperlink ref="W41" r:id="rId169" xr:uid="{1C0EF166-4202-054C-AF4C-0363F9FFC12A}"/>
    <hyperlink ref="W39" r:id="rId170" xr:uid="{86960627-2E13-A843-A31A-32C0F478A5D2}"/>
    <hyperlink ref="W38" r:id="rId171" xr:uid="{8123B655-0BFD-184E-B084-060E8E84DAAB}"/>
    <hyperlink ref="U36" r:id="rId172" xr:uid="{8D461547-FB92-0043-8171-6D682DA52788}"/>
    <hyperlink ref="W36" r:id="rId173" xr:uid="{FBC9A0A7-BFC1-7F40-8B11-EAC78F2C1008}"/>
    <hyperlink ref="Y36" r:id="rId174" xr:uid="{9893C700-A5AE-2E41-9832-0BFE9527D56C}"/>
    <hyperlink ref="U35" r:id="rId175" xr:uid="{4B08D17D-58D1-AB40-A4C3-FFE84CBCE080}"/>
    <hyperlink ref="U33" r:id="rId176" xr:uid="{2469FB1F-5807-A140-872C-318119C8E175}"/>
    <hyperlink ref="W33" r:id="rId177" xr:uid="{C2616FF0-CBB6-0A49-A230-D5FB84BBF932}"/>
    <hyperlink ref="Y33" r:id="rId178" xr:uid="{6CA72E72-1BD0-124A-BBB6-C5AF7D2250DC}"/>
    <hyperlink ref="Y32" r:id="rId179" xr:uid="{32FCA21F-60AF-384F-9D25-53A10D82D99D}"/>
    <hyperlink ref="U31" r:id="rId180" xr:uid="{D2BCDEA4-946E-2446-AFB2-DEB86FE42E3A}"/>
    <hyperlink ref="W31" r:id="rId181" xr:uid="{BEA24DF2-893E-FA42-98E4-A50376BA4E31}"/>
    <hyperlink ref="Y31" r:id="rId182" xr:uid="{954013A0-84EE-0344-9F32-1147198492FE}"/>
    <hyperlink ref="U29" r:id="rId183" xr:uid="{DE1D9025-6376-A743-80F5-50D6864620BD}"/>
    <hyperlink ref="W29" r:id="rId184" xr:uid="{FE224FAB-16E3-ED4E-BA2C-1A1A1539E6CD}"/>
    <hyperlink ref="Y26" r:id="rId185" xr:uid="{5D8DC966-3FD2-E746-8031-9B98031FE13E}"/>
    <hyperlink ref="AA26" r:id="rId186" xr:uid="{C1D42FE3-5EEA-2E47-9219-A00D4ED74840}"/>
    <hyperlink ref="U27" r:id="rId187" xr:uid="{AC062A45-099E-B94C-9FC3-3C58FBD87017}"/>
    <hyperlink ref="W27" r:id="rId188" xr:uid="{77D50E76-3780-3E43-B046-9B00D1340AF6}"/>
    <hyperlink ref="U28" r:id="rId189" xr:uid="{2194FE3C-B6AF-D641-9AE9-09ADEADFF430}"/>
    <hyperlink ref="W28" r:id="rId190" xr:uid="{1AA39382-FC21-DA45-AF23-8D2004FC090A}"/>
    <hyperlink ref="AE26" r:id="rId191" location="v=onepage&amp;q&amp;f=false" xr:uid="{C544BA72-A9C6-C245-98E9-F22FD3106433}"/>
    <hyperlink ref="AG26" r:id="rId192" xr:uid="{FC052485-61C8-104E-9F51-243F63195F73}"/>
    <hyperlink ref="U56" r:id="rId193" xr:uid="{847E06DA-8FA5-594F-8A74-740A1277EBDE}"/>
    <hyperlink ref="U54" r:id="rId194" xr:uid="{ACC92809-9675-144E-9CF6-1AB9D823ABE0}"/>
    <hyperlink ref="W54" r:id="rId195" xr:uid="{0EAC0AA4-241A-9148-9523-698E7440E3A9}"/>
    <hyperlink ref="U66" r:id="rId196" xr:uid="{F1542050-55B3-A145-B191-7ACEEE7DB6F3}"/>
    <hyperlink ref="W66" r:id="rId197" xr:uid="{DD9DB67F-A42D-3141-A081-D1D28930D818}"/>
    <hyperlink ref="Y66" r:id="rId198" xr:uid="{E9732D7E-A97A-BA43-B15B-A0F5F3FCC022}"/>
    <hyperlink ref="AA66" r:id="rId199" xr:uid="{403FC7F4-897F-8C4C-9C50-444C9E4700EA}"/>
    <hyperlink ref="U65" r:id="rId200" xr:uid="{56226256-6AF1-8D43-A145-E44E2F954D4C}"/>
    <hyperlink ref="W65" r:id="rId201" xr:uid="{03DE0E33-0EEF-544D-9AEF-DDB857123B0A}"/>
    <hyperlink ref="Y65" r:id="rId202" xr:uid="{D2EE6C26-832E-A445-A958-5F3555DBB3E1}"/>
    <hyperlink ref="AA65" r:id="rId203" xr:uid="{CDE0EE56-8B94-C441-B41E-1991E06DF488}"/>
    <hyperlink ref="U63" r:id="rId204" xr:uid="{08D32748-A8DD-5B49-A049-1EBB30EAFA98}"/>
    <hyperlink ref="U62" r:id="rId205" xr:uid="{BE61B227-3D5A-5049-8585-2516C4721820}"/>
    <hyperlink ref="U64" r:id="rId206" xr:uid="{119CAAE8-B183-7347-A01E-A3F4DE560DD4}"/>
    <hyperlink ref="W62" r:id="rId207" xr:uid="{2ADB8E64-E425-5446-A1F6-5837AF2D64F3}"/>
    <hyperlink ref="W63" r:id="rId208" xr:uid="{9B63F933-5719-D84A-8112-C1882F17CE35}"/>
    <hyperlink ref="W61" r:id="rId209" xr:uid="{53516D46-1D80-234D-8F2D-8FC5177D1FC6}"/>
    <hyperlink ref="W60" r:id="rId210" xr:uid="{6B0F0FA5-21DE-5B4B-A5F4-A2F3A9122C69}"/>
    <hyperlink ref="U58" r:id="rId211" xr:uid="{B15F4E09-113D-4C49-9300-15915303C72B}"/>
    <hyperlink ref="W58" r:id="rId212" xr:uid="{F3938BC3-5623-434D-83AC-5CD1324EE86E}"/>
    <hyperlink ref="Y58" r:id="rId213" xr:uid="{467A8007-2CE5-C34E-9C97-7174D8E41B39}"/>
    <hyperlink ref="U57" r:id="rId214" xr:uid="{DECEC689-14EB-5E4B-814C-30A14D0D7BB0}"/>
    <hyperlink ref="U55" r:id="rId215" xr:uid="{CFD9A287-1C90-C54C-84CD-775D422F3E06}"/>
    <hyperlink ref="W55" r:id="rId216" xr:uid="{6F7006ED-254E-6D46-A461-B861ABA833C3}"/>
    <hyperlink ref="Y55" r:id="rId217" xr:uid="{5E78D895-4BA7-2E49-819D-649652A0A671}"/>
    <hyperlink ref="Y54" r:id="rId218" xr:uid="{B33A5F22-C130-D14E-97B8-A3E08F3A1FD9}"/>
    <hyperlink ref="U53" r:id="rId219" xr:uid="{45B3787E-9A7C-6F42-B8E1-D6CCE2A1C629}"/>
    <hyperlink ref="W53" r:id="rId220" xr:uid="{0CF67A42-663D-8E47-B5B9-74CCFD6FAF1B}"/>
    <hyperlink ref="Y53" r:id="rId221" xr:uid="{E0F34E3B-9EFE-9F44-95B7-E2F431F1B88D}"/>
    <hyperlink ref="U51" r:id="rId222" xr:uid="{7EAE4C39-0E11-154C-BEB1-9F4B49DE9589}"/>
    <hyperlink ref="W51" r:id="rId223" xr:uid="{AAD531BE-9154-E941-8749-7D61F89C28B3}"/>
    <hyperlink ref="Y48" r:id="rId224" xr:uid="{270FC012-D0AF-4F4D-8A65-31EEF2F71D80}"/>
    <hyperlink ref="AA48" r:id="rId225" xr:uid="{A30C92A6-182B-6B40-B444-95C51541296A}"/>
    <hyperlink ref="U49" r:id="rId226" xr:uid="{22063474-6A3D-B442-83D2-0AE95F16F1D0}"/>
    <hyperlink ref="W49" r:id="rId227" xr:uid="{F0BFC0B7-EB43-A942-B735-2EC444F451A0}"/>
    <hyperlink ref="U50" r:id="rId228" xr:uid="{D743FAD7-07E2-6746-916A-BC9725CD552C}"/>
    <hyperlink ref="W50" r:id="rId229" xr:uid="{BFD56AE6-6FB9-5949-B38F-86AB5B27E114}"/>
    <hyperlink ref="AE48" r:id="rId230" location="v=onepage&amp;q&amp;f=false" xr:uid="{1E31794C-7C62-AB48-BB21-BE1D90190C71}"/>
    <hyperlink ref="AG48" r:id="rId231" xr:uid="{9BEF1CCE-15EA-364B-8708-D777CEF5489C}"/>
    <hyperlink ref="U78" r:id="rId232" xr:uid="{08FD13A7-4F94-7B45-B197-94CAF96B68D3}"/>
    <hyperlink ref="W74" r:id="rId233" xr:uid="{4D3E0916-D71A-864D-B1DC-7BC05F53E4FD}"/>
    <hyperlink ref="Y74" r:id="rId234" xr:uid="{727856A6-C650-5041-A256-A50694BF0C5F}"/>
    <hyperlink ref="AA74" r:id="rId235" xr:uid="{87DDDC42-15A5-334E-B347-408FA33566B8}"/>
    <hyperlink ref="AC74" r:id="rId236" xr:uid="{6D65025C-F617-204C-9D94-876F35269BDF}"/>
    <hyperlink ref="U76" r:id="rId237" xr:uid="{8191E5D1-A41B-9243-B62B-9536627723A0}"/>
    <hyperlink ref="W76" r:id="rId238" xr:uid="{94846C50-CC4E-0848-86CD-CD9BA1BB159F}"/>
    <hyperlink ref="U88" r:id="rId239" xr:uid="{9646437C-649C-2943-88E5-2B7643DBA997}"/>
    <hyperlink ref="W88" r:id="rId240" xr:uid="{A4CBA75B-686D-2346-9881-ABD17F971B4F}"/>
    <hyperlink ref="Y88" r:id="rId241" xr:uid="{DF54160D-561F-BC47-B462-22C2254D9743}"/>
    <hyperlink ref="AA88" r:id="rId242" xr:uid="{12A4F978-6183-CE46-A2F6-DDEE9C037D4F}"/>
    <hyperlink ref="U87" r:id="rId243" xr:uid="{B7C969B6-D3CA-914D-92F8-2F8330BCDA0A}"/>
    <hyperlink ref="W87" r:id="rId244" xr:uid="{7F48E5F6-2443-4742-8395-F95923313092}"/>
    <hyperlink ref="Y87" r:id="rId245" xr:uid="{D840D843-BF99-0743-855B-4963A808256D}"/>
    <hyperlink ref="AA87" r:id="rId246" xr:uid="{847061C7-7C24-2A46-B23B-F4AC9292EF80}"/>
    <hyperlink ref="U85" r:id="rId247" xr:uid="{B1E87FB9-33AC-E343-9923-5FE3B21CBC7B}"/>
    <hyperlink ref="U84" r:id="rId248" xr:uid="{03FB3878-70EA-D941-AB97-EC04A8AC7CD6}"/>
    <hyperlink ref="U86" r:id="rId249" xr:uid="{95094122-FE5C-F24C-AE69-EB0C6E1EB425}"/>
    <hyperlink ref="W84" r:id="rId250" xr:uid="{2530342F-BE18-954A-A224-BEB39A308998}"/>
    <hyperlink ref="W85" r:id="rId251" xr:uid="{AA0A83AC-AF16-DE4E-9948-DDAFCFBDBC49}"/>
    <hyperlink ref="W83" r:id="rId252" xr:uid="{5473B1F9-D3A4-A142-B466-49C3EDF8609C}"/>
    <hyperlink ref="W82" r:id="rId253" xr:uid="{67ADBF45-8E3B-3A4A-A15F-390754BAFFCA}"/>
    <hyperlink ref="U80" r:id="rId254" xr:uid="{F2BB15F9-553F-F74F-BB0D-B8D2ECC3B672}"/>
    <hyperlink ref="W80" r:id="rId255" xr:uid="{02D7366F-E0E0-8E43-943E-19B461798518}"/>
    <hyperlink ref="Y80" r:id="rId256" xr:uid="{DE2DA6AA-4DF2-A44F-84D2-304247E10880}"/>
    <hyperlink ref="U79" r:id="rId257" xr:uid="{85294B86-D397-C24A-86B6-BE3F6F31D7F4}"/>
    <hyperlink ref="U77" r:id="rId258" xr:uid="{667B0146-186E-F645-AB09-2BBFCF0A182E}"/>
    <hyperlink ref="W77" r:id="rId259" xr:uid="{2F5616A6-4EBC-3A49-8B8B-6C1E395F8485}"/>
    <hyperlink ref="Y77" r:id="rId260" xr:uid="{3B6A52C5-3700-1149-A666-4C56EF730D4E}"/>
    <hyperlink ref="Y76" r:id="rId261" xr:uid="{8D39F7C4-2678-2745-89B3-9B2155C55F58}"/>
    <hyperlink ref="U75" r:id="rId262" xr:uid="{B60C71B9-1628-4C4D-A45B-4BD9F76B9D37}"/>
    <hyperlink ref="W75" r:id="rId263" xr:uid="{C18DA5A8-AC15-B349-8373-5DDFF6803D41}"/>
    <hyperlink ref="Y75" r:id="rId264" xr:uid="{4868A485-D4A7-AA43-B3F6-7635E3E68E14}"/>
    <hyperlink ref="U73" r:id="rId265" xr:uid="{1F05459D-83AA-BA43-BD18-0593A2C5B970}"/>
    <hyperlink ref="W73" r:id="rId266" xr:uid="{29ADC23D-5363-9748-9E6B-FF2FD9F592A6}"/>
    <hyperlink ref="Y70" r:id="rId267" xr:uid="{E60417A7-8E12-2B41-B2D3-B9919638350C}"/>
    <hyperlink ref="AA70" r:id="rId268" xr:uid="{EB6B2337-E3CA-D341-BE50-3C2449227D06}"/>
    <hyperlink ref="U71" r:id="rId269" xr:uid="{F3D2105D-2567-B546-AF30-2E44B7496B00}"/>
    <hyperlink ref="W71" r:id="rId270" xr:uid="{05F2D77F-E48E-EC4D-AA4F-CCB72D51521C}"/>
    <hyperlink ref="U72" r:id="rId271" xr:uid="{7576A494-23AD-6649-B1D5-07FF829C7241}"/>
    <hyperlink ref="W72" r:id="rId272" xr:uid="{8BC838CB-3486-E64A-BC01-799A5A89A4D1}"/>
    <hyperlink ref="AE70" r:id="rId273" location="v=onepage&amp;q&amp;f=false" xr:uid="{7F9C69D7-F9DA-864F-A0B5-BC5464C121C3}"/>
    <hyperlink ref="AG70" r:id="rId274" xr:uid="{5FD4A612-2DF9-A142-85D9-625BF4D44446}"/>
    <hyperlink ref="U101" r:id="rId275" xr:uid="{5B875436-01BF-D245-84B3-BB96F2388FD4}"/>
    <hyperlink ref="W97" r:id="rId276" xr:uid="{3B396C56-C9BB-7042-827B-D3BA89A95D61}"/>
    <hyperlink ref="Y97" r:id="rId277" xr:uid="{51B586F8-8C97-9649-A203-7FAC9F8C120C}"/>
    <hyperlink ref="AA97" r:id="rId278" xr:uid="{DB1A52A0-7005-0547-A9DB-DA25276D395E}"/>
    <hyperlink ref="AC97" r:id="rId279" xr:uid="{6DEA06E2-C615-B844-B6A2-6DEC06382565}"/>
    <hyperlink ref="U99" r:id="rId280" xr:uid="{68D072D1-B9EB-444C-864E-7205A2CC211C}"/>
    <hyperlink ref="W99" r:id="rId281" xr:uid="{E6EE3A6C-277E-2E4E-AE0D-649DC2908A24}"/>
    <hyperlink ref="U111" r:id="rId282" xr:uid="{4C1046D8-E60F-1C49-A97D-5374425DB72A}"/>
    <hyperlink ref="W111" r:id="rId283" xr:uid="{7DF2A09C-8B6A-8A40-90D6-D8AE9CB908B1}"/>
    <hyperlink ref="Y111" r:id="rId284" xr:uid="{2C9A8B32-A314-C049-AF00-EC7669AB77D3}"/>
    <hyperlink ref="AA111" r:id="rId285" xr:uid="{5C94D13D-71A9-8549-B8E4-CD11D6ACE3E8}"/>
    <hyperlink ref="U110" r:id="rId286" xr:uid="{3DCB6E46-A906-D64B-ADD8-A5EB8F00F7A0}"/>
    <hyperlink ref="W110" r:id="rId287" xr:uid="{6851E79D-F1CC-A14F-8563-649CF7E75E6A}"/>
    <hyperlink ref="Y110" r:id="rId288" xr:uid="{31047E6B-E1D1-2642-A658-1FB1F71FC1FA}"/>
    <hyperlink ref="AA110" r:id="rId289" xr:uid="{78DA29A4-C726-B940-A790-F733F5CAF374}"/>
    <hyperlink ref="U108" r:id="rId290" xr:uid="{B611AE4E-8AEC-2F44-824E-423465A1E372}"/>
    <hyperlink ref="U107" r:id="rId291" xr:uid="{B10A4B27-52BF-B944-8ECD-B954B6C94EEA}"/>
    <hyperlink ref="U109" r:id="rId292" xr:uid="{2C08C05F-C551-D643-959E-5111F244BC13}"/>
    <hyperlink ref="W107" r:id="rId293" xr:uid="{30E00DD6-8FBB-9F46-A7D9-73EEFEC1E27F}"/>
    <hyperlink ref="W108" r:id="rId294" xr:uid="{4D7C5482-37A6-E347-BB42-0AF950C2F32E}"/>
    <hyperlink ref="W106" r:id="rId295" xr:uid="{C3AE9D3C-4900-3949-92C3-45F8E50E29C3}"/>
    <hyperlink ref="W105" r:id="rId296" xr:uid="{CCFE38EA-80FF-9143-86F8-5924019ED1ED}"/>
    <hyperlink ref="U103" r:id="rId297" xr:uid="{7DD704E2-CF49-A64B-AF51-270EBC606BEB}"/>
    <hyperlink ref="W103" r:id="rId298" xr:uid="{1E3365A6-25B5-7943-9761-A5B31CC89CB0}"/>
    <hyperlink ref="Y103" r:id="rId299" xr:uid="{55D3113B-FBA5-9A48-AC67-436E802E2F42}"/>
    <hyperlink ref="U102" r:id="rId300" xr:uid="{51ADB36A-8CB0-AC47-9719-5750CA60FA2D}"/>
    <hyperlink ref="U100" r:id="rId301" xr:uid="{5E2D042D-E987-6A41-8841-05CC6F03AD53}"/>
    <hyperlink ref="W100" r:id="rId302" xr:uid="{532E0E06-E308-D743-B642-CD7173AA9900}"/>
    <hyperlink ref="Y100" r:id="rId303" xr:uid="{53FAD599-0C3B-EF4A-AA1D-3F937E2A43B6}"/>
    <hyperlink ref="Y99" r:id="rId304" xr:uid="{DEC538AE-2CBF-DD43-8DEE-DB0424E8A185}"/>
    <hyperlink ref="U98" r:id="rId305" xr:uid="{15FFC953-1B70-A440-9554-01C1EE7B7C8A}"/>
    <hyperlink ref="W98" r:id="rId306" xr:uid="{6C5F43CE-71C8-C246-8698-A30AAE19BF31}"/>
    <hyperlink ref="Y98" r:id="rId307" xr:uid="{5FB07672-9987-9C41-B4A9-16D2A1E97595}"/>
    <hyperlink ref="U96" r:id="rId308" xr:uid="{0949CBEA-7004-7149-A9CE-5B1371C7EDAE}"/>
    <hyperlink ref="W96" r:id="rId309" xr:uid="{229F0142-5869-C844-9960-107833626E3D}"/>
    <hyperlink ref="Y93" r:id="rId310" xr:uid="{30635C45-871D-A040-BDAA-F0FFB9B613B9}"/>
    <hyperlink ref="AA93" r:id="rId311" xr:uid="{187E2771-01A5-DD45-8402-C32301E1B6C0}"/>
    <hyperlink ref="U94" r:id="rId312" xr:uid="{16FF890C-E52D-AD49-949B-074402AA32DA}"/>
    <hyperlink ref="W94" r:id="rId313" xr:uid="{E7074CA1-C0C9-104A-8C2E-1B33CAA90465}"/>
    <hyperlink ref="U95" r:id="rId314" xr:uid="{1C7FABAB-790C-3448-A1B0-EDE3F0EBADBC}"/>
    <hyperlink ref="W95" r:id="rId315" xr:uid="{8625E29D-BA39-484C-A3A1-1D60554013A2}"/>
    <hyperlink ref="AE93" r:id="rId316" location="v=onepage&amp;q&amp;f=false" xr:uid="{42DA333A-C50D-4E4E-BB34-842F23EEAA2D}"/>
    <hyperlink ref="AG93" r:id="rId317" xr:uid="{512DD215-1ABA-DE49-9DD3-3D32A147B570}"/>
    <hyperlink ref="U123" r:id="rId318" xr:uid="{A35F2360-B94D-544F-8067-E54FE1A0AC9B}"/>
    <hyperlink ref="U121" r:id="rId319" xr:uid="{00A1BF30-ACCD-724D-B4BD-4AD80624B128}"/>
    <hyperlink ref="W121" r:id="rId320" xr:uid="{12672995-6456-E840-8049-A03082C606ED}"/>
    <hyperlink ref="U133" r:id="rId321" xr:uid="{72090C61-519B-3A4F-A24B-693370085805}"/>
    <hyperlink ref="W133" r:id="rId322" xr:uid="{FA0C64F1-5A6D-2142-B004-462951D2C80C}"/>
    <hyperlink ref="Y133" r:id="rId323" xr:uid="{317B249D-1424-2247-ADAA-F68E2397B49B}"/>
    <hyperlink ref="AA133" r:id="rId324" xr:uid="{48DD6E12-8E4F-6F41-BA8A-956A6E448F2E}"/>
    <hyperlink ref="U132" r:id="rId325" xr:uid="{84BEC572-57A4-7745-99F1-D2568A5A6055}"/>
    <hyperlink ref="W132" r:id="rId326" xr:uid="{CBA954E2-1A90-A54A-B0AC-DEB87CBE3D05}"/>
    <hyperlink ref="Y132" r:id="rId327" xr:uid="{A9AC9BC5-4194-B643-8BB1-916F01E52EAD}"/>
    <hyperlink ref="AA132" r:id="rId328" xr:uid="{9E95EA35-5BEC-1A40-80C4-1C240C9F18BD}"/>
    <hyperlink ref="U130" r:id="rId329" xr:uid="{21203A39-760E-0549-94C4-9A80A5BE2D17}"/>
    <hyperlink ref="U129" r:id="rId330" xr:uid="{2D8F27A0-0129-7044-A38C-DD076F9A72D7}"/>
    <hyperlink ref="U131" r:id="rId331" xr:uid="{CBA0FC4B-6241-B54E-B646-3DC5782B3AA4}"/>
    <hyperlink ref="W129" r:id="rId332" xr:uid="{E4608EFE-7453-4C4B-B00D-A0D18547C850}"/>
    <hyperlink ref="W130" r:id="rId333" xr:uid="{82F04383-F44E-DA49-9D6F-E03359B58047}"/>
    <hyperlink ref="W128" r:id="rId334" xr:uid="{E9EADC71-2560-9842-94B5-C93A6BC580B4}"/>
    <hyperlink ref="W127" r:id="rId335" xr:uid="{C53A6C20-5B23-514C-85F2-DFDB9581DA36}"/>
    <hyperlink ref="U125" r:id="rId336" xr:uid="{A23BFA31-FCF4-414D-9028-AA219B406AB5}"/>
    <hyperlink ref="W125" r:id="rId337" xr:uid="{91387DA4-A41D-7848-A9F7-56C6DD81A947}"/>
    <hyperlink ref="Y125" r:id="rId338" xr:uid="{F8768C65-C131-0344-8204-D3FE71D6B8EC}"/>
    <hyperlink ref="U124" r:id="rId339" xr:uid="{F1DA5621-409F-BB49-AB09-C4DE7AAEEFA9}"/>
    <hyperlink ref="U122" r:id="rId340" xr:uid="{1355E392-1D16-3045-97F4-F74AAC7A2D2F}"/>
    <hyperlink ref="W122" r:id="rId341" xr:uid="{EC9C7B7F-6238-CA40-88F1-769BBE1157A5}"/>
    <hyperlink ref="Y122" r:id="rId342" xr:uid="{FB252F24-AE13-574A-9EE2-583592FEE8D0}"/>
    <hyperlink ref="Y121" r:id="rId343" xr:uid="{585D96B3-EB3A-884A-B2B8-65DD2D69C001}"/>
    <hyperlink ref="U120" r:id="rId344" xr:uid="{741B2EE9-6CA2-A64E-86F2-B2AC77205441}"/>
    <hyperlink ref="W120" r:id="rId345" xr:uid="{601DC69A-8042-C34D-B29A-28AB884903E5}"/>
    <hyperlink ref="Y120" r:id="rId346" xr:uid="{8F79159B-F984-3745-962C-65E524A7DC21}"/>
    <hyperlink ref="U118" r:id="rId347" xr:uid="{21029C6D-8F8E-5349-883B-E9659FBF24E6}"/>
    <hyperlink ref="W118" r:id="rId348" xr:uid="{E5CA790C-8998-3A4B-807E-532E37658478}"/>
    <hyperlink ref="Y115" r:id="rId349" xr:uid="{A5B78010-8486-724D-81D4-74958AEDC32E}"/>
    <hyperlink ref="AA115" r:id="rId350" xr:uid="{5320BB66-C428-654D-81EE-B26DB5F3666E}"/>
    <hyperlink ref="U116" r:id="rId351" xr:uid="{94FCDD70-9A1B-904B-A3D3-139C98946D9B}"/>
    <hyperlink ref="W116" r:id="rId352" xr:uid="{C13C3901-8B47-2D42-9093-17005FA75250}"/>
    <hyperlink ref="U117" r:id="rId353" xr:uid="{C66A90E5-FDC8-0A4D-A7B7-A98659C40298}"/>
    <hyperlink ref="W117" r:id="rId354" xr:uid="{869C18BD-E241-BD42-8F69-E71A3F402B03}"/>
    <hyperlink ref="AE115" r:id="rId355" location="v=onepage&amp;q&amp;f=false" xr:uid="{1AEF1C69-CEC4-2449-90F1-0DA654FD285B}"/>
    <hyperlink ref="AG115" r:id="rId356" xr:uid="{5C67C52D-1576-C24A-9AC3-FFDC3423CD2D}"/>
    <hyperlink ref="U145" r:id="rId357" xr:uid="{26C8DCA0-9B4A-C743-9C92-BF41A8AE14E9}"/>
    <hyperlink ref="W141" r:id="rId358" xr:uid="{4A21DA15-269E-A54C-994F-B65E930CBC07}"/>
    <hyperlink ref="Y141" r:id="rId359" xr:uid="{FCEB05FA-476B-1147-8E04-2BF8BDC07A19}"/>
    <hyperlink ref="AA141" r:id="rId360" xr:uid="{40513638-7255-4148-8A8C-18CD55880BDD}"/>
    <hyperlink ref="AC141" r:id="rId361" xr:uid="{10D80FA6-151E-1248-A700-FE48EDAF37D1}"/>
    <hyperlink ref="U143" r:id="rId362" xr:uid="{8013902F-1E61-5F49-B4C1-C07156A6472C}"/>
    <hyperlink ref="W143" r:id="rId363" xr:uid="{9A6F01F3-DA44-6940-AEF7-B235205F0C62}"/>
    <hyperlink ref="U155" r:id="rId364" xr:uid="{9902AA2E-F450-8A43-A8AC-AD326D6EC928}"/>
    <hyperlink ref="W155" r:id="rId365" xr:uid="{0DA3C707-6438-C441-B29B-44BE62952F62}"/>
    <hyperlink ref="Y155" r:id="rId366" xr:uid="{88B798AA-6194-4647-B67D-63860DD0CE4D}"/>
    <hyperlink ref="AA155" r:id="rId367" xr:uid="{A5F0BE74-BEE4-6F45-8BC9-DA5EB41F084E}"/>
    <hyperlink ref="U154" r:id="rId368" xr:uid="{1F419F3E-01A2-0E40-8544-69FA57124F30}"/>
    <hyperlink ref="W154" r:id="rId369" xr:uid="{F4CE9DD8-02C6-B045-9B1C-DEB8F945EB41}"/>
    <hyperlink ref="Y154" r:id="rId370" xr:uid="{FD6E8641-43AB-EB4C-A48F-C51113EDC260}"/>
    <hyperlink ref="AA154" r:id="rId371" xr:uid="{A7D6DC2A-C3CC-A448-AB48-8E8431324A85}"/>
    <hyperlink ref="U152" r:id="rId372" xr:uid="{95F26632-AE8A-F54A-965A-2296E314AF89}"/>
    <hyperlink ref="U151" r:id="rId373" xr:uid="{6A1C37F6-5D8D-D140-B2D2-C21F8392D46F}"/>
    <hyperlink ref="U153" r:id="rId374" xr:uid="{9E973814-3B0C-1F41-8E54-201205E2D084}"/>
    <hyperlink ref="W151" r:id="rId375" xr:uid="{6A706CCF-DAB3-8744-9B1F-A53FE9BC7043}"/>
    <hyperlink ref="W152" r:id="rId376" xr:uid="{0989597F-E5CD-EC49-BD7F-ACAFF554901C}"/>
    <hyperlink ref="W150" r:id="rId377" xr:uid="{B6A91525-38FA-9740-BF44-DFC1AC3DB8A5}"/>
    <hyperlink ref="W149" r:id="rId378" xr:uid="{36B78395-FA73-C244-8F5D-A6B8856F3094}"/>
    <hyperlink ref="U147" r:id="rId379" xr:uid="{CADDB73C-2B73-364B-BED4-31A8350C1166}"/>
    <hyperlink ref="W147" r:id="rId380" xr:uid="{06EF4307-3ACD-BB42-8E30-A195C7ABF020}"/>
    <hyperlink ref="Y147" r:id="rId381" xr:uid="{EB17F0A6-5891-A249-90CD-C5ED210153D7}"/>
    <hyperlink ref="U146" r:id="rId382" xr:uid="{47D43F04-8711-AA47-B912-F4DB7F1FF1E0}"/>
    <hyperlink ref="U144" r:id="rId383" xr:uid="{7E54186B-E6BE-7546-B670-3361A0AB19CC}"/>
    <hyperlink ref="W144" r:id="rId384" xr:uid="{E7AD4958-4778-B643-8535-2A0AA6F0C42A}"/>
    <hyperlink ref="Y144" r:id="rId385" xr:uid="{476C2A8A-9CC0-C64D-AF51-7A90807B9331}"/>
    <hyperlink ref="Y143" r:id="rId386" xr:uid="{09471CC6-C63F-BD47-A343-8FA40E5C880B}"/>
    <hyperlink ref="U142" r:id="rId387" xr:uid="{3187C9BE-4F0D-BE4C-9F90-6206808DDC3D}"/>
    <hyperlink ref="W142" r:id="rId388" xr:uid="{4C75CB51-3FDD-E341-BA4A-D09AAA6F77EB}"/>
    <hyperlink ref="Y142" r:id="rId389" xr:uid="{00AF609D-91D4-BA40-A789-0240EB03B134}"/>
    <hyperlink ref="U140" r:id="rId390" xr:uid="{1E53D7E6-B1B2-B848-9235-160E327C9D51}"/>
    <hyperlink ref="W140" r:id="rId391" xr:uid="{28C8F3A9-135E-D948-9DBF-90FC64ED6526}"/>
    <hyperlink ref="Y137" r:id="rId392" xr:uid="{B9C15941-D823-4144-BB5B-F572D7E4FB1A}"/>
    <hyperlink ref="AA137" r:id="rId393" xr:uid="{5A3E4043-0E69-BD4B-B979-5CB8B0BC41AB}"/>
    <hyperlink ref="U138" r:id="rId394" xr:uid="{9BC2C305-0F0B-494E-A71D-FDB951BD995F}"/>
    <hyperlink ref="W138" r:id="rId395" xr:uid="{35958727-BFB1-F44B-A5C3-1BF801A82EAE}"/>
    <hyperlink ref="U139" r:id="rId396" xr:uid="{F926CB83-A6A4-FA4E-833F-00618C2F375E}"/>
    <hyperlink ref="W139" r:id="rId397" xr:uid="{45A49125-A278-5F45-80D3-B0A64FED3D3D}"/>
    <hyperlink ref="AE137" r:id="rId398" location="v=onepage&amp;q&amp;f=false" xr:uid="{ABDB73B0-EF7F-B542-8238-6E9FF6461933}"/>
    <hyperlink ref="AG137" r:id="rId399" xr:uid="{28921F7A-E175-C642-A9B6-79340185F55A}"/>
    <hyperlink ref="U167" r:id="rId400" xr:uid="{9F6A44D6-AB17-454B-8A7C-CFBFDE8D2A9B}"/>
    <hyperlink ref="W163" r:id="rId401" xr:uid="{43A81225-8003-674B-8975-D6CEF43277BC}"/>
    <hyperlink ref="Y163" r:id="rId402" xr:uid="{FF426358-ADFA-7045-B9C4-C3B8DC697CB8}"/>
    <hyperlink ref="AA163" r:id="rId403" xr:uid="{73A9A502-315F-B941-92A8-956CCD845D20}"/>
    <hyperlink ref="AC163" r:id="rId404" xr:uid="{A0E455DD-A5B6-5C47-9468-8467E751D002}"/>
    <hyperlink ref="U165" r:id="rId405" xr:uid="{AC6E43E5-5719-7B4F-8E97-2F602453CB42}"/>
    <hyperlink ref="W165" r:id="rId406" xr:uid="{D45745D4-7479-DE44-AFB5-559F1C5CE8DA}"/>
    <hyperlink ref="U177" r:id="rId407" xr:uid="{A3C3E857-0483-C546-B770-E69638B47521}"/>
    <hyperlink ref="W177" r:id="rId408" xr:uid="{A689546B-4280-EE4B-AC73-D070BDF9A1DB}"/>
    <hyperlink ref="Y177" r:id="rId409" xr:uid="{12D34C69-83E2-894B-82AE-153753D354DE}"/>
    <hyperlink ref="AA177" r:id="rId410" xr:uid="{32C2D787-DC9F-4741-BE36-0A86D828D065}"/>
    <hyperlink ref="U176" r:id="rId411" xr:uid="{C63420F2-41B0-7143-94E9-9831D652D56E}"/>
    <hyperlink ref="W176" r:id="rId412" xr:uid="{5C016B50-19B9-7D44-9AD4-5C618A2C7FE9}"/>
    <hyperlink ref="Y176" r:id="rId413" xr:uid="{62829DDF-7EFE-9F4E-9570-5415D0363B01}"/>
    <hyperlink ref="AA176" r:id="rId414" xr:uid="{53188E47-2DC3-E041-B6C9-57AF4ED45861}"/>
    <hyperlink ref="U174" r:id="rId415" xr:uid="{39CFB4D7-B068-9548-905E-AC7725EE8303}"/>
    <hyperlink ref="U173" r:id="rId416" xr:uid="{6C270ECA-ADBF-A44A-B985-C7578E1DB272}"/>
    <hyperlink ref="U175" r:id="rId417" xr:uid="{75F3761E-95F8-0F47-948F-8DFF9702D7CF}"/>
    <hyperlink ref="W173" r:id="rId418" xr:uid="{024DEF1C-05F1-F449-803C-0AF9812E0442}"/>
    <hyperlink ref="W174" r:id="rId419" xr:uid="{3E8AEE15-3FE4-D840-AFFF-40F5B02E7DE9}"/>
    <hyperlink ref="W172" r:id="rId420" xr:uid="{39F7BC29-D6DE-0B44-80AB-C8E5BEDF8A3A}"/>
    <hyperlink ref="W171" r:id="rId421" xr:uid="{48924434-51BD-5A4C-9343-83AEED36807C}"/>
    <hyperlink ref="U169" r:id="rId422" xr:uid="{863BF563-FE27-0D45-8479-16EB941629F3}"/>
    <hyperlink ref="W169" r:id="rId423" xr:uid="{258CEADF-3E57-1740-9112-60C2ED9E6645}"/>
    <hyperlink ref="Y169" r:id="rId424" xr:uid="{BF734626-895D-AD4C-AE56-264F15EA9B61}"/>
    <hyperlink ref="U168" r:id="rId425" xr:uid="{51D5CA2B-47AA-2743-8BDD-D359C2A3BAB6}"/>
    <hyperlink ref="U166" r:id="rId426" xr:uid="{2B3F870F-3D98-034F-9F9E-2C3E587232B5}"/>
    <hyperlink ref="W166" r:id="rId427" xr:uid="{A313ECA1-D3B8-484E-8138-2915CA10C433}"/>
    <hyperlink ref="Y166" r:id="rId428" xr:uid="{E95FF426-E66D-7B4B-B618-AA0483CDCA8D}"/>
    <hyperlink ref="Y165" r:id="rId429" xr:uid="{E9FAA1CA-E709-9942-833A-445880C2B943}"/>
    <hyperlink ref="U164" r:id="rId430" xr:uid="{CCA2E367-3954-D848-A99A-915DC9BD78A3}"/>
    <hyperlink ref="W164" r:id="rId431" xr:uid="{055B0021-1120-D044-BDD9-5776484A4ECF}"/>
    <hyperlink ref="Y164" r:id="rId432" xr:uid="{C0D3FA3B-813B-5140-810E-CAB8AA0C5B81}"/>
    <hyperlink ref="U162" r:id="rId433" xr:uid="{455E7301-7EB5-F544-81B4-8E059E5976E7}"/>
    <hyperlink ref="W162" r:id="rId434" xr:uid="{EE1A0285-ED10-B64F-84EC-856717FB8DDF}"/>
    <hyperlink ref="Y159" r:id="rId435" xr:uid="{BC8E0C6A-C00B-D641-90A6-2F662126D81A}"/>
    <hyperlink ref="AA159" r:id="rId436" xr:uid="{DAB9D685-C8DB-2C49-8242-4682CFD275DA}"/>
    <hyperlink ref="U160" r:id="rId437" xr:uid="{E659C583-1C38-374F-A8FD-08ADFD4808E6}"/>
    <hyperlink ref="W160" r:id="rId438" xr:uid="{274DB4AD-906C-C947-8F44-AC032DC9E615}"/>
    <hyperlink ref="U161" r:id="rId439" xr:uid="{AA697E46-0BDB-104B-825D-38642B4B2880}"/>
    <hyperlink ref="W161" r:id="rId440" xr:uid="{53518FB3-6151-9C42-B8EF-B7B5E30132DF}"/>
    <hyperlink ref="AE159" r:id="rId441" location="v=onepage&amp;q&amp;f=false" xr:uid="{C1BA6E8F-FDE4-7643-95DE-5A5236E7C197}"/>
    <hyperlink ref="AG159" r:id="rId442" xr:uid="{2DFB737A-CC88-CC46-86B8-38E5A3CD777F}"/>
    <hyperlink ref="U189" r:id="rId443" xr:uid="{FA9E3FDB-72AD-594C-9123-AF4FD84DC717}"/>
    <hyperlink ref="W185" r:id="rId444" xr:uid="{761272CA-CD3C-694D-A642-286654BC83AA}"/>
    <hyperlink ref="Y185" r:id="rId445" xr:uid="{BD2EFB0C-4F59-DB42-9A33-B29C34258B41}"/>
    <hyperlink ref="AA185" r:id="rId446" xr:uid="{BF3AF010-17EF-E74D-A5A6-0B18CF1870BB}"/>
    <hyperlink ref="AC185" r:id="rId447" xr:uid="{91F1D8D5-00EF-2D4A-8FC4-E8E51EAF332E}"/>
    <hyperlink ref="U187" r:id="rId448" xr:uid="{E55C653E-531A-3742-B366-CA7D91FE8067}"/>
    <hyperlink ref="W187" r:id="rId449" xr:uid="{3FAD44A7-1C0B-904D-966F-8E971C83CC95}"/>
    <hyperlink ref="U200" r:id="rId450" xr:uid="{4CB5E212-8268-CD4E-9ACD-FA42908515D0}"/>
    <hyperlink ref="W200" r:id="rId451" xr:uid="{37805CE2-FFF9-084F-93B9-6701E7AA2B50}"/>
    <hyperlink ref="Y200" r:id="rId452" xr:uid="{269B84DA-2E65-1043-8CB4-72DE2C614A61}"/>
    <hyperlink ref="AA200" r:id="rId453" xr:uid="{2BE548D3-DFEC-D648-B435-F1DC2F6C7313}"/>
    <hyperlink ref="U199" r:id="rId454" xr:uid="{FE40CEF0-7B4D-4E44-88D5-C6887D5F1CC8}"/>
    <hyperlink ref="W199" r:id="rId455" xr:uid="{92B0CD97-FB9D-B544-BEC8-D5EFED3F7B71}"/>
    <hyperlink ref="Y199" r:id="rId456" xr:uid="{88AEF49F-45FD-F942-B851-847A83005B71}"/>
    <hyperlink ref="AA199" r:id="rId457" xr:uid="{84CF0D92-0896-4741-B7F4-D82648F4C50B}"/>
    <hyperlink ref="U197" r:id="rId458" xr:uid="{5994467A-E1A9-044E-973C-8111254217F1}"/>
    <hyperlink ref="U196" r:id="rId459" xr:uid="{2325895A-EFA0-414B-B42B-4DEF3E8342FE}"/>
    <hyperlink ref="U198" r:id="rId460" xr:uid="{3E484CBB-34FC-814B-BBFC-53952EDAE3E1}"/>
    <hyperlink ref="W196" r:id="rId461" xr:uid="{E306636B-43B8-DD45-854C-407F6976680B}"/>
    <hyperlink ref="W197" r:id="rId462" xr:uid="{5F756E25-477E-604B-A524-2A5BD5198201}"/>
    <hyperlink ref="W194" r:id="rId463" xr:uid="{F4B35275-B55C-E343-BCBD-93C8E999B4DC}"/>
    <hyperlink ref="W193" r:id="rId464" xr:uid="{87D4C02E-8B5C-8649-8FA2-D8BA80F19580}"/>
    <hyperlink ref="U191" r:id="rId465" xr:uid="{D5148A9B-AC44-FC4F-903D-BDB5733DD6D6}"/>
    <hyperlink ref="W191" r:id="rId466" xr:uid="{0F565868-DC7D-174C-B7E1-4A11D0B34C1A}"/>
    <hyperlink ref="Y191" r:id="rId467" xr:uid="{2A0D0A0E-1AC3-7946-912B-F4219507F58A}"/>
    <hyperlink ref="U190" r:id="rId468" xr:uid="{F04A86BD-8CD8-6B4A-963C-12215C56FE1E}"/>
    <hyperlink ref="U188" r:id="rId469" xr:uid="{477D0E0D-F40D-E540-8311-7D9701E05202}"/>
    <hyperlink ref="W188" r:id="rId470" xr:uid="{B957D16D-ECA7-DE4F-8D6C-9C274A9B54C3}"/>
    <hyperlink ref="Y188" r:id="rId471" xr:uid="{4424C522-8C13-FC4D-9C3E-A2E567ECA8A6}"/>
    <hyperlink ref="Y187" r:id="rId472" xr:uid="{863E74E7-E1E1-344C-B734-1A73046EC7DB}"/>
    <hyperlink ref="U186" r:id="rId473" xr:uid="{E2355843-5666-184E-B01A-0A020A89A1CB}"/>
    <hyperlink ref="W186" r:id="rId474" xr:uid="{EDAD82C3-2192-2C44-B67A-7A5D029FE5F0}"/>
    <hyperlink ref="Y186" r:id="rId475" xr:uid="{E166E5B4-B058-3842-8D3F-300C69CF9FD9}"/>
    <hyperlink ref="U184" r:id="rId476" xr:uid="{60E2797B-62BF-9D47-AAD1-2A4F93BBFBA3}"/>
    <hyperlink ref="W184" r:id="rId477" xr:uid="{512077B9-029A-F049-ABFA-859627F53F76}"/>
    <hyperlink ref="Y181" r:id="rId478" xr:uid="{E7881B41-DE00-BA45-9EBA-31F1655DE1A9}"/>
    <hyperlink ref="AA181" r:id="rId479" xr:uid="{F8587F77-2388-7F44-983E-11104FBABA6F}"/>
    <hyperlink ref="U182" r:id="rId480" xr:uid="{53DBCBC9-0E93-BD40-BCF1-2885C6D54B41}"/>
    <hyperlink ref="W182" r:id="rId481" xr:uid="{3F67227E-97C2-8345-AD9D-9AC09C7A6A39}"/>
    <hyperlink ref="U183" r:id="rId482" xr:uid="{6FA24735-7641-AE42-A4DF-38F049713743}"/>
    <hyperlink ref="W183" r:id="rId483" xr:uid="{AE6CFA13-9FC7-C849-83FB-E7D2E902E296}"/>
    <hyperlink ref="AE181" r:id="rId484" location="v=onepage&amp;q&amp;f=false" xr:uid="{923FC623-E79B-B440-827A-2EFF052E2E8E}"/>
    <hyperlink ref="AG181" r:id="rId485" xr:uid="{23EF47AC-BBAD-2B4C-AB62-FC024B62D2B2}"/>
    <hyperlink ref="U90" r:id="rId486" xr:uid="{4ABB6DE3-021B-F347-B8A8-0C9EABDCB98C}"/>
    <hyperlink ref="W90" r:id="rId487" xr:uid="{82C497C9-0EBE-D742-A303-914B230D738F}"/>
    <hyperlink ref="Y90" r:id="rId488" xr:uid="{2FAE5BCB-3674-4648-88F1-5E9CAA2B1C60}"/>
    <hyperlink ref="U89" r:id="rId489" xr:uid="{7601DFA8-A94C-4C41-8B6F-88B0373D5A49}"/>
    <hyperlink ref="W89" r:id="rId490" xr:uid="{EED3418D-02CD-C74A-8AD1-21A4DC4FA142}"/>
    <hyperlink ref="Y89" r:id="rId491" xr:uid="{A45F2F71-5D1B-F840-A269-F316A997DD75}"/>
    <hyperlink ref="U796" r:id="rId492" xr:uid="{78F07F24-C7EF-204F-AF9B-08D8CE7865BF}"/>
    <hyperlink ref="U791" r:id="rId493" xr:uid="{64DA6B4C-656B-8546-9876-559983E118D1}"/>
    <hyperlink ref="U792" r:id="rId494" xr:uid="{ABC1BC7D-B894-9841-9B60-D130E80B5945}"/>
    <hyperlink ref="U793" r:id="rId495" xr:uid="{6C113364-69FA-2842-8AE4-2569B0DAF649}"/>
    <hyperlink ref="U794" r:id="rId496" xr:uid="{39D87B48-2AB6-8B40-9D98-4F2A6B5DB98A}"/>
    <hyperlink ref="U795" r:id="rId497" xr:uid="{C5357C7D-4EE9-4C46-9EC3-E9BE2DBFAF51}"/>
    <hyperlink ref="U789" r:id="rId498" xr:uid="{B8E02357-E86E-E04F-B26C-B45D2702A81D}"/>
    <hyperlink ref="U787" r:id="rId499" xr:uid="{10B54852-5497-8E49-A3B0-14E3E6BC3843}"/>
    <hyperlink ref="U785" r:id="rId500" xr:uid="{935D9278-9D5C-294C-8207-991CF992A082}"/>
    <hyperlink ref="U784" r:id="rId501" xr:uid="{DA1A5000-34BD-8649-8D2B-47C2D0CD16E8}"/>
    <hyperlink ref="U780" r:id="rId502" xr:uid="{1DDF6EE9-BA62-224A-A17D-0EC2BCFDC057}"/>
    <hyperlink ref="U778" r:id="rId503" xr:uid="{09394F97-5042-174B-813E-C1B362FAF23E}"/>
    <hyperlink ref="U777" r:id="rId504" xr:uid="{7DB5130B-3D22-A64E-AE38-23817071505B}"/>
    <hyperlink ref="U776" r:id="rId505" xr:uid="{DA695CAE-2B48-5846-B87A-B1C438ED271C}"/>
    <hyperlink ref="U775" r:id="rId506" xr:uid="{63C53F5D-2F57-8148-95BB-B7FF32F5D9BF}"/>
    <hyperlink ref="U774" r:id="rId507" xr:uid="{C33B7C6A-0DF7-0848-A84C-D6F77D3AF69A}"/>
    <hyperlink ref="U773" r:id="rId508" xr:uid="{EBB4641C-BDF0-674F-A87A-577790F6BDBE}"/>
    <hyperlink ref="U771" r:id="rId509" xr:uid="{CD9EA77B-3DB8-AD40-9771-FE0ECCEA56F8}"/>
    <hyperlink ref="U770" r:id="rId510" xr:uid="{B202176C-7917-D249-ADA4-DEF5883BCA4C}"/>
    <hyperlink ref="U759" r:id="rId511" xr:uid="{8D8D4C08-2951-C348-A7A3-87F9F9CA0AF4}"/>
    <hyperlink ref="W759" r:id="rId512" xr:uid="{A7B09106-F36C-A84D-9091-FFD06877F2B9}"/>
    <hyperlink ref="U742" r:id="rId513" xr:uid="{CE39B528-8E95-D94A-8F40-AE020558F289}"/>
    <hyperlink ref="W742" r:id="rId514" xr:uid="{2448FE03-9F0C-6B46-8446-E95885418700}"/>
    <hyperlink ref="U739" r:id="rId515" xr:uid="{C1A4317B-A096-C549-AC87-D5D23CD55CC1}"/>
    <hyperlink ref="W739" r:id="rId516" xr:uid="{442DAD08-3939-9D4C-A98F-4F7B9EE74361}"/>
    <hyperlink ref="U715" r:id="rId517" xr:uid="{5E7CCDBC-4D44-6E45-9CCA-F61C1C82A483}"/>
    <hyperlink ref="W715" r:id="rId518" xr:uid="{77DFFF34-A6A3-A946-8D9A-91BB4FC2832A}"/>
    <hyperlink ref="U685" r:id="rId519" xr:uid="{A3936BFD-5FD6-C14C-96D6-3586B9B39B2F}"/>
    <hyperlink ref="W685" r:id="rId520" xr:uid="{618305A9-C2C8-ED4A-B090-2824EBFF4F51}"/>
    <hyperlink ref="U679" r:id="rId521" xr:uid="{1F21E25A-2CE4-0C4F-88A8-E06A26398DA5}"/>
    <hyperlink ref="W679" r:id="rId522" xr:uid="{FBBE6832-0F98-ED48-8D9A-A58832F0476D}"/>
    <hyperlink ref="U646" r:id="rId523" xr:uid="{1D47777D-1988-C54A-887E-555B2A16C254}"/>
    <hyperlink ref="W646" r:id="rId524" xr:uid="{487EA346-09E2-0F41-9945-A72A015245DB}"/>
    <hyperlink ref="Y646" r:id="rId525" xr:uid="{9CA3456B-8D50-7A42-B655-C99A93BE6682}"/>
    <hyperlink ref="AA646" r:id="rId526" xr:uid="{82ADD265-D595-4046-A42B-BE91769EC70C}"/>
    <hyperlink ref="U645" r:id="rId527" xr:uid="{FE1B33B7-B885-394F-923B-948FB05356A9}"/>
    <hyperlink ref="W645" r:id="rId528" xr:uid="{3C91F896-A4A8-E94B-97B6-683DEDA85D5F}"/>
    <hyperlink ref="Y645" r:id="rId529" xr:uid="{689B2C2B-7CA7-9148-9A16-E1C06209BEDF}"/>
    <hyperlink ref="AA645" r:id="rId530" xr:uid="{D8A76293-09AC-3E46-B900-C09D43504F18}"/>
    <hyperlink ref="U790" r:id="rId531" xr:uid="{E1D92AB6-2FC9-C148-9C34-94614E466424}"/>
    <hyperlink ref="W790" r:id="rId532" xr:uid="{AFFA3C2A-9210-5A43-8A86-070D463A429C}"/>
    <hyperlink ref="U788" r:id="rId533" xr:uid="{2A889C34-72BD-B04D-932F-20EF6EC357C6}"/>
    <hyperlink ref="W788" r:id="rId534" xr:uid="{A5867BB1-C6E4-9846-A8F1-C7FF1CBEF8A1}"/>
    <hyperlink ref="U786" r:id="rId535" xr:uid="{6E7167AE-2AE9-374D-9EA1-7EF1E7A81E0C}"/>
    <hyperlink ref="W786" r:id="rId536" xr:uid="{478B59A1-974B-5041-8385-523FE046D966}"/>
    <hyperlink ref="U764" r:id="rId537" xr:uid="{B6A50B41-2FDB-0344-A72D-FF511979F42B}"/>
    <hyperlink ref="W764" r:id="rId538" xr:uid="{0A03EF7F-FBB8-F049-AC15-105A83924F09}"/>
    <hyperlink ref="U765" r:id="rId539" xr:uid="{3C338199-BA60-8844-A605-649FB3BD5004}"/>
    <hyperlink ref="W765" r:id="rId540" xr:uid="{9B3AFA23-0F7C-1C4E-8238-F9A1A9A4BE74}"/>
    <hyperlink ref="U735" r:id="rId541" xr:uid="{69787FAF-2074-3B49-9B2D-B60AADCA8403}"/>
    <hyperlink ref="W735" r:id="rId542" xr:uid="{994F3011-6087-CB4F-AFAD-912262BFF16C}"/>
    <hyperlink ref="U728" r:id="rId543" xr:uid="{6118CB60-D9DF-8147-852B-116C16D6F2AA}"/>
    <hyperlink ref="W728" r:id="rId544" xr:uid="{DD7E16E0-483A-DA4B-86B9-8D589BCCDE99}"/>
    <hyperlink ref="U720" r:id="rId545" xr:uid="{04288FF6-7A06-5A4C-933D-5DEDBDFDD556}"/>
    <hyperlink ref="W720" r:id="rId546" xr:uid="{8510E230-2987-0E4F-A01E-5825F4F89ACD}"/>
    <hyperlink ref="U714" r:id="rId547" xr:uid="{84BA95DB-EAA0-254F-890D-906258B58B5F}"/>
    <hyperlink ref="W714" r:id="rId548" xr:uid="{C49E9E8A-9482-9F4A-924F-C9B09DE65A73}"/>
    <hyperlink ref="U702" r:id="rId549" xr:uid="{05CC1C75-40F3-EA42-A3D1-39E8575AA7F3}"/>
    <hyperlink ref="W702" r:id="rId550" xr:uid="{0841ACDA-72D8-7147-A6AE-8F2A5F8C2D9F}"/>
    <hyperlink ref="U686" r:id="rId551" xr:uid="{833F3B00-186A-8243-A8E6-EFFF797CE0D1}"/>
    <hyperlink ref="W686" r:id="rId552" xr:uid="{BC7CB906-4FA9-F74F-AB5E-4DE28C042362}"/>
    <hyperlink ref="U680" r:id="rId553" xr:uid="{F787E220-DB29-3148-92B3-DEB155B7445A}"/>
    <hyperlink ref="W680" r:id="rId554" xr:uid="{FA0528F1-451F-8C4B-832A-7AAD02610E5D}"/>
    <hyperlink ref="U674" r:id="rId555" xr:uid="{16A0F83E-EC46-6841-8804-CF6DB6196979}"/>
    <hyperlink ref="W674" r:id="rId556" xr:uid="{11FF9FC9-AF2E-6C43-9127-3D09F734CE3C}"/>
    <hyperlink ref="W783" r:id="rId557" xr:uid="{868F5DCE-A3C1-584D-92CB-0D25CA5E80F2}"/>
    <hyperlink ref="Y783" r:id="rId558" xr:uid="{3FABFC4B-0B37-A344-BBC4-A383157613B3}"/>
    <hyperlink ref="AA783" r:id="rId559" xr:uid="{12592223-F310-FF4D-96B7-08045C4F7998}"/>
    <hyperlink ref="W633" r:id="rId560" xr:uid="{C5D5A423-F7FB-214D-A382-3AA5C452FCC3}"/>
    <hyperlink ref="Y633" r:id="rId561" xr:uid="{02999B30-6B03-BD48-9E46-4E4ADAE08414}"/>
    <hyperlink ref="AA633" r:id="rId562" xr:uid="{6C45BA73-2675-BD46-A5FC-BEEA3D4F97B3}"/>
    <hyperlink ref="W782" r:id="rId563" xr:uid="{5F5C8140-76D5-BC47-B656-A4E68CBE533F}"/>
    <hyperlink ref="U782" r:id="rId564" xr:uid="{62BA5412-EE4F-C04C-891A-44308A3918D9}"/>
    <hyperlink ref="U783" r:id="rId565" xr:uid="{53D9B4D0-591B-6641-A39A-5417B96A8B87}"/>
    <hyperlink ref="W753" r:id="rId566" xr:uid="{F9534068-8188-CA46-9B9F-DB7A2BC4F187}"/>
    <hyperlink ref="U753" r:id="rId567" xr:uid="{771FD91A-D4F3-4349-90C2-A51D4CA6B744}"/>
    <hyperlink ref="W747" r:id="rId568" xr:uid="{6D870021-A08C-574D-8962-5189EEA51B04}"/>
    <hyperlink ref="U747" r:id="rId569" xr:uid="{6E421F5A-91C3-F44E-B9EC-5567D91B5C9D}"/>
    <hyperlink ref="W741" r:id="rId570" xr:uid="{46281D74-2886-434A-8667-2AA822D6B8FC}"/>
    <hyperlink ref="U741" r:id="rId571" xr:uid="{3EA66F61-3247-7640-AE75-22AA91165CA2}"/>
    <hyperlink ref="W736" r:id="rId572" xr:uid="{2AC935DB-8DFA-7F4E-B167-5CFEC42983D2}"/>
    <hyperlink ref="U736" r:id="rId573" xr:uid="{72FAFC33-588D-DA47-8B06-39ED9875D6B1}"/>
    <hyperlink ref="W737" r:id="rId574" xr:uid="{FF51883B-B148-2B49-BCF8-EB07CA0099E7}"/>
    <hyperlink ref="U737" r:id="rId575" xr:uid="{0BA27B93-7E43-2E42-9E52-82853EF21358}"/>
    <hyperlink ref="W738" r:id="rId576" xr:uid="{F83FF9AD-C727-134D-87A5-157DEC643A7E}"/>
    <hyperlink ref="U738" r:id="rId577" xr:uid="{0E2BC5F2-FFD1-0544-9FA7-9CD5E3CF0D4C}"/>
    <hyperlink ref="W734" r:id="rId578" xr:uid="{606BDC69-5D49-A04C-AFE1-FFDCC1CE9920}"/>
    <hyperlink ref="U734" r:id="rId579" xr:uid="{4CF5EF80-1A2F-974A-8412-2B6CEC447271}"/>
    <hyperlink ref="W727" r:id="rId580" xr:uid="{7D7FFFC4-21BE-5349-A3EC-13341AEB25F6}"/>
    <hyperlink ref="U727" r:id="rId581" xr:uid="{DC2AD17D-26C5-FF43-8C8B-51454DE048EE}"/>
    <hyperlink ref="W721" r:id="rId582" xr:uid="{C982C8C4-AE8E-404E-8354-D117910177F6}"/>
    <hyperlink ref="U721" r:id="rId583" xr:uid="{660B3C59-7853-E44B-A6A3-4708AA1B0D07}"/>
    <hyperlink ref="W713" r:id="rId584" xr:uid="{B4951674-36A8-5044-B809-724B426D5070}"/>
    <hyperlink ref="U713" r:id="rId585" xr:uid="{324CD646-4065-F946-BA32-BC63354BB85C}"/>
    <hyperlink ref="W708" r:id="rId586" xr:uid="{2D8502E0-BC14-F142-968F-5C31110E45FB}"/>
    <hyperlink ref="U708" r:id="rId587" xr:uid="{F257C8E8-7D6E-B442-B186-96366CFC05C4}"/>
    <hyperlink ref="W701" r:id="rId588" xr:uid="{C6AE03A0-E27B-5048-86CC-73141501D2AB}"/>
    <hyperlink ref="U701" r:id="rId589" xr:uid="{322765D7-419B-F04A-9124-5087E06DBD47}"/>
    <hyperlink ref="W691" r:id="rId590" xr:uid="{872F93BA-C6BF-2E43-8073-739A7E7A36B7}"/>
    <hyperlink ref="U691" r:id="rId591" xr:uid="{BA86466B-3A28-7540-A56D-B508B29B6D74}"/>
    <hyperlink ref="W625" r:id="rId592" xr:uid="{E2F2C2E1-BF61-F24B-B460-2439C3D73962}"/>
    <hyperlink ref="U625" r:id="rId593" xr:uid="{026641F5-2D19-A346-AA5A-D07AF5485E4E}"/>
    <hyperlink ref="W626" r:id="rId594" xr:uid="{F578D761-CE1A-8548-8158-961B2622AFA3}"/>
    <hyperlink ref="U626" r:id="rId595" xr:uid="{2124E93C-67EA-E644-8DDA-0A3967FAFAB2}"/>
    <hyperlink ref="W627" r:id="rId596" xr:uid="{0F3D4B04-4AE4-D349-A62E-647528171317}"/>
    <hyperlink ref="W628" r:id="rId597" xr:uid="{9021624B-10D6-C347-9409-3CC4AF16B6B3}"/>
    <hyperlink ref="W629" r:id="rId598" xr:uid="{8068D883-1D3F-C040-9811-AA6D820E5693}"/>
    <hyperlink ref="W630" r:id="rId599" xr:uid="{2C792814-4A98-144A-BE76-66B61C3DDFC2}"/>
    <hyperlink ref="U627" r:id="rId600" xr:uid="{9519A2EC-3410-C643-90CA-079153238C3C}"/>
    <hyperlink ref="U628" r:id="rId601" xr:uid="{F4146272-2F7A-054B-BB1A-F0C442897F62}"/>
    <hyperlink ref="U629" r:id="rId602" xr:uid="{29F60A97-5F3F-8744-BC76-1BDBF4BF6886}"/>
    <hyperlink ref="U630" r:id="rId603" xr:uid="{FD9CFD46-E9F5-4540-9ADA-0C95EDB32196}"/>
    <hyperlink ref="U748" r:id="rId604" xr:uid="{8EA9AC0A-ABDA-C347-9916-ECED6724F5DE}"/>
    <hyperlink ref="U729" r:id="rId605" xr:uid="{41807003-BEA3-DF43-B529-176D2A53514B}"/>
    <hyperlink ref="U722" r:id="rId606" xr:uid="{3E8F624D-7093-1C4E-B3A6-0777CD484B50}"/>
    <hyperlink ref="U703" r:id="rId607" xr:uid="{A055CBEC-FA35-D449-8AB9-1C5B43832AA0}"/>
    <hyperlink ref="U716" r:id="rId608" xr:uid="{A9FA2388-A10C-7946-9F11-866244882F56}"/>
    <hyperlink ref="U696" r:id="rId609" xr:uid="{FA1BA75B-3EB9-6B4E-9CB5-5793EAA54BDD}"/>
    <hyperlink ref="U681" r:id="rId610" xr:uid="{73201D3D-DFE4-3048-B433-91A70CF42FFC}"/>
    <hyperlink ref="U669" r:id="rId611" xr:uid="{925C9924-9DBE-EA43-B033-8B009F3BB8C4}"/>
    <hyperlink ref="U664" r:id="rId612" xr:uid="{AECAFD00-214E-F14D-9512-EAB1022CF049}"/>
    <hyperlink ref="U659" r:id="rId613" xr:uid="{4111A3FA-34E0-E14C-8E56-44D09A90A240}"/>
    <hyperlink ref="U654" r:id="rId614" xr:uid="{2A29278E-FA4E-0C40-92A3-764BF82C6382}"/>
    <hyperlink ref="U648" r:id="rId615" xr:uid="{7334F366-1F35-374B-BA69-E8B4AAD9DDD2}"/>
    <hyperlink ref="U640" r:id="rId616" xr:uid="{2EBEAC9B-62E0-F34D-95DA-D5D6DE8BB1D8}"/>
    <hyperlink ref="U623" r:id="rId617" xr:uid="{22636BF7-F016-4544-890F-2DADB887D89F}"/>
    <hyperlink ref="U621" r:id="rId618" xr:uid="{AC159609-029A-E64F-9314-BDD9543E0C54}"/>
    <hyperlink ref="U620" r:id="rId619" xr:uid="{65C7C631-E750-A645-BAAB-176DBCA09865}"/>
    <hyperlink ref="U619" r:id="rId620" xr:uid="{59E009D3-5511-6C46-ABD0-228E2B7A7700}"/>
    <hyperlink ref="U581" r:id="rId621" xr:uid="{ECA5B1A6-C77C-F147-8D25-213000D83DF5}"/>
    <hyperlink ref="U580" r:id="rId622" xr:uid="{4C263506-289B-F44E-AC31-4BACA045232E}"/>
    <hyperlink ref="U576" r:id="rId623" xr:uid="{6F5600FA-F4A1-2C4D-9FA3-0951AC50C9EE}"/>
    <hyperlink ref="U575" r:id="rId624" xr:uid="{CBEC53F8-9708-8A40-92B0-82F6D5F79676}"/>
    <hyperlink ref="U567" r:id="rId625" xr:uid="{C5FF9730-58EC-3E44-9FA4-961CB7FB8257}"/>
    <hyperlink ref="U568" r:id="rId626" xr:uid="{CAB84C74-9F6E-B24F-8C8A-9D9E2B1D6C93}"/>
    <hyperlink ref="U565" r:id="rId627" xr:uid="{2FCCEF00-068D-5446-B07F-C24297E57634}"/>
    <hyperlink ref="U559" r:id="rId628" xr:uid="{364F35A7-C13B-D049-B19A-819E506BAA51}"/>
    <hyperlink ref="U560" r:id="rId629" xr:uid="{EE52E355-85D8-BF47-924D-B0D9480F7547}"/>
    <hyperlink ref="U561" r:id="rId630" xr:uid="{0FC4FB43-2906-134E-B40D-14E2C01686F1}"/>
    <hyperlink ref="U562" r:id="rId631" xr:uid="{634555DD-4BCC-7D42-A6FD-7F9D55CEFC08}"/>
    <hyperlink ref="U563" r:id="rId632" xr:uid="{F7DB1F97-AA3C-8D48-A9AF-A3CD9790AECB}"/>
    <hyperlink ref="U564" r:id="rId633" xr:uid="{65C784B3-2C9C-B545-B151-452C45A88E3D}"/>
    <hyperlink ref="U557" r:id="rId634" xr:uid="{A32A6773-6B6C-7E4D-9A40-8AB234B6367B}"/>
    <hyperlink ref="U555" r:id="rId635" xr:uid="{1DB85159-ABFA-AC4B-87F7-2DCB379A4B5B}"/>
    <hyperlink ref="U545" r:id="rId636" xr:uid="{E7B932B0-6B6E-0142-BD66-30DAC0C6EF1D}"/>
    <hyperlink ref="U546" r:id="rId637" xr:uid="{29B8F6DE-0537-B84D-9BDF-9D101D48CE10}"/>
    <hyperlink ref="U547" r:id="rId638" xr:uid="{13FE3D08-CD1B-714F-B90B-65B8F2A8478E}"/>
    <hyperlink ref="U548" r:id="rId639" xr:uid="{24FF724E-1B17-B349-B5CB-01E042414F02}"/>
    <hyperlink ref="U549" r:id="rId640" xr:uid="{48BACD67-F9E8-334A-9F0E-5AF64B43D41E}"/>
    <hyperlink ref="U550" r:id="rId641" xr:uid="{1508ABC5-C766-3245-91CD-E379DDBAE113}"/>
    <hyperlink ref="U551" r:id="rId642" xr:uid="{2A3377F4-5A80-3040-AD75-E4B4030D4CBE}"/>
    <hyperlink ref="U552" r:id="rId643" xr:uid="{BDE3BEAE-AF58-A744-B08A-B75675CB567B}"/>
    <hyperlink ref="U553" r:id="rId644" xr:uid="{57B42842-9457-7B41-A04E-FE60B4C6E426}"/>
    <hyperlink ref="U554" r:id="rId645" xr:uid="{93ED2509-3418-8145-BE09-D1CBF3F72FAA}"/>
    <hyperlink ref="U544" r:id="rId646" xr:uid="{92B5D427-CDC9-AD44-B867-30E75E016E1D}"/>
    <hyperlink ref="U543" r:id="rId647" xr:uid="{377C1C2F-B605-CD42-AB44-3AE86FFDB7B9}"/>
    <hyperlink ref="U542" r:id="rId648" xr:uid="{5B2F0EA1-679C-5646-B0E3-DF014E6D6044}"/>
    <hyperlink ref="U541" r:id="rId649" xr:uid="{C44C6549-C6C6-B343-A1D2-6D4A6A4C8A47}"/>
    <hyperlink ref="U540" r:id="rId650" xr:uid="{28D5FE75-4B62-5B47-9F32-FC2792315604}"/>
    <hyperlink ref="U539" r:id="rId651" xr:uid="{5A118F65-62B1-2A4D-8B40-F580F22DEA2A}"/>
    <hyperlink ref="U537" r:id="rId652" xr:uid="{01422835-B321-3542-9FAC-5B0807CA5A69}"/>
    <hyperlink ref="U536" r:id="rId653" xr:uid="{F6E270B5-0323-7F46-A172-4B36E4536DFA}"/>
    <hyperlink ref="U535" r:id="rId654" xr:uid="{44D21526-8399-DF49-B4B0-FDF47C747A12}"/>
    <hyperlink ref="U618" r:id="rId655" xr:uid="{A6DDFD0B-99D2-2841-8787-EBBBE3E69DD5}"/>
    <hyperlink ref="U615" r:id="rId656" xr:uid="{AAF928CD-E76B-1A47-847B-0643D40E460A}"/>
    <hyperlink ref="U616" r:id="rId657" xr:uid="{5437F870-15D9-8241-8397-4FBA3061AE0A}"/>
    <hyperlink ref="U617" r:id="rId658" xr:uid="{9A89E21C-51D4-D746-8BA0-A00C89AE88A8}"/>
    <hyperlink ref="W617" r:id="rId659" xr:uid="{49664EF7-E926-8545-A24A-B7FB953C3E8C}"/>
    <hyperlink ref="W615" r:id="rId660" xr:uid="{23B596A5-5CAC-8842-AD46-906E04D00DE6}"/>
    <hyperlink ref="W623" r:id="rId661" xr:uid="{51AEB299-B2BD-8640-A9BE-CB29341137F1}"/>
    <hyperlink ref="U609" r:id="rId662" xr:uid="{3254A44B-7757-2F4E-97C0-5E809BF2F190}"/>
    <hyperlink ref="U558" r:id="rId663" xr:uid="{71541AC3-5F8A-A34C-A068-E5B132CEACA1}"/>
    <hyperlink ref="U556" r:id="rId664" xr:uid="{2A3F8E16-001D-1E4B-8717-B983A0B9D10A}"/>
    <hyperlink ref="U538" r:id="rId665" xr:uid="{93AD7EF5-EE02-864D-ADDF-172BA6E2BCD5}"/>
    <hyperlink ref="U574" r:id="rId666" xr:uid="{50199982-A49B-1A4D-885B-AF214C61C3C0}"/>
    <hyperlink ref="U573" r:id="rId667" xr:uid="{075F2117-6A68-8146-A65C-45911C3964D0}"/>
    <hyperlink ref="U653" r:id="rId668" xr:uid="{C250830F-B5CE-AE42-945B-5BFDC9EB2A23}"/>
    <hyperlink ref="U772" r:id="rId669" xr:uid="{19F5139A-F5AC-1045-A7C6-4533EE4D5972}"/>
    <hyperlink ref="U779" r:id="rId670" xr:uid="{56DBB9C2-8DD4-4D4B-AB16-B6812F3E02A7}"/>
    <hyperlink ref="U781" r:id="rId671" xr:uid="{D75782DA-E77F-1145-97CC-4CD406279DEC}"/>
    <hyperlink ref="U529" r:id="rId672" xr:uid="{92506754-4016-7A44-9F16-A8ED2098486F}"/>
    <hyperlink ref="W529" r:id="rId673" xr:uid="{CFF5AE8F-798C-6C40-A691-33838D8A12FB}"/>
    <hyperlink ref="Y529" r:id="rId674" xr:uid="{D32F8606-7F08-8841-A041-ED27C05CC01E}"/>
    <hyperlink ref="AA529" r:id="rId675" xr:uid="{3C24BE0B-6D3B-1345-8179-FE4078867AE7}"/>
    <hyperlink ref="U530" r:id="rId676" xr:uid="{56198D1F-7EBF-1C43-AB6F-19DE417DF614}"/>
    <hyperlink ref="U531" r:id="rId677" xr:uid="{1B37B2D4-94CF-DC4B-8205-6D8114122546}"/>
    <hyperlink ref="U532" r:id="rId678" xr:uid="{CF1F3ECE-9C75-8641-88F2-B600C879784D}"/>
    <hyperlink ref="U533" r:id="rId679" xr:uid="{3CD80398-FF4D-874E-929E-78A833F8C937}"/>
    <hyperlink ref="U534" r:id="rId680" xr:uid="{452846E9-CAD7-6E48-8DD0-BFC6654E10D6}"/>
    <hyperlink ref="W530" r:id="rId681" xr:uid="{ED7BA19C-8CD2-EF48-92A5-EF54FDFA54C1}"/>
    <hyperlink ref="W531" r:id="rId682" xr:uid="{79713FAE-C23D-4D4E-BEF3-FB5133F96FE8}"/>
    <hyperlink ref="W532" r:id="rId683" xr:uid="{838D4FCD-0E46-4941-A765-C8E59B862421}"/>
    <hyperlink ref="W533" r:id="rId684" xr:uid="{4C691AAC-6A1E-FD48-8B30-B328DAA28A44}"/>
    <hyperlink ref="W534" r:id="rId685" xr:uid="{47C90E7A-D6D5-1C46-BE5E-2443FA6AE5C1}"/>
    <hyperlink ref="Y530" r:id="rId686" xr:uid="{D7037154-32D5-714F-9C08-63DA5B12D3BF}"/>
    <hyperlink ref="Y531" r:id="rId687" xr:uid="{5BE6375B-3E95-534C-955E-406DE54D07DF}"/>
    <hyperlink ref="Y532" r:id="rId688" xr:uid="{DB011E5A-867D-DB40-9871-B255060CE82F}"/>
    <hyperlink ref="Y533" r:id="rId689" xr:uid="{EBB5555E-4A56-1044-93D0-373A3890FEF0}"/>
    <hyperlink ref="Y534" r:id="rId690" xr:uid="{59B6729C-61F4-6F4B-BDE8-1860B3DB9EF6}"/>
    <hyperlink ref="AA530" r:id="rId691" xr:uid="{C4B7C23F-E3E5-6E49-9710-388798892B25}"/>
    <hyperlink ref="AA531" r:id="rId692" xr:uid="{5C0271D7-1419-F74C-8BF3-A568AAE0E69E}"/>
    <hyperlink ref="AA532" r:id="rId693" xr:uid="{02C73897-DC40-D842-B4D0-A7E7AC016A74}"/>
    <hyperlink ref="AA533" r:id="rId694" xr:uid="{B3544BFA-2675-1E40-ABFB-A15BC6FCFEC5}"/>
    <hyperlink ref="AA534" r:id="rId695" xr:uid="{2830364C-0DCD-1848-AA37-4CB40962C0A1}"/>
    <hyperlink ref="W206" r:id="rId696" xr:uid="{887F0D53-1C35-7B40-A313-E900C783247B}"/>
    <hyperlink ref="Y206" r:id="rId697" xr:uid="{3D0F1151-6EBF-1B4B-A7FB-78EEC2CE868C}"/>
    <hyperlink ref="AA206" r:id="rId698" xr:uid="{C90E6D88-8E9E-C242-A68B-88F120DCF92C}"/>
    <hyperlink ref="AC206" r:id="rId699" xr:uid="{258763CD-5C01-2043-AB98-5A551163E931}"/>
    <hyperlink ref="U276" r:id="rId700" xr:uid="{A4D620BD-485E-BA4F-95CE-61C92FA6F670}"/>
    <hyperlink ref="W276" r:id="rId701" xr:uid="{3FF09301-1F87-3145-8C61-85EB511EDC59}"/>
    <hyperlink ref="Y276" r:id="rId702" xr:uid="{5656E076-CC53-FB43-829F-24B44942317F}"/>
    <hyperlink ref="AA276" r:id="rId703" xr:uid="{35A0888E-9745-8447-A8E3-37AC5B115FEC}"/>
    <hyperlink ref="U275" r:id="rId704" xr:uid="{CCBC09D7-27F3-0645-A39F-03FC90FD72CC}"/>
    <hyperlink ref="W275" r:id="rId705" xr:uid="{30FA234F-7416-F844-A82D-9170F533FF09}"/>
    <hyperlink ref="Y275" r:id="rId706" xr:uid="{D382BC40-F1E4-8A40-B30F-161FB9975E4B}"/>
    <hyperlink ref="AA275" r:id="rId707" xr:uid="{ED342AB0-3F86-E943-9026-ED1C8EB35318}"/>
    <hyperlink ref="U256" r:id="rId708" xr:uid="{AC30262C-17F4-FF4D-A348-248B39EAB560}"/>
    <hyperlink ref="W256" r:id="rId709" xr:uid="{B396D2CE-B60C-7A47-81AA-76118415BFF5}"/>
    <hyperlink ref="Y256" r:id="rId710" xr:uid="{96674147-EE44-F041-B50D-F85127B79204}"/>
    <hyperlink ref="AA256" r:id="rId711" xr:uid="{A01E6833-9B3A-2A4A-8CF8-95232C40EC7D}"/>
    <hyperlink ref="U255" r:id="rId712" xr:uid="{1423961B-63CF-0645-A789-8293D2920260}"/>
    <hyperlink ref="W255" r:id="rId713" xr:uid="{03995CB6-5FC1-CD4B-8736-0752705408EC}"/>
    <hyperlink ref="Y255" r:id="rId714" xr:uid="{E62C8F7B-738F-CB40-9576-886D1A874EF2}"/>
    <hyperlink ref="AA255" r:id="rId715" xr:uid="{41DE9615-00A8-DE47-A0B4-83A22534FB7D}"/>
    <hyperlink ref="U253" r:id="rId716" xr:uid="{7DCB7325-9A7F-0E41-B1B3-70EA0B2F7E43}"/>
    <hyperlink ref="W253" r:id="rId717" xr:uid="{4836BFEB-7575-5343-9C07-D1CACC10D2FE}"/>
    <hyperlink ref="Y253" r:id="rId718" xr:uid="{C98D4D81-D434-D44F-8132-D910770C0238}"/>
    <hyperlink ref="AA253" r:id="rId719" xr:uid="{C0FA6AA0-25A4-4244-8B4E-518626D896A5}"/>
    <hyperlink ref="U252" r:id="rId720" xr:uid="{03906CD8-D8DA-294C-A699-DF03DF8B3CC7}"/>
    <hyperlink ref="W252" r:id="rId721" xr:uid="{903CD8E6-959F-6A45-90AB-967858C5C233}"/>
    <hyperlink ref="Y252" r:id="rId722" xr:uid="{5CDE80D1-10FE-CB4E-B894-34E34CBED707}"/>
    <hyperlink ref="AA252" r:id="rId723" xr:uid="{CFB0735D-D7FD-FF4A-BAC4-EFA8598C391E}"/>
    <hyperlink ref="U250" r:id="rId724" xr:uid="{A6E21B42-B5CF-A249-B408-E28E022AA467}"/>
    <hyperlink ref="W250" r:id="rId725" xr:uid="{61E4FF3B-8381-5D4F-B3F2-E5BAE8D8D0B0}"/>
    <hyperlink ref="Y250" r:id="rId726" xr:uid="{0C4AEF3E-84EA-114A-8AA1-603C1EA5E1A3}"/>
    <hyperlink ref="AA250" r:id="rId727" xr:uid="{9533FF46-59B9-8F46-94DF-42BE1746AC74}"/>
    <hyperlink ref="U249" r:id="rId728" xr:uid="{3B0953EB-B307-184A-B8E6-3D4F080A2938}"/>
    <hyperlink ref="W249" r:id="rId729" xr:uid="{441AF4DF-DF22-9543-A9CA-19A5AC5756EF}"/>
    <hyperlink ref="Y249" r:id="rId730" xr:uid="{DA42FA31-793E-6043-9135-FAAFCD6F5737}"/>
    <hyperlink ref="AA249" r:id="rId731" xr:uid="{DD8CBD26-CC28-CE46-9A52-0FDBD5F4A6AB}"/>
    <hyperlink ref="U248" r:id="rId732" xr:uid="{565B31E0-AE03-0942-9C98-1D359DA75FB2}"/>
    <hyperlink ref="W248" r:id="rId733" xr:uid="{6259692A-BB55-3D4F-9C91-A54B7AFDA086}"/>
    <hyperlink ref="Y248" r:id="rId734" xr:uid="{076C73C7-1A7C-D04E-8D2A-ADB7F67FC601}"/>
    <hyperlink ref="AA248" r:id="rId735" xr:uid="{7E4B40F4-AB60-F64C-9F8F-4FF6728D8941}"/>
    <hyperlink ref="U247" r:id="rId736" xr:uid="{B5D80225-787E-FF4C-B89C-E06C9843E5F8}"/>
    <hyperlink ref="W247" r:id="rId737" xr:uid="{8DCE209E-CE6F-2844-A1BE-4C89272525D6}"/>
    <hyperlink ref="Y247" r:id="rId738" xr:uid="{6460CAA0-C213-9344-A2A2-7C12AB3CD8BB}"/>
    <hyperlink ref="AA247" r:id="rId739" xr:uid="{8D15D733-0BA5-BF47-AB48-27D1FA181B7B}"/>
    <hyperlink ref="U246" r:id="rId740" xr:uid="{8AEAE13C-7665-5747-BBD5-144C1DB88082}"/>
    <hyperlink ref="W246" r:id="rId741" xr:uid="{5146ADBF-7F95-174C-A11E-04BE24C5F341}"/>
    <hyperlink ref="Y246" r:id="rId742" xr:uid="{1B2A21D9-C81A-D343-9726-9BE301F893A9}"/>
    <hyperlink ref="AA246" r:id="rId743" xr:uid="{752426CB-D1AD-B442-8CA8-D51DE7BBED1D}"/>
    <hyperlink ref="U245" r:id="rId744" xr:uid="{DCA566EA-8684-C54D-96F3-A5ACB1DF2FAE}"/>
    <hyperlink ref="W245" r:id="rId745" xr:uid="{4CF5FAB7-FC18-B340-BEB1-6BB87263720D}"/>
    <hyperlink ref="Y245" r:id="rId746" xr:uid="{86AE52E0-B9E1-8241-B576-76671BE2DC2F}"/>
    <hyperlink ref="AA245" r:id="rId747" xr:uid="{17492C9D-707F-8347-A2D6-1E09869D035D}"/>
    <hyperlink ref="U244" r:id="rId748" xr:uid="{EB45972B-A62D-E04C-9FF3-6CC1AC2D7713}"/>
    <hyperlink ref="W244" r:id="rId749" xr:uid="{11ECC59A-3687-0349-AD43-3AF60D4B0DE7}"/>
    <hyperlink ref="Y244" r:id="rId750" xr:uid="{02389AD2-A2A0-6E4B-8D9E-E81C1C2B7888}"/>
    <hyperlink ref="AA244" r:id="rId751" xr:uid="{BA74BD73-310C-1746-BBF5-3ACB239DD1A1}"/>
    <hyperlink ref="U243" r:id="rId752" xr:uid="{01145711-CB4B-E14C-957D-90ABF7A1D66C}"/>
    <hyperlink ref="W243" r:id="rId753" xr:uid="{B726F844-98E7-F447-B88D-BF6FC63CAA8D}"/>
    <hyperlink ref="Y243" r:id="rId754" xr:uid="{9DFF4440-5F5D-994E-A7D4-59C82EE77E1C}"/>
    <hyperlink ref="AA243" r:id="rId755" xr:uid="{8021C35B-C5A3-C54D-B623-C991D96325BA}"/>
    <hyperlink ref="U265" r:id="rId756" xr:uid="{FB11F471-E8E2-CE43-8C55-43E85EFB8F07}"/>
    <hyperlink ref="W265" r:id="rId757" xr:uid="{2456EF2E-A116-DE49-BBE2-AB8B2B306EA2}"/>
    <hyperlink ref="Y265" r:id="rId758" xr:uid="{0AB8B5D7-F4CF-2B4F-910E-4A3974241A52}"/>
    <hyperlink ref="AA265" r:id="rId759" xr:uid="{3A60458D-E79C-F74A-B851-8BD7F80D6FEF}"/>
    <hyperlink ref="U264" r:id="rId760" xr:uid="{EEFD5F60-21AE-D44F-8422-21D191D92E10}"/>
    <hyperlink ref="W264" r:id="rId761" xr:uid="{7DE3154D-BB0C-4540-847E-F551792A5FBC}"/>
    <hyperlink ref="Y264" r:id="rId762" xr:uid="{79BBEF0C-AF6A-3247-A58B-9F8B4482E4FC}"/>
    <hyperlink ref="AA264" r:id="rId763" xr:uid="{9D2F418B-1E7C-C540-B968-92A98929FAC2}"/>
    <hyperlink ref="U267" r:id="rId764" xr:uid="{2DBF801B-C379-8B46-9C9E-7458A61A714E}"/>
    <hyperlink ref="W267" r:id="rId765" xr:uid="{3C2076BD-0CC6-5B4D-9662-88DC14473123}"/>
    <hyperlink ref="Y267" r:id="rId766" xr:uid="{C86EB207-0995-1947-B676-53410CB50D04}"/>
    <hyperlink ref="AA267" r:id="rId767" xr:uid="{E2167003-047D-144F-BAA3-1E0E49BFDA4F}"/>
    <hyperlink ref="U266" r:id="rId768" xr:uid="{44AF8F50-B824-7C43-BCC8-4D052E7248D5}"/>
    <hyperlink ref="W266" r:id="rId769" xr:uid="{C410983F-7CE4-AD47-BE6E-872EBDCACC16}"/>
    <hyperlink ref="Y266" r:id="rId770" xr:uid="{F35B7FF7-43A4-D94A-9A6D-603E448990EA}"/>
    <hyperlink ref="AA266" r:id="rId771" xr:uid="{F848B9D8-DBD5-2241-B0F5-1DF7F23705DB}"/>
    <hyperlink ref="U259" r:id="rId772" xr:uid="{0FF7954F-A85C-CF4F-B526-1E7BF48CBA2E}"/>
    <hyperlink ref="W259" r:id="rId773" xr:uid="{C9384167-81BD-FE42-8E55-26BA7A1045F1}"/>
    <hyperlink ref="W260" r:id="rId774" xr:uid="{97897C45-E0DF-CB4A-9C04-DA48AC32CE97}"/>
    <hyperlink ref="U260" r:id="rId775" xr:uid="{B292EB49-DB8A-A24D-9EB9-9CA89A5F0ADC}"/>
    <hyperlink ref="Y260" r:id="rId776" xr:uid="{F04EA6DD-2DBD-C345-8A3A-A90EE2A76BFD}"/>
    <hyperlink ref="U258" r:id="rId777" xr:uid="{A8DAEF03-42D4-FA4D-9600-398A8353F328}"/>
    <hyperlink ref="U261" r:id="rId778" xr:uid="{4EB21F98-F3F4-D949-86B4-DAD8E6DB9DBA}"/>
    <hyperlink ref="W261" r:id="rId779" xr:uid="{850AC2E0-A3DE-2242-8A27-076A1C95E1FB}"/>
    <hyperlink ref="U257" r:id="rId780" xr:uid="{12859B16-929F-F142-9937-B9C19B370EE9}"/>
    <hyperlink ref="Y259" r:id="rId781" xr:uid="{FEE274D0-97C9-6B4C-AA7A-EDA0780177F3}"/>
    <hyperlink ref="U262" r:id="rId782" xr:uid="{017054F6-9852-4D43-8A11-1599B462027A}"/>
    <hyperlink ref="W262" r:id="rId783" xr:uid="{71BB8E26-DC07-204D-BA3D-AB3E4AA3240C}"/>
    <hyperlink ref="Y262" r:id="rId784" xr:uid="{0C64B358-2A2D-7346-866E-0F1E514C4864}"/>
    <hyperlink ref="Y261" r:id="rId785" xr:uid="{8F9A49B9-A769-7948-86A3-1D013442302D}"/>
    <hyperlink ref="U291" r:id="rId786" xr:uid="{75845836-A1AE-EB4E-81CF-2C16E5C58533}"/>
    <hyperlink ref="W291" r:id="rId787" xr:uid="{B45EC822-E923-194E-9F5D-6D768FA84B2F}"/>
    <hyperlink ref="Y291" r:id="rId788" xr:uid="{8BA620EF-8A61-B740-9C1B-6144A6661167}"/>
    <hyperlink ref="AA291" r:id="rId789" xr:uid="{66234B1F-1795-1D4F-87C3-B606C9EB8496}"/>
    <hyperlink ref="U290" r:id="rId790" xr:uid="{C93C2110-3819-9A4B-859B-BFC98EFC0714}"/>
    <hyperlink ref="W290" r:id="rId791" xr:uid="{EE846FB1-31FA-6E4B-BF4D-5111601E3FE3}"/>
    <hyperlink ref="Y290" r:id="rId792" xr:uid="{721D7CE6-0DBF-0745-B9D7-0E9C96E08B2C}"/>
    <hyperlink ref="AA290" r:id="rId793" xr:uid="{62765CCF-2B2B-884E-ADA0-1F8717789437}"/>
    <hyperlink ref="U285" r:id="rId794" xr:uid="{7C4FE6F6-1A7F-C042-BFC9-60A855EBC952}"/>
    <hyperlink ref="W285" r:id="rId795" xr:uid="{C85C4C74-A8EB-DF4F-B743-F7036F264CA4}"/>
    <hyperlink ref="W286" r:id="rId796" xr:uid="{C7DA6557-C4E2-3740-9D97-44F831EAFA65}"/>
    <hyperlink ref="U286" r:id="rId797" xr:uid="{4BFBFF7A-EB09-1448-8D08-C90399F69AB5}"/>
    <hyperlink ref="Y286" r:id="rId798" xr:uid="{E247B410-4658-7B4E-8EA2-C91E219D7E50}"/>
    <hyperlink ref="U284" r:id="rId799" xr:uid="{1DC9A29A-50A8-354E-A1DE-70EFCD5A98D0}"/>
    <hyperlink ref="U287" r:id="rId800" xr:uid="{0EA4955B-5729-F942-A85E-E3651083DF9D}"/>
    <hyperlink ref="W287" r:id="rId801" xr:uid="{4A25A668-CC43-3E46-8790-95D2B565F50A}"/>
    <hyperlink ref="U283" r:id="rId802" xr:uid="{0D8F0322-BC49-F148-9F43-B02376CE31BF}"/>
    <hyperlink ref="Y285" r:id="rId803" xr:uid="{1BA4A2BD-50A2-C94D-BBF4-53A9F3AFC1A3}"/>
    <hyperlink ref="U288" r:id="rId804" xr:uid="{109F9859-7159-684C-81C4-A0F4834AA506}"/>
    <hyperlink ref="W288" r:id="rId805" xr:uid="{B142EFC5-D2BA-AA40-B424-465BB5851901}"/>
    <hyperlink ref="Y288" r:id="rId806" xr:uid="{E44C91C2-1008-BF49-8F96-FE905E912335}"/>
    <hyperlink ref="Y287" r:id="rId807" xr:uid="{8E7B2C35-DC9F-4646-88BB-449A15527E7F}"/>
    <hyperlink ref="U297" r:id="rId808" xr:uid="{06167AA4-0B6B-6D43-B5EB-6BCD9DB762C9}"/>
    <hyperlink ref="U296" r:id="rId809" xr:uid="{0678600E-22A4-1D45-8744-D5462C69B244}"/>
    <hyperlink ref="U299" r:id="rId810" xr:uid="{BBEEE3D0-3B91-5246-8280-D239D6AADE0E}"/>
    <hyperlink ref="U298" r:id="rId811" xr:uid="{EE567FCA-8E72-3E4E-9282-95468611EF51}"/>
    <hyperlink ref="U301" r:id="rId812" xr:uid="{D51A1EAA-2071-FE45-B440-4F657E87161E}"/>
    <hyperlink ref="U300" r:id="rId813" xr:uid="{74CCD367-7DBB-264A-BE56-622A3CE8131F}"/>
    <hyperlink ref="U303" r:id="rId814" xr:uid="{DE8E903A-CCDB-D345-8CA5-E72F8ECF2EC6}"/>
    <hyperlink ref="U302" r:id="rId815" xr:uid="{C9FF4E25-9531-C640-BBC1-73D938402E96}"/>
    <hyperlink ref="U318" r:id="rId816" xr:uid="{FCDC597A-BC7F-F34E-AFD2-144E69EAED23}"/>
    <hyperlink ref="U317" r:id="rId817" xr:uid="{64E29D8B-A69E-5342-9701-14CAB7AA7419}"/>
    <hyperlink ref="U390" r:id="rId818" xr:uid="{20506E91-AAF4-7242-906D-3398E23D90DF}"/>
    <hyperlink ref="U392" r:id="rId819" xr:uid="{8919A286-D580-8640-84CF-3FF59F8A801B}"/>
    <hyperlink ref="U391" r:id="rId820" xr:uid="{0C966737-35CE-5E41-A1CC-61E64544A3B9}"/>
    <hyperlink ref="U394" r:id="rId821" xr:uid="{14FDF962-11F8-C645-B690-591D78A7DFE7}"/>
    <hyperlink ref="U393" r:id="rId822" xr:uid="{D89AECCB-13F2-ED4E-B315-BE7754F94BDC}"/>
    <hyperlink ref="U350" r:id="rId823" xr:uid="{C3AE54AC-C4C2-8043-B4CE-EA9AB6598B8F}"/>
    <hyperlink ref="W350" r:id="rId824" xr:uid="{ADD03D1A-81EC-1342-8F4C-57708DB58959}"/>
    <hyperlink ref="Y350" r:id="rId825" xr:uid="{D5F3AAA5-A0FD-C94A-AA44-482BBECFB038}"/>
    <hyperlink ref="U349" r:id="rId826" xr:uid="{C3F7E593-E8D4-EE44-9AD8-454A783B70A5}"/>
    <hyperlink ref="U352" r:id="rId827" xr:uid="{07F29424-6781-7B4C-9144-FF2ED0F6A73F}"/>
    <hyperlink ref="U351" r:id="rId828" xr:uid="{29B0EEAB-1355-8248-AF53-5EFAF096AFCF}"/>
    <hyperlink ref="U354" r:id="rId829" xr:uid="{E00430DD-672D-8A4D-91FA-E3F38D383335}"/>
    <hyperlink ref="U353" r:id="rId830" xr:uid="{22FB0BB2-DC30-4644-9895-5BDC004FB8F6}"/>
    <hyperlink ref="W272" r:id="rId831" xr:uid="{04AF5FF7-4ED1-AA48-9644-EBCABF2AAED1}"/>
    <hyperlink ref="Y272" r:id="rId832" xr:uid="{75A95508-B5D0-9F4E-A4C0-9EFAA8B0E200}"/>
    <hyperlink ref="U271" r:id="rId833" xr:uid="{A9AFA3D4-73A1-994B-89AF-312D84BE1A47}"/>
    <hyperlink ref="W271" r:id="rId834" xr:uid="{302D7ADD-C00E-CF41-A34C-5CA5175D0C84}"/>
    <hyperlink ref="Y271" r:id="rId835" xr:uid="{1BBAFF26-5EA1-0B4B-9EBC-AD42F1F59076}"/>
    <hyperlink ref="U273" r:id="rId836" xr:uid="{3D4A3215-289A-AF40-8B2B-F7F9A8AC18A0}"/>
    <hyperlink ref="U272" r:id="rId837" xr:uid="{F65121CB-9B0E-6C4D-BBBC-DF9D695B17A7}"/>
    <hyperlink ref="U274" r:id="rId838" xr:uid="{9A53EE3F-7CEB-754A-9899-8E2DA66B0C9B}"/>
    <hyperlink ref="W274" r:id="rId839" xr:uid="{F0CDB2D2-A38B-2D4F-BF4B-A87010F2C77E}"/>
    <hyperlink ref="W273" r:id="rId840" xr:uid="{B82C209E-842C-1249-B00F-04B4BD65795B}"/>
    <hyperlink ref="U282" r:id="rId841" xr:uid="{F0EF53C3-C8E2-8E44-AB37-83E9FBBF9E6D}"/>
    <hyperlink ref="W282" r:id="rId842" xr:uid="{2B19E190-6092-394A-AA80-D1B1B937A782}"/>
    <hyperlink ref="Y282" r:id="rId843" xr:uid="{23CC25C3-C890-6143-B8C5-BEA0EB228BA4}"/>
    <hyperlink ref="AA282" r:id="rId844" xr:uid="{7F65BD59-BAC9-C94D-9543-8512AEDCBA81}"/>
    <hyperlink ref="U281" r:id="rId845" xr:uid="{CB3C2079-71FE-B44E-A1EB-0F2CF1BCC808}"/>
    <hyperlink ref="W281" r:id="rId846" xr:uid="{154E40AF-6E55-5C4D-898C-7A73272263FC}"/>
    <hyperlink ref="Y281" r:id="rId847" xr:uid="{6FEEB4DD-468C-F243-A841-B30FA11480CF}"/>
    <hyperlink ref="AA281" r:id="rId848" xr:uid="{9A70C416-1705-CF43-9CDA-761E75E42B49}"/>
    <hyperlink ref="W278" r:id="rId849" xr:uid="{C39B0E7B-3300-AE42-A8BB-5A674A868D86}"/>
    <hyperlink ref="Y278" r:id="rId850" xr:uid="{DC1727E0-5D03-1E45-AF40-07E754311AAE}"/>
    <hyperlink ref="U277" r:id="rId851" xr:uid="{CFE5835A-4A10-2548-9219-4B8AE33F255C}"/>
    <hyperlink ref="W277" r:id="rId852" xr:uid="{4E480329-260B-BA4C-B771-38D2CBA28AEC}"/>
    <hyperlink ref="Y277" r:id="rId853" xr:uid="{F8969286-BB8D-8F49-81B9-08C4FC71BAFA}"/>
    <hyperlink ref="U279" r:id="rId854" xr:uid="{2E3214C5-D881-024B-9561-6A08631D8E8D}"/>
    <hyperlink ref="U278" r:id="rId855" xr:uid="{0FF47A1F-92CB-7F46-A488-D2943E3C452E}"/>
    <hyperlink ref="U280" r:id="rId856" xr:uid="{2C428E77-C955-1A40-A9B9-640B3261DBAF}"/>
    <hyperlink ref="W280" r:id="rId857" xr:uid="{9D1A5837-C492-A54D-B1DE-7E799556C193}"/>
    <hyperlink ref="W279" r:id="rId858" xr:uid="{4BB73B60-CE87-EF4E-B3A1-C7050477B622}"/>
    <hyperlink ref="V207" r:id="rId859" xr:uid="{D6E2FEB3-D34E-384E-964F-630266FF77B7}"/>
    <hyperlink ref="X207" r:id="rId860" xr:uid="{9E74EA42-CE99-7F4E-B9A9-6E45ACE471C1}"/>
    <hyperlink ref="Z207" r:id="rId861" xr:uid="{F8737CCF-9046-BA4F-BCAC-35718EA331D3}"/>
    <hyperlink ref="AB207" r:id="rId862" xr:uid="{03D98431-D212-644D-90B8-34767FA4D2F1}"/>
    <hyperlink ref="V210" r:id="rId863" xr:uid="{729D4E2B-ECD8-5C47-A27A-08C874539132}"/>
    <hyperlink ref="V211" r:id="rId864" xr:uid="{690AAA78-749B-4546-8A12-F25C619EA2B9}"/>
    <hyperlink ref="AE207" r:id="rId865" xr:uid="{102CC6A4-1B48-5A4A-87C0-5825291D80E1}"/>
    <hyperlink ref="AG207" r:id="rId866" xr:uid="{A88EFAD1-B469-7146-AB13-5C31D0B7C721}"/>
    <hyperlink ref="V208" r:id="rId867" xr:uid="{D9BDB9B6-945C-2B4C-A491-0239BFDC9355}"/>
    <hyperlink ref="V209" r:id="rId868" xr:uid="{66815CA7-B784-B84C-87A4-53F7B7DB459A}"/>
    <hyperlink ref="X209" r:id="rId869" xr:uid="{F32AAF58-1AA0-5E4C-A221-48BD294BE435}"/>
    <hyperlink ref="AA209" r:id="rId870" xr:uid="{4C39DFFE-84D5-7148-864E-FF3D166E12CD}"/>
    <hyperlink ref="X210" r:id="rId871" xr:uid="{FA789A18-0846-2742-874D-552C88569BF4}"/>
    <hyperlink ref="Z210" r:id="rId872" xr:uid="{E9FAF463-CE53-C340-ACD5-8DA989F353E9}"/>
    <hyperlink ref="U319" r:id="rId873" xr:uid="{3ABDDEF1-E439-4647-BA96-473AA6517C41}"/>
    <hyperlink ref="W319" r:id="rId874" xr:uid="{C88A92AB-45C3-CD46-B9BE-BBC0272E56B8}"/>
    <hyperlink ref="Y319" r:id="rId875" xr:uid="{BB247DE5-EE11-2545-95CA-2E5E401EE31A}"/>
    <hyperlink ref="AA319" r:id="rId876" xr:uid="{3C4AC561-2D3A-F946-9BDB-19AEF769898E}"/>
    <hyperlink ref="U320" r:id="rId877" xr:uid="{F2AD5100-EDD5-824F-B960-B5216BB6EA6B}"/>
    <hyperlink ref="W320" r:id="rId878" xr:uid="{8552491F-1674-7F46-9A32-0CDEE354CCCA}"/>
    <hyperlink ref="Y320" r:id="rId879" xr:uid="{40DCB3A5-91B8-C840-94F3-C256989C1CD4}"/>
    <hyperlink ref="AA320" r:id="rId880" xr:uid="{B17810E8-66A9-004F-983B-1BD6155E148E}"/>
    <hyperlink ref="U323" r:id="rId881" xr:uid="{986223C2-A235-FC42-A37B-7C5E69B83B8F}"/>
    <hyperlink ref="U324" r:id="rId882" xr:uid="{6295AF5F-3F5B-D442-97AA-DA3CE2138487}"/>
    <hyperlink ref="AD320" r:id="rId883" xr:uid="{D897C7B5-920A-F045-9868-2EC143DCB612}"/>
    <hyperlink ref="AF320" r:id="rId884" xr:uid="{F5EF7CF6-2DBB-BB42-894B-499644256E3B}"/>
    <hyperlink ref="U321" r:id="rId885" xr:uid="{6E0279FB-1C7C-BC45-B646-64E694D507E4}"/>
    <hyperlink ref="U322" r:id="rId886" xr:uid="{EA71D6AA-7DDE-B84F-8F59-B4AA842848A5}"/>
    <hyperlink ref="W322" r:id="rId887" xr:uid="{25E8C709-89B9-D24C-BFD1-331CA11E2FA6}"/>
    <hyperlink ref="Z322" r:id="rId888" xr:uid="{4358CBF2-4512-9443-86F7-85A298D7E5CC}"/>
    <hyperlink ref="W323" r:id="rId889" xr:uid="{42416E0A-E716-2945-B17D-B33FFEEEC61D}"/>
    <hyperlink ref="Y323" r:id="rId890" xr:uid="{24541C57-0662-B547-B2A4-318725272729}"/>
    <hyperlink ref="U395" r:id="rId891" xr:uid="{C0FF371D-D9F7-4842-9AF3-5C43CBF5F15F}"/>
    <hyperlink ref="W395" r:id="rId892" xr:uid="{1F37C9D1-DB07-B14B-AEDB-CD839417B858}"/>
    <hyperlink ref="Y395" r:id="rId893" xr:uid="{2E0C7DBF-7951-F943-8D89-E41344582E22}"/>
    <hyperlink ref="AA395" r:id="rId894" xr:uid="{970AEB8F-CF34-3F43-B9C8-76234EEC41FD}"/>
    <hyperlink ref="U396" r:id="rId895" xr:uid="{94D70C52-B1E5-A946-85CC-C9BBDFD609B9}"/>
    <hyperlink ref="W396" r:id="rId896" xr:uid="{2395F32F-86F2-1B4D-835D-2974A973D793}"/>
    <hyperlink ref="Y396" r:id="rId897" xr:uid="{0BE700F6-C5A0-E941-B2C4-02AC4EB153C5}"/>
    <hyperlink ref="AA396" r:id="rId898" xr:uid="{0DDD22AD-7E40-B04F-92CC-829F766976D2}"/>
    <hyperlink ref="U399" r:id="rId899" xr:uid="{55ACD6CB-870C-1744-B0F4-4669DC163CE8}"/>
    <hyperlink ref="U400" r:id="rId900" xr:uid="{2961D235-392B-604D-A135-7ACAB4B78D01}"/>
    <hyperlink ref="AD396" r:id="rId901" xr:uid="{BA30B7A1-AA23-384A-BDE0-FBFD2E7DC5C3}"/>
    <hyperlink ref="AF396" r:id="rId902" xr:uid="{CDE4C23F-C105-7041-A5B8-5580BB314D49}"/>
    <hyperlink ref="U397" r:id="rId903" xr:uid="{2423F195-B08D-F64B-B6B2-589C5524CEF8}"/>
    <hyperlink ref="U398" r:id="rId904" xr:uid="{9131C595-520C-6143-AD4A-FA9E63577A75}"/>
    <hyperlink ref="W398" r:id="rId905" xr:uid="{E3ACA3CA-C114-0B41-B55D-212F7F597387}"/>
    <hyperlink ref="Z398" r:id="rId906" xr:uid="{CB1EC21F-19F3-FC45-91D5-921710756C7F}"/>
    <hyperlink ref="W399" r:id="rId907" xr:uid="{6C48EE69-E03A-6645-9443-6DC828A1A20E}"/>
    <hyperlink ref="Y399" r:id="rId908" xr:uid="{7C28366F-58F3-0D40-B371-0573C48A0ADD}"/>
    <hyperlink ref="W213" r:id="rId909" xr:uid="{A8409596-0F74-8B4C-8293-71A0E979093E}"/>
    <hyperlink ref="U213" r:id="rId910" xr:uid="{E596E71F-741B-654A-A8D1-98DDF468DE6E}"/>
    <hyperlink ref="W326" r:id="rId911" xr:uid="{AC7B9A54-0328-064F-AA9A-7561E2AE644A}"/>
    <hyperlink ref="U326" r:id="rId912" xr:uid="{3B39039E-8A5B-9F48-81D9-CF21E8880A57}"/>
    <hyperlink ref="W402" r:id="rId913" xr:uid="{6F0FACE0-027E-F045-AD1D-3BD88F964A17}"/>
    <hyperlink ref="U402" r:id="rId914" xr:uid="{C6C2F530-3E0B-8E46-A52A-E3D477DA80A2}"/>
    <hyperlink ref="U23" r:id="rId915" xr:uid="{69A57EDB-F3A2-C847-8ED8-5311A7191FB4}"/>
    <hyperlink ref="W23" r:id="rId916" xr:uid="{0C659FD1-54CF-0B47-8506-3298F64D524A}"/>
    <hyperlink ref="Y23" r:id="rId917" xr:uid="{E58FF9BA-3F9D-B049-9F44-F5B3DF582475}"/>
    <hyperlink ref="U45" r:id="rId918" xr:uid="{0B5DCCFE-02B7-3545-B73D-F0979FF4271F}"/>
    <hyperlink ref="W45" r:id="rId919" xr:uid="{CF4390AF-D09C-9442-BA22-265E1079D684}"/>
    <hyperlink ref="Y45" r:id="rId920" xr:uid="{8C577AEA-2FFF-8349-BA87-37A0FB877564}"/>
    <hyperlink ref="U67" r:id="rId921" xr:uid="{63BFF6B4-9797-AB49-A3F5-433EA15CDF03}"/>
    <hyperlink ref="W67" r:id="rId922" xr:uid="{29DC35D6-38EF-0246-A524-1BFBB85D5824}"/>
    <hyperlink ref="Y67" r:id="rId923" xr:uid="{C61D31E7-700B-664D-83B8-CEFC37F0CC90}"/>
    <hyperlink ref="U112" r:id="rId924" xr:uid="{1EA9D83F-3022-3946-8EAA-359E230D6F48}"/>
    <hyperlink ref="W112" r:id="rId925" xr:uid="{1D003C93-4189-074C-A37A-43E0E04F8265}"/>
    <hyperlink ref="Y112" r:id="rId926" xr:uid="{1E1A2070-070B-8242-905F-0D4B178242E1}"/>
    <hyperlink ref="U134" r:id="rId927" xr:uid="{D29BDAB4-C02B-0443-9DF3-4585F4D1021D}"/>
    <hyperlink ref="W134" r:id="rId928" xr:uid="{AF739255-A5BD-8F43-80DE-88C53C2F3A5F}"/>
    <hyperlink ref="Y134" r:id="rId929" xr:uid="{6C5DDA13-F7D1-3741-9AB6-F8344AE61F1A}"/>
    <hyperlink ref="U156" r:id="rId930" xr:uid="{DF943373-386B-114B-A1FB-D281A6A54226}"/>
    <hyperlink ref="W156" r:id="rId931" xr:uid="{5882EC0D-3B88-1A48-A6EE-7FD671879DCB}"/>
    <hyperlink ref="Y156" r:id="rId932" xr:uid="{29BB0034-E772-1D43-ABCD-D100376FDD35}"/>
    <hyperlink ref="U178" r:id="rId933" xr:uid="{473BB104-2767-B543-B11B-2074DFCCE4FE}"/>
    <hyperlink ref="W178" r:id="rId934" xr:uid="{146EC7A1-A55C-014D-8614-4C87D5F820F9}"/>
    <hyperlink ref="Y178" r:id="rId935" xr:uid="{A39EA5B8-8379-584C-8E31-918694BA1325}"/>
    <hyperlink ref="U329" r:id="rId936" xr:uid="{FE1FCE2C-45B6-C24D-A01E-2576D5B86E2E}"/>
    <hyperlink ref="W329" r:id="rId937" xr:uid="{99F60715-A2E8-7943-89E6-723C212EBD3F}"/>
    <hyperlink ref="Y329" r:id="rId938" xr:uid="{06282534-854B-7245-B89A-229D329C4902}"/>
    <hyperlink ref="U405" r:id="rId939" xr:uid="{B35787AC-1C46-F449-A271-9D42E72CC9D6}"/>
    <hyperlink ref="W405" r:id="rId940" xr:uid="{8521BF49-3C93-7741-8060-ED26B22A32E9}"/>
    <hyperlink ref="Y405" r:id="rId941" xr:uid="{3E018AA1-5E31-5D49-8C79-CF4B7AEA3849}"/>
    <hyperlink ref="U424" r:id="rId942" xr:uid="{11A0F687-9B84-2547-B8CC-C00228799C03}"/>
    <hyperlink ref="W425" r:id="rId943" xr:uid="{D83FCAC3-C82F-CB46-8592-2C06A0F76DBC}"/>
    <hyperlink ref="U423" r:id="rId944" xr:uid="{1E3A34C7-6381-4149-8FC5-6D45908BF79A}"/>
    <hyperlink ref="U425" r:id="rId945" xr:uid="{F02986B0-D27D-3A49-AA2A-1F642020CB45}"/>
    <hyperlink ref="U427" r:id="rId946" xr:uid="{0C859430-6784-A944-99DD-F52BAED976AE}"/>
    <hyperlink ref="W428" r:id="rId947" xr:uid="{81125772-ED47-934E-8425-5B155F94A7EA}"/>
    <hyperlink ref="U428" r:id="rId948" xr:uid="{B20D18FD-86C2-5D40-A41C-60BE3D9614D3}"/>
    <hyperlink ref="U430" r:id="rId949" xr:uid="{ED34F92A-AF77-714A-9654-72ECF18C4688}"/>
    <hyperlink ref="U433" r:id="rId950" xr:uid="{218365AB-1D8B-FF40-A01A-FDC22331409E}"/>
    <hyperlink ref="W430" r:id="rId951" xr:uid="{E2249D6E-0C93-7B47-9A14-D424088B4353}"/>
    <hyperlink ref="U432" r:id="rId952" xr:uid="{CD194046-49A0-CE49-923B-EA377FF7F6A0}"/>
    <hyperlink ref="W433" r:id="rId953" xr:uid="{9A7061C8-2C15-D24C-83F1-9876AD663AD5}"/>
    <hyperlink ref="U438" r:id="rId954" xr:uid="{C6121EE2-96AD-184F-B2B8-5F9770136212}"/>
    <hyperlink ref="U435" r:id="rId955" xr:uid="{7D6B9212-2505-634E-BDF8-4C6E742F7E9F}"/>
    <hyperlink ref="U439" r:id="rId956" xr:uid="{81241B45-B8E8-9E47-8D76-DC69DE44F8AA}"/>
    <hyperlink ref="W439" r:id="rId957" xr:uid="{4698AB57-B423-0B43-8278-FA19C6C2C407}"/>
    <hyperlink ref="U436" r:id="rId958" xr:uid="{DB3897AB-65DA-A547-B157-E396FCD3CABA}"/>
    <hyperlink ref="U434" r:id="rId959" xr:uid="{ACEEBFF4-BD63-9546-84ED-A04256B7F5C4}"/>
    <hyperlink ref="W436" r:id="rId960" xr:uid="{AFD99FBE-6273-BB4E-AE9D-CE2F3851EF04}"/>
    <hyperlink ref="Y436" r:id="rId961" xr:uid="{49C7ECDE-A422-BE4F-B7CD-C497922AF802}"/>
    <hyperlink ref="W434" r:id="rId962" xr:uid="{F5C81DE9-CB60-B347-9479-38A9D565C4DC}"/>
    <hyperlink ref="W435" r:id="rId963" xr:uid="{1AE035AD-9B1D-7B47-B376-613813C291B2}"/>
    <hyperlink ref="U437" r:id="rId964" xr:uid="{DE4152E9-101A-2347-88AC-1C7B03FD88C6}"/>
    <hyperlink ref="AA436" r:id="rId965" xr:uid="{5452FF33-7E94-744B-93AE-E13CAE0953A3}"/>
    <hyperlink ref="Y434" r:id="rId966" xr:uid="{C9F05899-00DD-1A4D-92A3-90C51C74B860}"/>
    <hyperlink ref="Y435" r:id="rId967" xr:uid="{F925DCBD-4304-BD4D-B851-4AEB168179A0}"/>
    <hyperlink ref="U446" r:id="rId968" xr:uid="{3A3E226F-6E11-5249-9096-AE03CB89B8E7}"/>
    <hyperlink ref="U445" r:id="rId969" xr:uid="{35E68E7C-08FE-434F-9E19-B1C99C0B3D6B}"/>
    <hyperlink ref="U444" r:id="rId970" xr:uid="{48ABAAC1-BC71-0F48-AA68-E5E59F989CB4}"/>
    <hyperlink ref="U443" r:id="rId971" xr:uid="{7511B332-4BB2-C048-8CDD-C77783E24298}"/>
    <hyperlink ref="U441" r:id="rId972" xr:uid="{148DE792-B8EA-374A-8513-66A2BB208AE9}"/>
    <hyperlink ref="W441" r:id="rId973" xr:uid="{A1391115-6299-CC48-8BE2-DB3228BB96C4}"/>
    <hyperlink ref="W443" r:id="rId974" xr:uid="{AEAD3097-1421-5140-B08D-818DE4E33F87}"/>
    <hyperlink ref="W444" r:id="rId975" xr:uid="{3D6AF889-46DD-3447-B26F-411492B53B34}"/>
    <hyperlink ref="Y444" r:id="rId976" xr:uid="{06C64855-16B8-364D-AD37-E6C15E0B20C3}"/>
    <hyperlink ref="Z443" r:id="rId977" xr:uid="{6DA277F0-5053-194E-BB07-8B6E2E5B6A96}"/>
    <hyperlink ref="U447" r:id="rId978" xr:uid="{C04CE6DA-6E35-0A40-9A16-0AB3A7CB1F88}"/>
    <hyperlink ref="W447" r:id="rId979" xr:uid="{527368C9-2385-C541-8EB3-14951F196C50}"/>
    <hyperlink ref="W442" r:id="rId980" xr:uid="{36CD706C-939B-8E4F-B58E-FD703188907F}"/>
    <hyperlink ref="U442" r:id="rId981" xr:uid="{79DF699E-DB66-1543-B1BC-783863F63BAA}"/>
    <hyperlink ref="Y442" r:id="rId982" xr:uid="{42141294-B8FD-E840-AB4A-4282D94EF55D}"/>
    <hyperlink ref="AA443" r:id="rId983" xr:uid="{4700FC06-1F08-6546-8503-99A70A7A4348}"/>
    <hyperlink ref="U440" r:id="rId984" xr:uid="{3A0E25D0-4AB9-6C41-9B67-40DCB85F7010}"/>
    <hyperlink ref="W440" r:id="rId985" xr:uid="{C97695D0-F098-E548-926B-3739D65E8A42}"/>
    <hyperlink ref="U463" r:id="rId986" xr:uid="{05411045-BCBD-5341-8774-62C44739B5E3}"/>
    <hyperlink ref="U462" r:id="rId987" xr:uid="{D1B9AAEB-2530-AC47-AB3A-2D70E4366442}"/>
    <hyperlink ref="U461" r:id="rId988" xr:uid="{4AB63104-96DE-2444-935E-6BCD8C0886EF}"/>
    <hyperlink ref="W461" r:id="rId989" xr:uid="{8B5D2211-BB49-F647-8C5D-C4B706CB1317}"/>
    <hyperlink ref="W462" r:id="rId990" xr:uid="{04297271-A448-E74A-AC19-FE59CCA07FCB}"/>
    <hyperlink ref="Y462" r:id="rId991" xr:uid="{0162B46C-4B24-CA49-BCA7-E24224B4748A}"/>
    <hyperlink ref="Z461" r:id="rId992" xr:uid="{35CE4F1A-B374-A94F-BC9F-F195C67A0D4F}"/>
    <hyperlink ref="AA461" r:id="rId993" xr:uid="{B9742E0F-26AC-4B46-84E7-22E8BADF3644}"/>
    <hyperlink ref="U460" r:id="rId994" xr:uid="{BC4621C9-D5E2-CD43-8344-3F59C2ECB199}"/>
    <hyperlink ref="U407" r:id="rId995" xr:uid="{04C3027C-CD8D-CC4B-8D26-33A25974C95F}"/>
    <hyperlink ref="U406" r:id="rId996" xr:uid="{2FFF648F-F42A-5447-BC4D-BA71900E2E2A}"/>
    <hyperlink ref="U409" r:id="rId997" xr:uid="{C0E323C1-5172-F549-87A6-74A122C33002}"/>
    <hyperlink ref="W409" r:id="rId998" xr:uid="{D0F51A3E-2C34-934E-8D8C-CD9F235274C0}"/>
    <hyperlink ref="U411" r:id="rId999" xr:uid="{83296725-B1E1-E849-B4FC-945A4BCD3147}"/>
    <hyperlink ref="W411" r:id="rId1000" xr:uid="{875DB157-9D47-694F-85DD-7ED089201CBB}"/>
    <hyperlink ref="U413" r:id="rId1001" xr:uid="{3436EB89-381A-6949-A5F4-C1A0F3524ED0}"/>
    <hyperlink ref="W413" r:id="rId1002" xr:uid="{88C561D5-E22E-8241-B160-70CA96AE85B6}"/>
    <hyperlink ref="U500" r:id="rId1003" xr:uid="{03EDE77C-7B6D-D04F-9967-5CAA73297897}"/>
    <hyperlink ref="W500" r:id="rId1004" xr:uid="{300DC6A1-3C53-4C42-BBFF-86A7CA9FC830}"/>
    <hyperlink ref="Y500" r:id="rId1005" xr:uid="{A4CAA351-7106-9647-A46E-32CA951E4FD2}"/>
    <hyperlink ref="AA500" r:id="rId1006" xr:uid="{46011416-C804-F64D-9007-C6C99DF99DAA}"/>
    <hyperlink ref="U501" r:id="rId1007" xr:uid="{8DA32003-758D-0749-8EE6-1D6D563C9D0A}"/>
    <hyperlink ref="U502" r:id="rId1008" xr:uid="{9CB77250-07A1-C34A-B56B-BF12A5DAECE7}"/>
    <hyperlink ref="U503" r:id="rId1009" xr:uid="{8F7EA070-19B4-E54F-B9DC-A440DDBC307C}"/>
    <hyperlink ref="W501" r:id="rId1010" xr:uid="{644D7E35-71FF-4C40-B8D7-F7813283BEAE}"/>
    <hyperlink ref="W502" r:id="rId1011" xr:uid="{6D822F35-B500-F141-BFFE-CB26D0D68CC8}"/>
    <hyperlink ref="W503" r:id="rId1012" xr:uid="{9DDB68A7-63DC-4740-AD6A-05E7D003D534}"/>
    <hyperlink ref="Y501" r:id="rId1013" xr:uid="{EE8D5898-2D05-C049-B533-6CC6B13F34FC}"/>
    <hyperlink ref="Y502" r:id="rId1014" xr:uid="{3F5B21A1-4DD8-F942-AA0F-56C3156BD4FC}"/>
    <hyperlink ref="Y503" r:id="rId1015" xr:uid="{85C6198B-0207-BE44-A9BF-44B957648325}"/>
    <hyperlink ref="AA501" r:id="rId1016" xr:uid="{E788C780-1203-A24B-BFF2-8B4B79115247}"/>
    <hyperlink ref="AA502" r:id="rId1017" xr:uid="{98800020-12FC-E946-A356-E09782BB0D84}"/>
    <hyperlink ref="AA503" r:id="rId1018" xr:uid="{B7DFEE48-E578-584B-8DDD-3BB6BE77ACAC}"/>
    <hyperlink ref="U504" r:id="rId1019" xr:uid="{0EF1955F-EDE0-1C40-B54E-BE4B2B572F06}"/>
    <hyperlink ref="U505" r:id="rId1020" display="https://doi.org/10.1016/S1002-0160(18)60034-7" xr:uid="{430DFBEE-1F3C-924A-8BB7-29E5EFE5DA66}"/>
    <hyperlink ref="U506" r:id="rId1021" display="https://doi.org/10.1016/S1002-0160(18)60034-7" xr:uid="{852C6B10-C536-7441-ADEA-DD3B95C7446A}"/>
    <hyperlink ref="U507" r:id="rId1022" display="https://doi.org/10.1016/S1002-0160(18)60034-7" xr:uid="{C774C524-FA14-1E4D-BC3C-05439B64AACA}"/>
    <hyperlink ref="W507" r:id="rId1023" xr:uid="{EB6E0E08-BE8A-1649-AE09-D38C37456A05}"/>
    <hyperlink ref="Z492" r:id="rId1024" xr:uid="{F89903AA-4E5A-054F-8F0E-726B3D62C71B}"/>
    <hyperlink ref="W508" r:id="rId1025" xr:uid="{AD9162C5-1258-FE4D-8D93-36EE2813383F}"/>
    <hyperlink ref="U522" r:id="rId1026" xr:uid="{6A66E4A5-AA9C-FE49-A056-5A81EF4D9DF3}"/>
    <hyperlink ref="W522" r:id="rId1027" xr:uid="{C8770A74-06B8-B444-B4D7-181E9A212C56}"/>
    <hyperlink ref="U521" r:id="rId1028" xr:uid="{25434217-B0A1-7543-8CB6-9141CDFA9894}"/>
    <hyperlink ref="W521" r:id="rId1029" xr:uid="{6800902E-37FB-A040-AFE6-DFEAFF1A0BE2}"/>
    <hyperlink ref="U498" r:id="rId1030" xr:uid="{D222A405-FAF0-D14C-8796-8F2CFCF89AC1}"/>
    <hyperlink ref="U499" r:id="rId1031" display="https://doi.org/10.1016/j.jhydrol.2012.06.021" xr:uid="{3BAF3A08-826A-E848-8491-337B203F3A38}"/>
    <hyperlink ref="U493" r:id="rId1032" xr:uid="{4454AAAF-E987-5744-8D17-689A713BED10}"/>
    <hyperlink ref="U492" r:id="rId1033" xr:uid="{AC9F6008-0D29-4445-9943-04E3144965F9}"/>
    <hyperlink ref="U496" r:id="rId1034" xr:uid="{E4A3D410-2B31-D644-950D-43B3051A88FC}"/>
    <hyperlink ref="U494" r:id="rId1035" display="https://doi.org/10.1016/j.jhydrol.2012.06.021" xr:uid="{5A235476-A33F-5D48-BF42-DFD20736CBFD}"/>
    <hyperlink ref="U495" r:id="rId1036" display="https://doi.org/10.1016/j.jhydrol.2012.06.021" xr:uid="{467158E5-D368-E74A-ABF6-32B962F5F522}"/>
    <hyperlink ref="U497" r:id="rId1037" display="https://doi.org/10.1016/j.jhydrol.2012.06.021" xr:uid="{B647DBBB-1722-D84B-992A-DE6F7AE19609}"/>
    <hyperlink ref="W493" r:id="rId1038" xr:uid="{ADF6C5F9-5915-1C45-A908-DBCE04554848}"/>
    <hyperlink ref="W494" r:id="rId1039" display="https://doi.org/10.3390/su141811538" xr:uid="{D45BE6FB-51B7-1F49-92AA-5086667FA19F}"/>
    <hyperlink ref="W492" r:id="rId1040" display="https://doi.org/10.3390/su141811538" xr:uid="{5BD426F4-5E5B-6649-AC6B-5D817147E8FB}"/>
    <hyperlink ref="W495" r:id="rId1041" display="https://doi.org/10.3390/su141811538" xr:uid="{99654E93-F6EE-EC40-BDF5-0BB0368CD565}"/>
    <hyperlink ref="W496" r:id="rId1042" display="https://doi.org/10.3390/su141811538" xr:uid="{CA7E638E-4BF2-F94E-9266-FDC51BEDCC43}"/>
    <hyperlink ref="W497" r:id="rId1043" display="https://doi.org/10.3390/su141811538" xr:uid="{BF9A7826-30D2-8E45-B761-4879CC9CD30C}"/>
    <hyperlink ref="W498" r:id="rId1044" display="https://doi.org/10.3390/su141811538" xr:uid="{7D371016-5A04-8E46-916B-DC4254504D19}"/>
    <hyperlink ref="W499" r:id="rId1045" display="https://doi.org/10.3390/su141811538" xr:uid="{070D5015-08CE-A243-BE24-DA810ABBA46B}"/>
    <hyperlink ref="U517" r:id="rId1046" xr:uid="{30C2312D-C25D-FF4B-A77C-45E347486496}"/>
    <hyperlink ref="W517" r:id="rId1047" xr:uid="{E94FB60D-C8AA-274E-9563-71BB9E4807A1}"/>
    <hyperlink ref="Y517" r:id="rId1048" xr:uid="{7C56F9D9-7455-6E4C-B262-059694BE1C55}"/>
    <hyperlink ref="J514" r:id="rId1049" display="https://www.mdpi.com/2073-445X/11/12/2129" xr:uid="{D1EDDFB1-F893-9B4B-8402-6B84DF1B00A7}"/>
    <hyperlink ref="U518" r:id="rId1050" xr:uid="{5437178A-1B9D-4942-BACD-6EFF209DBBC9}"/>
    <hyperlink ref="W518" r:id="rId1051" xr:uid="{1A52BAEF-5ED8-0C49-88FB-641141BAC260}"/>
    <hyperlink ref="U519" r:id="rId1052" xr:uid="{328194ED-3020-6140-B766-5992AA950104}"/>
    <hyperlink ref="U520" r:id="rId1053" xr:uid="{5D7E9464-2DB5-E24A-AE53-5F563652E33C}"/>
    <hyperlink ref="U515" r:id="rId1054" xr:uid="{E2216D4D-7C73-1343-B76F-85A4941C17BB}"/>
    <hyperlink ref="W515" r:id="rId1055" xr:uid="{4A88706B-626A-DE45-9BBB-5C2E610AD39B}"/>
    <hyperlink ref="U514" r:id="rId1056" xr:uid="{D284B152-AEE6-3143-A2B9-C28454F796C7}"/>
    <hyperlink ref="U516" r:id="rId1057" xr:uid="{ADDB7808-79B0-154E-B02F-1342F725B403}"/>
    <hyperlink ref="W516" r:id="rId1058" xr:uid="{474AA520-CF1D-124B-9811-BDA916350D67}"/>
    <hyperlink ref="U511" r:id="rId1059" xr:uid="{67FF0753-2246-E940-B534-6BCE722A29A0}"/>
    <hyperlink ref="W511" r:id="rId1060" display="https://doi.org/10.3390/su141811538" xr:uid="{621EC8A5-26BE-D14D-AB63-4EB45675BF5D}"/>
    <hyperlink ref="U513" r:id="rId1061" display="https://doi.org/10.1016/j.jhydrol.2012.06.021" xr:uid="{4EAE9B66-4A7C-0047-9534-232EB466E2EB}"/>
    <hyperlink ref="W513" r:id="rId1062" display="https://doi.org/10.3390/su141811538" xr:uid="{A1CBFB32-FF46-B64F-95A7-1E204C83E5E5}"/>
    <hyperlink ref="Z513" r:id="rId1063" xr:uid="{E8CAAA8E-CAF7-2B4E-B3F4-A526D843E043}"/>
    <hyperlink ref="U508" r:id="rId1064" xr:uid="{D8B276CD-BED2-194C-88DB-3D19CD66134C}"/>
    <hyperlink ref="U512" r:id="rId1065" xr:uid="{03DFEE03-2D24-0949-9897-F2A34DE86452}"/>
    <hyperlink ref="U510" r:id="rId1066" xr:uid="{F582F4E3-AED2-1C45-88D8-D3353EE914E0}"/>
    <hyperlink ref="Y511" r:id="rId1067" xr:uid="{0455FB74-25FE-8C4A-89AE-4928AE489594}"/>
    <hyperlink ref="W512" r:id="rId1068" xr:uid="{A4782284-563D-1045-9E24-A5C6AFC25068}"/>
    <hyperlink ref="U509" r:id="rId1069" xr:uid="{0AB2DC3A-8DD2-224C-B148-DA2813F5A05C}"/>
    <hyperlink ref="W509" r:id="rId1070" xr:uid="{9CF0BD0D-EDA4-BB46-A843-169E35C1AC13}"/>
    <hyperlink ref="U389" r:id="rId1071" xr:uid="{3B0E0F28-5C7C-EE48-8DAD-3110C18AFA79}"/>
    <hyperlink ref="U388" r:id="rId1072" xr:uid="{3E1FF114-D199-C24F-A5F0-60B87010D7E9}"/>
    <hyperlink ref="W388" r:id="rId1073" xr:uid="{57093E7C-49F2-334E-8B19-D67E502ADA3C}"/>
    <hyperlink ref="Y388" r:id="rId1074" xr:uid="{66881A8C-9A78-4944-84C1-D45396F05E49}"/>
    <hyperlink ref="AA388" r:id="rId1075" xr:uid="{E7586A54-807C-AF4E-9B64-08ABE63F3391}"/>
    <hyperlink ref="U387" r:id="rId1076" xr:uid="{267C3D06-2BCF-9247-B08B-71C0E828434F}"/>
    <hyperlink ref="W387" r:id="rId1077" xr:uid="{16E2B49A-1998-A147-B704-52ADF45E68BA}"/>
    <hyperlink ref="Y387" r:id="rId1078" xr:uid="{56137460-FD0D-154E-B9E2-556D82D20068}"/>
    <hyperlink ref="AA387" r:id="rId1079" xr:uid="{A2B1744F-3E0F-7F4E-865F-12CFE87440F2}"/>
    <hyperlink ref="U382" r:id="rId1080" xr:uid="{43A6466C-455E-F441-8F37-906F55660F29}"/>
    <hyperlink ref="W382" r:id="rId1081" xr:uid="{E92F351B-35DC-3E47-B89F-2A0811C26C38}"/>
    <hyperlink ref="W383" r:id="rId1082" xr:uid="{2D83E988-C7E8-444B-B29E-48E94452A7E1}"/>
    <hyperlink ref="U383" r:id="rId1083" xr:uid="{19177395-C499-474A-B9CA-17C9091EC68E}"/>
    <hyperlink ref="Y383" r:id="rId1084" xr:uid="{B7247E4A-DBB8-A545-9CCD-0362DE6143E3}"/>
    <hyperlink ref="U381" r:id="rId1085" xr:uid="{C670E331-9E77-DC48-8370-98BEE4E39632}"/>
    <hyperlink ref="U384" r:id="rId1086" xr:uid="{CA4F90E3-5C6B-5445-8F1D-47E32F9FB059}"/>
    <hyperlink ref="W384" r:id="rId1087" xr:uid="{32626DC5-A053-6B45-9F9B-310EE1F3FCF9}"/>
    <hyperlink ref="U380" r:id="rId1088" xr:uid="{C1578632-406B-BC48-8AC1-CBBA248359DD}"/>
    <hyperlink ref="Y382" r:id="rId1089" xr:uid="{36984C2A-2A1A-7549-9ADF-D81BFC6F3B17}"/>
    <hyperlink ref="U385" r:id="rId1090" xr:uid="{EC0ED763-637D-8745-BB14-C0FCEAC23B11}"/>
    <hyperlink ref="W385" r:id="rId1091" xr:uid="{12633F5C-E079-F74B-A232-92EC758B5C71}"/>
    <hyperlink ref="Y385" r:id="rId1092" xr:uid="{4CCB4812-6DAA-4645-92D9-5C0FE5DE9502}"/>
    <hyperlink ref="Y384" r:id="rId1093" xr:uid="{6769CF77-FE05-0246-9E6B-E3A1144728DF}"/>
    <hyperlink ref="U476" r:id="rId1094" xr:uid="{870646A7-23CC-CD4E-84AF-3644E52D552C}"/>
    <hyperlink ref="W481" r:id="rId1095" xr:uid="{93E42DA9-21CC-5E44-A2FC-1FD32A727F0A}"/>
    <hyperlink ref="W476" r:id="rId1096" xr:uid="{045E2AB0-031A-BD4F-91E5-0FC3C66E2C8C}"/>
    <hyperlink ref="W482" r:id="rId1097" xr:uid="{3DED37DD-1C64-B841-936C-E1D0C569D6B9}"/>
    <hyperlink ref="U477" r:id="rId1098" xr:uid="{CBD50B4A-8329-1841-9C14-B88F00CB9239}"/>
    <hyperlink ref="W477" r:id="rId1099" xr:uid="{C1D983DC-E083-F048-936D-3305D52EFC8E}"/>
    <hyperlink ref="U481" r:id="rId1100" xr:uid="{C7D1D5AD-4591-4549-82A6-725EA69F2CD9}"/>
    <hyperlink ref="U482" r:id="rId1101" xr:uid="{D8129258-FC56-F84C-BC11-28E1EB3FB099}"/>
    <hyperlink ref="U480" r:id="rId1102" xr:uid="{592BC02D-1F63-B045-89E1-0BB2B2939924}"/>
    <hyperlink ref="W480" r:id="rId1103" xr:uid="{3A6809A9-9D7C-E348-82E3-8295B82F969A}"/>
    <hyperlink ref="U479" r:id="rId1104" xr:uid="{7D76C699-F881-1842-9DB7-D8BB5BC17334}"/>
    <hyperlink ref="U478:U479" r:id="rId1105" display="https://www.otthydromet.com/en/p-ott-svr-100-surface-velocity-radar/6315100490?utm_source=chatgpt.com" xr:uid="{6E28ABE4-7717-8E4C-8842-3D528D1C89D0}"/>
    <hyperlink ref="U483" r:id="rId1106" xr:uid="{7C144D65-5D0C-B34C-B220-BE645D1966EF}"/>
    <hyperlink ref="U485" r:id="rId1107" xr:uid="{F23F2D48-BD40-8240-BEDF-7DF32D503918}"/>
    <hyperlink ref="W485" r:id="rId1108" display="https://doi.org/10.3390/su141811538" xr:uid="{3BBB670E-08C8-8345-B2A9-687C69BB0D68}"/>
    <hyperlink ref="Y485" r:id="rId1109" xr:uid="{60DF0F9E-D76C-8B46-923F-07E7E5ED0F5B}"/>
    <hyperlink ref="U484" r:id="rId1110" xr:uid="{D1FD6BED-B13F-2E42-BA9A-8596E99E1CB4}"/>
    <hyperlink ref="W484" r:id="rId1111" xr:uid="{F868AC87-396E-D748-BC80-B8530B5A540D}"/>
    <hyperlink ref="U467" r:id="rId1112" xr:uid="{3CCFCFAF-662B-3E42-B9C0-9D17060CB657}"/>
    <hyperlink ref="U466" r:id="rId1113" xr:uid="{5CA92618-7599-354A-9E08-A16B271C87E5}"/>
    <hyperlink ref="U378" r:id="rId1114" xr:uid="{6576616B-32F4-9D4D-BCF2-87CE5250677B}"/>
    <hyperlink ref="W378" r:id="rId1115" xr:uid="{E2CE529B-3201-BD43-8B3D-89428D85FB80}"/>
    <hyperlink ref="Y378" r:id="rId1116" xr:uid="{D55A7330-FA7F-1547-81DD-4A86BA2B58A6}"/>
    <hyperlink ref="AA378" r:id="rId1117" xr:uid="{DAF8111A-8000-2B41-852E-2C2F3F73C344}"/>
    <hyperlink ref="U377" r:id="rId1118" xr:uid="{8C5AF5FA-FA7F-2043-B3CB-645DAD7AED53}"/>
    <hyperlink ref="W377" r:id="rId1119" xr:uid="{8E59C8F3-B0CE-524C-A1A9-17240F1E4CD5}"/>
    <hyperlink ref="Y377" r:id="rId1120" xr:uid="{B6BCABBE-8299-4646-AEBF-FE859E18C102}"/>
    <hyperlink ref="AA377" r:id="rId1121" xr:uid="{120BC9CF-505E-DF47-A3CE-DD8340F14DE7}"/>
    <hyperlink ref="U372" r:id="rId1122" xr:uid="{FFBFCEA9-2DCE-CF45-9E52-DFC3150977C1}"/>
    <hyperlink ref="W372" r:id="rId1123" xr:uid="{861D956D-30DF-964E-AAD0-6C87514B7EAB}"/>
    <hyperlink ref="W373" r:id="rId1124" xr:uid="{E3A977A6-0A69-A841-AC6C-AC9999C59CC9}"/>
    <hyperlink ref="U373" r:id="rId1125" xr:uid="{5496D692-F2FC-3C41-9B0C-B79699C0DFE6}"/>
    <hyperlink ref="Y373" r:id="rId1126" xr:uid="{96E326A2-6DC6-684A-95FE-2D77F758A311}"/>
    <hyperlink ref="U371" r:id="rId1127" xr:uid="{6B330D56-69F8-5B48-B541-668F89C3F019}"/>
    <hyperlink ref="U374" r:id="rId1128" xr:uid="{C7D095D7-6A29-3B46-AF20-C7261BF50F13}"/>
    <hyperlink ref="W374" r:id="rId1129" xr:uid="{EC7E47C1-BC7D-4642-8CDA-B10186B4E1D4}"/>
    <hyperlink ref="U370" r:id="rId1130" xr:uid="{EDBA2D91-AABF-3847-945E-CC5D0F435EA0}"/>
    <hyperlink ref="Y372" r:id="rId1131" xr:uid="{FACA32D3-3424-F64A-987C-0DAD734FF8F2}"/>
    <hyperlink ref="U375" r:id="rId1132" xr:uid="{BF82581F-9E86-D74E-911A-2D76757E2F3E}"/>
    <hyperlink ref="W375" r:id="rId1133" xr:uid="{AF25E02F-039D-7B4B-9D7F-C13FD64B6E65}"/>
    <hyperlink ref="Y375" r:id="rId1134" xr:uid="{9E5A2410-DC9C-CD4E-A272-FE1B1CB9FD3A}"/>
    <hyperlink ref="Y374" r:id="rId1135" xr:uid="{FC55D066-DE6D-8447-A768-B93E0D38C39B}"/>
    <hyperlink ref="U386" r:id="rId1136" xr:uid="{5DE1CDB1-4858-0740-B5ED-CD5F625D4625}"/>
    <hyperlink ref="W386" r:id="rId1137" xr:uid="{93C364A2-500A-9149-AA49-E7BE67F3D81C}"/>
    <hyperlink ref="U376" r:id="rId1138" xr:uid="{FF8801F4-5E75-1C4A-A40A-150997A841FD}"/>
    <hyperlink ref="W376" r:id="rId1139" xr:uid="{1A7FF390-CDC0-5E4B-A2EC-59D515B64453}"/>
    <hyperlink ref="AB372" r:id="rId1140" xr:uid="{8B72A8AD-6203-9442-9270-06BC66537563}"/>
    <hyperlink ref="U226" r:id="rId1141" xr:uid="{6E293B29-4177-EE45-85C6-5C5466A7DA3C}"/>
    <hyperlink ref="W226" r:id="rId1142" xr:uid="{1E6A88A2-AF71-B844-A1F0-847EDA7126F3}"/>
    <hyperlink ref="Y226" r:id="rId1143" xr:uid="{6E4EB75A-929C-BB49-9FA9-413F6364244E}"/>
    <hyperlink ref="AA226" r:id="rId1144" xr:uid="{7BADE058-1B9A-3147-A37C-8C3E62278A38}"/>
    <hyperlink ref="U225" r:id="rId1145" xr:uid="{7ACE8468-A0D8-1F45-B71C-89633E98F0EE}"/>
    <hyperlink ref="W225" r:id="rId1146" xr:uid="{7C0EACEA-EB8A-4B48-946E-5266AA1F52B9}"/>
    <hyperlink ref="Y225" r:id="rId1147" xr:uid="{FB4D90C9-EE76-8B48-ACD8-6D4BF057C9DB}"/>
    <hyperlink ref="AA225" r:id="rId1148" xr:uid="{DB99DD80-585A-004E-A071-FD75B26BCD24}"/>
    <hyperlink ref="U263" r:id="rId1149" xr:uid="{264C5071-5D1F-2345-BD87-D2C94B362089}"/>
    <hyperlink ref="W263" r:id="rId1150" xr:uid="{A395EBC1-670B-2449-9D40-F22193D9DCB2}"/>
    <hyperlink ref="U230" r:id="rId1151" xr:uid="{BD80A7BF-7C5B-FB4D-A4CE-14B3DAD48A68}"/>
    <hyperlink ref="W230" r:id="rId1152" xr:uid="{2D92B2AE-0A2D-D743-8863-3710B97D4748}"/>
    <hyperlink ref="U231" r:id="rId1153" xr:uid="{3A42FA46-2016-1246-BFA2-5E41551F581D}"/>
    <hyperlink ref="W231" r:id="rId1154" xr:uid="{FA176E7D-8BD0-4B45-B095-B7DBA440803B}"/>
    <hyperlink ref="Y231" r:id="rId1155" xr:uid="{63EF5F2A-029D-D948-AF68-D30B26C74CD2}"/>
    <hyperlink ref="Y230" r:id="rId1156" xr:uid="{4ADAEC34-BB5C-B34C-8556-36C5DB14C9B0}"/>
    <hyperlink ref="U232" r:id="rId1157" xr:uid="{32E8183A-55C5-6246-9A93-14603F881A3B}"/>
    <hyperlink ref="W232" r:id="rId1158" xr:uid="{0829D8A5-E6D1-B84A-AF39-B7B91D79DAE0}"/>
    <hyperlink ref="W229" r:id="rId1159" xr:uid="{F17630D3-E58E-1449-987B-0078D0146634}"/>
    <hyperlink ref="U229" r:id="rId1160" xr:uid="{7F3CE934-DCE4-A349-BD12-85F324AA34A1}"/>
    <hyperlink ref="Y229" r:id="rId1161" xr:uid="{C9E645F0-C573-364C-9674-5F8D23390129}"/>
    <hyperlink ref="Y228" r:id="rId1162" xr:uid="{0A87A2A0-57F7-CF4A-8C8A-6B46093DF457}"/>
    <hyperlink ref="W228" r:id="rId1163" xr:uid="{313BB15B-5458-6B48-A555-9A15A2B6FA11}"/>
    <hyperlink ref="U228" r:id="rId1164" xr:uid="{347B5A4C-AEAA-494E-9218-2A3251BC7C16}"/>
    <hyperlink ref="U227" r:id="rId1165" xr:uid="{1C30C550-3B3B-CD4E-BC8D-80B3E5E714CE}"/>
    <hyperlink ref="AA230" r:id="rId1166" xr:uid="{1C98986B-2023-D143-9D1B-8B9281AEC9C4}"/>
    <hyperlink ref="AA231" r:id="rId1167" xr:uid="{75F3EF5D-3132-6845-854E-F59EE3188F64}"/>
    <hyperlink ref="U234" r:id="rId1168" xr:uid="{DABAC808-25D4-AA40-BFB7-1D5AF5D0CE8A}"/>
    <hyperlink ref="U237" r:id="rId1169" xr:uid="{00D03D2F-D2E8-9648-A772-4FC4341B496D}"/>
    <hyperlink ref="W235" r:id="rId1170" xr:uid="{2F5535CF-A7CE-4B4F-AA9A-36B43ACCB78A}"/>
    <hyperlink ref="W234" r:id="rId1171" xr:uid="{BC889001-CAED-E046-9F1A-23758A8A2A16}"/>
    <hyperlink ref="U238" r:id="rId1172" xr:uid="{C765DFFF-48E2-6042-A66A-77CFB41A2378}"/>
    <hyperlink ref="U331" r:id="rId1173" xr:uid="{E6E33159-BFED-534E-A0C3-1A4143AAAA0B}"/>
    <hyperlink ref="W331" r:id="rId1174" xr:uid="{8CE5B324-69F9-8C46-952F-54A9013D2FA8}"/>
    <hyperlink ref="Y331" r:id="rId1175" xr:uid="{657502CD-7368-5442-BE93-59FC661186FD}"/>
    <hyperlink ref="AA331" r:id="rId1176" xr:uid="{EA8BF67C-88F9-1A4C-B040-3F386AF643C5}"/>
    <hyperlink ref="U330" r:id="rId1177" xr:uid="{B6C6A2EC-246A-9942-99B5-788337BF84C6}"/>
    <hyperlink ref="W330" r:id="rId1178" xr:uid="{22E4127C-662B-B14C-B78D-6EFC582FB786}"/>
    <hyperlink ref="Y330" r:id="rId1179" xr:uid="{35C1B0B1-691C-444D-B7A0-820D70AD3849}"/>
    <hyperlink ref="AA330" r:id="rId1180" xr:uid="{8271B718-17EE-DC41-9DAC-DB5CD1A66FE0}"/>
    <hyperlink ref="U335" r:id="rId1181" xr:uid="{A450BA2A-E5AB-7042-B27A-5D9B7DDE121B}"/>
    <hyperlink ref="W335" r:id="rId1182" xr:uid="{40F506B8-CA6C-844C-B7F4-4A39E855E4D2}"/>
    <hyperlink ref="U336" r:id="rId1183" xr:uid="{10C7304D-E491-9147-8D18-59F3AA2F7219}"/>
    <hyperlink ref="W336" r:id="rId1184" xr:uid="{96857784-42D3-E84C-99C3-DC58954CA0E5}"/>
    <hyperlink ref="Y336" r:id="rId1185" xr:uid="{110CDC09-A723-0640-AC28-74BAA8464F8E}"/>
    <hyperlink ref="Y335" r:id="rId1186" xr:uid="{7802FBC0-E6CE-DA4D-87E9-E05637C62832}"/>
    <hyperlink ref="U337" r:id="rId1187" xr:uid="{9B6106CC-7AA2-9846-91B5-13809466590F}"/>
    <hyperlink ref="W337" r:id="rId1188" xr:uid="{3D709237-BE2B-1545-A334-59FB3D9F8C52}"/>
    <hyperlink ref="W334" r:id="rId1189" xr:uid="{0B3EA631-6208-0941-AD05-7D6CCAFE2AF7}"/>
    <hyperlink ref="U334" r:id="rId1190" xr:uid="{F894DAA4-22BB-7D40-982F-1E18F645E879}"/>
    <hyperlink ref="Y334" r:id="rId1191" xr:uid="{2936B9D2-1624-7E4A-B33B-A0EF690F1835}"/>
    <hyperlink ref="Y333" r:id="rId1192" xr:uid="{C0F47F37-CCE0-7D41-AAB0-639056CBDA3D}"/>
    <hyperlink ref="W333" r:id="rId1193" xr:uid="{89E6B4B8-11D5-4B48-AF46-185640080B8F}"/>
    <hyperlink ref="U333" r:id="rId1194" xr:uid="{22FAF2B3-110C-1D44-B504-16BD618AB266}"/>
    <hyperlink ref="U332" r:id="rId1195" xr:uid="{8E5E2D13-7A02-2841-830C-37B595F9060B}"/>
    <hyperlink ref="AA335" r:id="rId1196" xr:uid="{2200CA67-64ED-2043-97E2-03DA2AC901FB}"/>
    <hyperlink ref="AA336" r:id="rId1197" xr:uid="{462D684E-0C32-CE48-842C-9C5E2586F3B7}"/>
    <hyperlink ref="U341" r:id="rId1198" xr:uid="{C32CB86E-3399-9041-8C04-5C08F4D433BB}"/>
    <hyperlink ref="U342" r:id="rId1199" xr:uid="{D1D53820-6493-DB4D-BFC3-BC12BBE0DC3B}"/>
    <hyperlink ref="U343" r:id="rId1200" xr:uid="{9965B50B-F078-354B-8088-1801FADA0B35}"/>
    <hyperlink ref="W343" r:id="rId1201" xr:uid="{D6A8615C-6C2F-5341-8050-AA0C2D80AE47}"/>
    <hyperlink ref="Y343" r:id="rId1202" xr:uid="{4283C2BC-7AE5-0144-85D2-B6B52FD9E01E}"/>
    <hyperlink ref="AA343" r:id="rId1203" xr:uid="{34EEB0D6-314F-1547-B4AA-5B77EF70F92B}"/>
    <hyperlink ref="U344" r:id="rId1204" xr:uid="{6208B9AF-D720-A44E-8769-1D2730A88672}"/>
    <hyperlink ref="U345" r:id="rId1205" xr:uid="{98F99B4E-D6A4-8844-B32F-0104B730B78C}"/>
    <hyperlink ref="U346" r:id="rId1206" xr:uid="{D8F3CAC8-EA2E-4840-A112-8B8A2F108922}"/>
    <hyperlink ref="U347" r:id="rId1207" xr:uid="{C141BB11-B2B4-594A-BE52-2127443556B0}"/>
    <hyperlink ref="U348" r:id="rId1208" xr:uid="{1BC2FC52-43C1-7C42-9842-C415237093F7}"/>
    <hyperlink ref="W344" r:id="rId1209" xr:uid="{11487815-933D-BC48-99B7-F4E034177776}"/>
    <hyperlink ref="W345" r:id="rId1210" xr:uid="{F80D15CF-D81F-0E44-83E1-640F8746DABE}"/>
    <hyperlink ref="W346" r:id="rId1211" xr:uid="{B35D1636-D404-544E-9AC1-78B6E302C352}"/>
    <hyperlink ref="W347" r:id="rId1212" xr:uid="{56A9C95B-89CB-1A4E-BA6A-E2889540E976}"/>
    <hyperlink ref="W348" r:id="rId1213" xr:uid="{B3F71A62-C22E-6349-BD0C-43B14A5C441D}"/>
    <hyperlink ref="Y344" r:id="rId1214" xr:uid="{EA06772C-6ADE-C549-A6EE-5E702BB0EAA7}"/>
    <hyperlink ref="Y345" r:id="rId1215" xr:uid="{A9998578-A9B0-A94E-ACF5-13D3693CC551}"/>
    <hyperlink ref="Y346" r:id="rId1216" xr:uid="{4D13DFEC-28BB-914E-9A1D-4B50667DDFD7}"/>
    <hyperlink ref="Y347" r:id="rId1217" xr:uid="{62E659EC-338B-1449-9472-5755CEF98157}"/>
    <hyperlink ref="Y348" r:id="rId1218" xr:uid="{D269FD6B-7223-094C-BCA4-B6DE7851ED90}"/>
    <hyperlink ref="AA344" r:id="rId1219" xr:uid="{7CD90C6B-AF59-2449-BFD1-EEDCF43A4D5F}"/>
    <hyperlink ref="AA345" r:id="rId1220" xr:uid="{F6037EDB-6F75-5D43-8215-522ACE84A918}"/>
    <hyperlink ref="AA346" r:id="rId1221" xr:uid="{3057BA8D-6955-8744-9103-DE76427D0063}"/>
    <hyperlink ref="AA347" r:id="rId1222" xr:uid="{82344758-55A1-6246-99BC-8C79D9BE7A6F}"/>
    <hyperlink ref="AA348" r:id="rId1223" xr:uid="{0F04ABFF-7C99-6B42-8F92-4F76340C66BF}"/>
    <hyperlink ref="U339" r:id="rId1224" xr:uid="{7D24D02B-DBBF-DD4B-A45E-138BE1E14E6D}"/>
    <hyperlink ref="W339" r:id="rId1225" xr:uid="{124300F0-2439-F34B-917E-F1B6A4EDF5BB}"/>
    <hyperlink ref="U490" r:id="rId1226" xr:uid="{5B5DCA64-765C-9940-BE93-AF82DE06668D}"/>
    <hyperlink ref="U487" r:id="rId1227" xr:uid="{790CB201-280B-5844-B9D9-0D7C77B7E723}"/>
    <hyperlink ref="W487" r:id="rId1228" display="http://dx.doi.org/10.1007/978-90-481-8859-8_6" xr:uid="{EB5BF73C-DD74-B045-834C-56B04C8B8284}"/>
    <hyperlink ref="U488" r:id="rId1229" xr:uid="{3AD372DA-3618-CB48-83F9-94A9BE151E76}"/>
    <hyperlink ref="U486" r:id="rId1230" xr:uid="{F1E4CC9A-27BA-3F46-8FA6-4520000F45AD}"/>
    <hyperlink ref="U489" r:id="rId1231" xr:uid="{E8A2BE29-09EF-7846-850A-B3D36D60EB4C}"/>
    <hyperlink ref="Y489" r:id="rId1232" xr:uid="{E1D5A359-DFB2-0646-9F76-056F94A6131C}"/>
    <hyperlink ref="AA489" r:id="rId1233" xr:uid="{239A8B1B-9984-D245-ABD8-93B80F035DF4}"/>
    <hyperlink ref="W490" r:id="rId1234" xr:uid="{699DF5C6-E2D7-534B-BB6B-EAA101435F08}"/>
    <hyperlink ref="W489" r:id="rId1235" xr:uid="{78EFAC6E-AD55-8943-8E8C-FB692682FB3F}"/>
    <hyperlink ref="Y490" r:id="rId1236" xr:uid="{A1A57F6E-76F5-4C4C-A556-5AFBA58ABA47}"/>
    <hyperlink ref="AC489" r:id="rId1237" xr:uid="{7E6DDE32-0720-C94C-B55C-F7A0BF4328C4}"/>
    <hyperlink ref="W486" r:id="rId1238" xr:uid="{6DEBCBEA-8A66-4F40-BFB0-EA51942BD617}"/>
    <hyperlink ref="X487" r:id="rId1239" xr:uid="{7F497C5F-0FD5-834B-84A3-B3ABE5B7353F}"/>
    <hyperlink ref="Z487" r:id="rId1240" xr:uid="{954DFE06-8464-E240-830B-ABB6FB1B584E}"/>
    <hyperlink ref="W488" r:id="rId1241" xr:uid="{5B65BDAC-F5AF-E84E-9A22-C82C084FC5D1}"/>
    <hyperlink ref="U304" r:id="rId1242" xr:uid="{25CA262C-730D-7F44-A7C5-350030141F45}"/>
    <hyperlink ref="U306" r:id="rId1243" xr:uid="{D0CA04CB-0301-D449-A7D2-6CF83E7AF0AC}"/>
    <hyperlink ref="W306" r:id="rId1244" xr:uid="{184B68C4-4A1D-BA49-85CA-8E8FFAE8AED6}"/>
    <hyperlink ref="W307" r:id="rId1245" xr:uid="{E01613CF-D4B1-D146-B004-528487EA7791}"/>
    <hyperlink ref="U307" r:id="rId1246" xr:uid="{1EF126ED-88EF-874D-AABC-F805F2EA1CA5}"/>
    <hyperlink ref="Y307" r:id="rId1247" xr:uid="{B0D1C246-98AD-2E4C-8319-AAFE31B78310}"/>
    <hyperlink ref="U308" r:id="rId1248" xr:uid="{008BD33F-7D0F-3143-8A79-4451C7C858CB}"/>
    <hyperlink ref="W308" r:id="rId1249" xr:uid="{3B1910F9-AAC1-EF49-9246-7043FA66197F}"/>
    <hyperlink ref="Y306" r:id="rId1250" xr:uid="{E354EB34-07A6-B042-85BA-F5A07373255B}"/>
    <hyperlink ref="U309" r:id="rId1251" xr:uid="{8F7521A3-5842-BB4E-966C-E65F1D3D9A62}"/>
    <hyperlink ref="W309" r:id="rId1252" xr:uid="{54263311-933E-0444-9BCA-8F1A38E975AB}"/>
    <hyperlink ref="Y309" r:id="rId1253" xr:uid="{11D81BBE-DA9E-6B40-B074-21E81A066712}"/>
    <hyperlink ref="Y308" r:id="rId1254" xr:uid="{820C7148-314A-DF48-953F-415A4BABCF48}"/>
    <hyperlink ref="W315" r:id="rId1255" xr:uid="{87095C5D-FEB7-4E4A-9B4A-B48858585CD7}"/>
    <hyperlink ref="Y315" r:id="rId1256" xr:uid="{AD305AF3-E3B1-2148-9E84-0DAA3603B949}"/>
    <hyperlink ref="AA315" r:id="rId1257" xr:uid="{F9FDD53E-BB07-C946-9D6B-C0F7215A4882}"/>
    <hyperlink ref="U315" r:id="rId1258" xr:uid="{9B453125-C2ED-9444-9483-B42CC9983654}"/>
    <hyperlink ref="U310" r:id="rId1259" xr:uid="{CE65DC37-FE92-304C-9CF8-6C94747A9069}"/>
    <hyperlink ref="W310" r:id="rId1260" xr:uid="{BAA4B6CD-DA41-8D4E-B3C5-ECB0B69BB557}"/>
    <hyperlink ref="U289" r:id="rId1261" xr:uid="{3816353D-98EB-F742-92F4-EC70FF4E8004}"/>
    <hyperlink ref="W289" r:id="rId1262" xr:uid="{F69DB13F-BBAC-6046-90B2-249308C34AA6}"/>
    <hyperlink ref="U305" r:id="rId1263" xr:uid="{A02989DB-FB8C-4148-AC77-FA8797F0E4EF}"/>
    <hyperlink ref="W305" r:id="rId1264" xr:uid="{F55228EA-697B-DD4A-9312-62A790F1CF79}"/>
    <hyperlink ref="W471" r:id="rId1265" xr:uid="{E3A93D4A-2A0E-AE42-B046-A09E02A0C812}"/>
    <hyperlink ref="Y471" r:id="rId1266" xr:uid="{014EC999-DC8A-324D-9129-8F0F2D18A8F6}"/>
    <hyperlink ref="U469" r:id="rId1267" xr:uid="{1E9C459B-6754-154A-8BD3-4FE763C558FA}"/>
    <hyperlink ref="U472" r:id="rId1268" xr:uid="{7FCA6A01-BC86-F544-BA19-67D8F8891B1F}"/>
    <hyperlink ref="U473" r:id="rId1269" xr:uid="{60571A52-F4A0-9E4C-A82B-30E10D4AAF49}"/>
    <hyperlink ref="W472" r:id="rId1270" xr:uid="{A0F292D3-44F6-B14B-BF40-24BF19E8E252}"/>
    <hyperlink ref="U471" r:id="rId1271" xr:uid="{1ADE85C3-5EFF-1A48-9F89-1858290FD4FF}"/>
    <hyperlink ref="U470" r:id="rId1272" xr:uid="{182EF73E-297B-4D48-A80B-4EB601DE0381}"/>
    <hyperlink ref="Y469" r:id="rId1273" xr:uid="{AB2B1503-E959-3F4D-8466-658455196FA3}"/>
    <hyperlink ref="U474" r:id="rId1274" xr:uid="{27F588D8-6974-4142-95B8-8BF3F7375719}"/>
    <hyperlink ref="U475" r:id="rId1275" xr:uid="{67C06B34-4599-484B-B1C2-76EC7B9B655F}"/>
    <hyperlink ref="W475" r:id="rId1276" xr:uid="{95705826-196E-9245-A738-BA069661E4E2}"/>
    <hyperlink ref="W452" r:id="rId1277" xr:uid="{D1E5F1CF-D504-2A44-A89B-5D11BB2D9EF3}"/>
    <hyperlink ref="Y450" r:id="rId1278" xr:uid="{9B8026D3-3C74-F449-AC2A-03DA745F849D}"/>
    <hyperlink ref="U450" r:id="rId1279" xr:uid="{31F6BECB-CB5E-B04B-9328-A277B020C8DA}"/>
    <hyperlink ref="W450" r:id="rId1280" xr:uid="{E31350FC-FCD7-A44D-9D0F-055485749FE0}"/>
    <hyperlink ref="U449" r:id="rId1281" xr:uid="{08FE1837-D543-5E41-9FE1-4FC9373AF299}"/>
    <hyperlink ref="U478" r:id="rId1282" xr:uid="{CC0432E2-BE87-DB40-A7E6-C05E0E51FAA3}"/>
    <hyperlink ref="Y449" r:id="rId1283" xr:uid="{4682297A-7840-7440-8859-CEC6A90B6329}"/>
    <hyperlink ref="W448" r:id="rId1284" xr:uid="{D485E5C7-8ADB-A947-A675-41DD8D3B679D}"/>
    <hyperlink ref="U448" r:id="rId1285" xr:uid="{193CED3A-295E-9743-A6D2-FBF39C738581}"/>
    <hyperlink ref="Y451" r:id="rId1286" xr:uid="{496A3BBA-F36D-F042-BA26-517056C5EB4E}"/>
    <hyperlink ref="Y452" r:id="rId1287" xr:uid="{97C99211-91C7-6046-A1B3-F6D98965DC88}"/>
    <hyperlink ref="AB449" r:id="rId1288" xr:uid="{75DB2734-1368-8341-A32A-63F2726C4945}"/>
    <hyperlink ref="U451" r:id="rId1289" xr:uid="{C266DD9B-F9D9-2B49-B2B1-B8F0340F96E9}"/>
    <hyperlink ref="U452" r:id="rId1290" xr:uid="{FF8BA7FC-2B19-6946-AE76-2143B13E1294}"/>
    <hyperlink ref="U454" r:id="rId1291" xr:uid="{D66A3AD0-9C39-0E46-A851-ECD2D3F00059}"/>
    <hyperlink ref="W454" r:id="rId1292" xr:uid="{B8C16ACC-6C45-B947-83C2-81F7710C00EE}"/>
    <hyperlink ref="V491" r:id="rId1293" xr:uid="{46FF9853-4085-304B-9FB2-BC466CCDDBDB}"/>
    <hyperlink ref="V455" r:id="rId1294" xr:uid="{6C81C9DD-2CEC-D242-AF80-A79BB098D94C}"/>
    <hyperlink ref="U453" r:id="rId1295" xr:uid="{FC3ABCDB-3D50-BB47-9DF7-74AE22932B53}"/>
    <hyperlink ref="Y454" r:id="rId1296" xr:uid="{8D8F54F0-7CE0-2F43-BC20-9EA125901947}"/>
    <hyperlink ref="W455" r:id="rId1297" xr:uid="{59F20138-C138-434C-BF45-9768A2483E3F}"/>
    <hyperlink ref="W357" r:id="rId1298" xr:uid="{6B83BFEB-F55F-014A-976A-5C9AC1BFA072}"/>
    <hyperlink ref="Y357" r:id="rId1299" xr:uid="{F558EB84-2E90-3C40-94EF-5EF74EB6E008}"/>
    <hyperlink ref="AA357" r:id="rId1300" xr:uid="{4D6BFA0C-0670-8E4E-835F-6CAD7E8AD0B2}"/>
    <hyperlink ref="U357" r:id="rId1301" xr:uid="{AF39EACB-B659-6E4B-90CB-3DE38DD7FB17}"/>
    <hyperlink ref="U359" r:id="rId1302" xr:uid="{AC34052E-0B1A-D14E-9CF3-816AB29842A6}"/>
    <hyperlink ref="U366" r:id="rId1303" xr:uid="{06193064-5066-0E40-B4C0-BA996F6F62B4}"/>
    <hyperlink ref="U364" r:id="rId1304" xr:uid="{28A81687-B85B-4048-BECE-5FCEADDF1974}"/>
    <hyperlink ref="U358" r:id="rId1305" xr:uid="{FB0C58BB-FBBC-A94B-A995-875105D59344}"/>
    <hyperlink ref="U365" r:id="rId1306" xr:uid="{56DFD7FD-0DB6-4140-AC62-DD1F901813AD}"/>
    <hyperlink ref="V359" r:id="rId1307" xr:uid="{B5C5AB92-4F5C-C249-868C-A85E04F144CB}"/>
    <hyperlink ref="U360" r:id="rId1308" xr:uid="{4F70F584-D789-C04B-930C-CF826714B970}"/>
    <hyperlink ref="W358" r:id="rId1309" xr:uid="{E175F1A7-8622-A945-AA28-2A8DDAC7827B}"/>
    <hyperlink ref="Y358" r:id="rId1310" xr:uid="{B6470B25-6B7F-3848-A461-5C43D4566FBA}"/>
    <hyperlink ref="W360" r:id="rId1311" xr:uid="{CA3644DB-5CD3-3E40-988B-C3DC7C956322}"/>
    <hyperlink ref="W364" r:id="rId1312" xr:uid="{F0623DDE-56EE-B84A-824E-1331C36B435F}"/>
    <hyperlink ref="U363" r:id="rId1313" xr:uid="{2BECDDE3-451E-7C4C-AE8D-FF2AE876C7F9}"/>
    <hyperlink ref="W363" r:id="rId1314" xr:uid="{FBCE20C1-D643-9D45-911B-9AC2E02AB5C4}"/>
    <hyperlink ref="W365" r:id="rId1315" xr:uid="{7610DA2E-305F-694B-8E97-0317551BA724}"/>
    <hyperlink ref="W367" r:id="rId1316" xr:uid="{227F38CE-E347-FE4B-BFAC-FF8CF2E0F75F}"/>
    <hyperlink ref="W119" r:id="rId1317" xr:uid="{BD24FA4A-ED2A-5F47-9869-5C5905462E87}"/>
    <hyperlink ref="Y119" r:id="rId1318" xr:uid="{5204F835-E6B8-FE4B-AC2C-15BB2B97ECD1}"/>
    <hyperlink ref="AA119" r:id="rId1319" xr:uid="{DE992C02-10BE-B04A-A637-F31F12291076}"/>
    <hyperlink ref="AC119" r:id="rId1320" xr:uid="{AF2D7623-E091-3840-91E5-434C42DD4BDF}"/>
    <hyperlink ref="Z457" r:id="rId1321" xr:uid="{81E3C63A-C91D-AD41-91FA-29829FF5A916}"/>
    <hyperlink ref="X457" r:id="rId1322" xr:uid="{3352D3F5-660E-014F-96C2-23CA093B999E}"/>
    <hyperlink ref="W457" r:id="rId1323" display="http://dx.doi.org/10.1007/978-90-481-8859-8_6" xr:uid="{4992BF9E-71B5-6943-AB2A-A85329B15B66}"/>
    <hyperlink ref="U457" r:id="rId1324" xr:uid="{0487351D-CA3E-A64F-B9F6-861FF97F0567}"/>
    <hyperlink ref="U456" r:id="rId1325" xr:uid="{FED875C1-E382-C049-A7F1-6F4469BC66D2}"/>
    <hyperlink ref="Y456" r:id="rId1326" xr:uid="{8F071CCD-F609-7048-A311-75256DD9C965}"/>
    <hyperlink ref="AA456" r:id="rId1327" xr:uid="{E63CEF78-9921-6E48-8A0E-07786F3FD753}"/>
    <hyperlink ref="AB457" r:id="rId1328" xr:uid="{EC91E869-6539-9847-9B55-3E038594805D}"/>
    <hyperlink ref="AD457" r:id="rId1329" location="?keyword=" xr:uid="{D0C22AEC-B5B8-504A-8ED7-60413CFDE7A9}"/>
    <hyperlink ref="U314" r:id="rId1330" xr:uid="{8B2D6FCD-AB56-154C-A3B8-1F7919606A3D}"/>
    <hyperlink ref="W314" r:id="rId1331" xr:uid="{C867DC74-9BE1-9749-B00A-17D56E89E8C4}"/>
    <hyperlink ref="U311" r:id="rId1332" xr:uid="{7BF64DCE-D988-064D-9D62-7F3237257BA0}"/>
    <hyperlink ref="V311" r:id="rId1333" xr:uid="{60967280-711A-FF43-BC71-6D33012F96D1}"/>
    <hyperlink ref="U312" r:id="rId1334" xr:uid="{21F910FD-0911-E948-8261-026DE31BD39C}"/>
    <hyperlink ref="W312" r:id="rId1335" xr:uid="{EDDFFDE5-3886-7D45-8976-09C7FD9891A8}"/>
    <hyperlink ref="U313" r:id="rId1336" xr:uid="{F01402A3-1323-5E41-ADE2-B76F29134D03}"/>
    <hyperlink ref="W313" r:id="rId1337" xr:uid="{A6B8E980-2525-0C40-86E9-F6C95452A6A6}"/>
    <hyperlink ref="W220" r:id="rId1338" xr:uid="{E1E2B122-0A1F-8842-99D7-E6F8CE9B9B03}"/>
    <hyperlink ref="W221" r:id="rId1339" xr:uid="{009D8A0D-19FB-6041-A2E7-A567314A13DF}"/>
    <hyperlink ref="U802" r:id="rId1340" xr:uid="{1D5E461F-129A-5F49-874B-684B0FCFC67D}"/>
    <hyperlink ref="U801" r:id="rId1341" xr:uid="{5E262613-DE33-4845-ADFE-C5BE3FDAD500}"/>
    <hyperlink ref="U800" r:id="rId1342" xr:uid="{26CDD8FF-B724-BB4B-9D47-59A77E7F2E1C}"/>
    <hyperlink ref="AC52" r:id="rId1343" xr:uid="{B821409E-7011-1642-A36F-FDB98328DA9A}"/>
    <hyperlink ref="AA52" r:id="rId1344" xr:uid="{CF0AD0BE-3783-9F44-B88C-B0B16F6C3D8B}"/>
    <hyperlink ref="Y52" r:id="rId1345" xr:uid="{843CA13F-DC95-E546-AE52-BD0A2ACE484B}"/>
    <hyperlink ref="W52" r:id="rId1346" xr:uid="{824C019B-5368-824E-A2D6-36C012346A82}"/>
    <hyperlink ref="W30" r:id="rId1347" xr:uid="{A4387AD6-EFD1-1849-80E8-734AAE05194A}"/>
    <hyperlink ref="Y30" r:id="rId1348" xr:uid="{4D5B888B-1319-F74F-9361-CE2BEADC0C89}"/>
    <hyperlink ref="AA30" r:id="rId1349" xr:uid="{1F815A91-F3B4-C241-B80B-5BB8B4EA5686}"/>
    <hyperlink ref="AC30" r:id="rId1350" xr:uid="{B28A21B7-9B22-304A-BAEF-95BC7691321F}"/>
    <hyperlink ref="W523" r:id="rId1351" xr:uid="{C5A6A0F7-F87B-A146-8CA2-A3AC3A616FEA}"/>
    <hyperlink ref="Y523" r:id="rId1352" xr:uid="{A8AAA9F4-312B-B14F-897C-A15EB432ED00}"/>
    <hyperlink ref="AA523" r:id="rId1353" xr:uid="{8C3D8118-C010-A341-AAF8-5D735463DC85}"/>
    <hyperlink ref="U524" r:id="rId1354" xr:uid="{FA6F4673-D2FC-8847-9482-51456CB37A27}"/>
    <hyperlink ref="W524" r:id="rId1355" xr:uid="{4C06E232-3822-6E45-8E14-BF446B23B56D}"/>
    <hyperlink ref="Y524" r:id="rId1356" xr:uid="{DF3C0589-5AA2-D945-9F20-717F2D954D2C}"/>
    <hyperlink ref="AA524" r:id="rId1357" xr:uid="{230467C0-6FA8-AD4E-A878-2CAE812EEFFD}"/>
    <hyperlink ref="U525" r:id="rId1358" xr:uid="{B1D08964-EB0A-C849-81AF-39AEDE7B987C}"/>
    <hyperlink ref="W525" r:id="rId1359" xr:uid="{4E55F48C-4B7E-8B4B-BB38-CD9085C4B001}"/>
    <hyperlink ref="Y525" r:id="rId1360" xr:uid="{EEA4C831-C80E-B642-9D98-A6FA2CB2CEF6}"/>
    <hyperlink ref="AA525" r:id="rId1361" xr:uid="{FAEC0249-C515-0548-90A7-20BF66C30AF9}"/>
    <hyperlink ref="U293" r:id="rId1362" xr:uid="{DDA18FF4-AC67-D445-B906-D2E1C29058DF}"/>
    <hyperlink ref="W293" r:id="rId1363" xr:uid="{8D7304A2-2213-BF4F-8ED5-B828CB384552}"/>
    <hyperlink ref="Y293" r:id="rId1364" xr:uid="{331C41F7-185D-B14F-92B6-6F1AD2F8C4B5}"/>
    <hyperlink ref="AA293" r:id="rId1365" xr:uid="{D8C6AE97-F322-C54F-B9B7-8533001C74B7}"/>
    <hyperlink ref="U294" r:id="rId1366" xr:uid="{A2462C17-F6D0-6B4B-A195-60F07F28C673}"/>
    <hyperlink ref="W294" r:id="rId1367" xr:uid="{2B22A22A-4BD6-D841-9C04-D909348A1CD5}"/>
    <hyperlink ref="Y294" r:id="rId1368" xr:uid="{96F7477D-3BCD-9B44-8272-2B114C85C097}"/>
    <hyperlink ref="AA294" r:id="rId1369" xr:uid="{54CE5602-4071-2D45-8514-CBFA15E9875A}"/>
    <hyperlink ref="U295" r:id="rId1370" xr:uid="{7A85C5E5-89EF-6E41-A324-3047CEB694ED}"/>
    <hyperlink ref="W295" r:id="rId1371" xr:uid="{F6DDBDE8-11B4-A244-8A67-9F2282974157}"/>
    <hyperlink ref="Y295" r:id="rId1372" xr:uid="{B192C119-BC2B-F149-A030-74728062CA9D}"/>
    <hyperlink ref="AA295" r:id="rId1373" xr:uid="{51256126-A622-3347-A8F3-E474F0EA3FD6}"/>
    <hyperlink ref="U239" r:id="rId1374" xr:uid="{3CC88058-5518-D646-A24C-96110F60C1F5}"/>
    <hyperlink ref="W239" r:id="rId1375" xr:uid="{A6EE0271-190E-934D-BB06-F871C1ACACCC}"/>
    <hyperlink ref="Y239" r:id="rId1376" xr:uid="{4E73772E-7146-AC4C-9734-3C6BF7AEE6E8}"/>
    <hyperlink ref="AA239" r:id="rId1377" xr:uid="{95D4452C-AB3F-564D-8ABA-2F792F87A9AF}"/>
    <hyperlink ref="U240" r:id="rId1378" xr:uid="{D3716F1D-51A8-2C4C-892B-79FF40DD28A9}"/>
    <hyperlink ref="W240" r:id="rId1379" xr:uid="{3A79EE46-8B0D-F94C-AF0A-49FB246BCDA3}"/>
    <hyperlink ref="Y240" r:id="rId1380" xr:uid="{C090EE09-8225-B541-A4EB-73FD41B83A55}"/>
    <hyperlink ref="AA240" r:id="rId1381" xr:uid="{5A350CF9-3510-1A40-A937-1D24B180D4F8}"/>
    <hyperlink ref="U241" r:id="rId1382" xr:uid="{6C8B0AEC-D528-F94C-8B1C-F9F93C86646E}"/>
    <hyperlink ref="W241" r:id="rId1383" xr:uid="{6BB06CCC-4731-E141-AE61-4CE3CD090D51}"/>
    <hyperlink ref="Y241" r:id="rId1384" xr:uid="{EABFFE82-FFA3-9842-8656-EAC7596CA9D3}"/>
    <hyperlink ref="AA241" r:id="rId1385" xr:uid="{0922F178-A075-6840-9964-E3469C4B63BC}"/>
    <hyperlink ref="U528" r:id="rId1386" xr:uid="{6B2D8983-7136-8445-9087-C93307D839E4}"/>
    <hyperlink ref="W528" r:id="rId1387" xr:uid="{A778B4E5-68D6-0E40-9969-A14120D418BD}"/>
    <hyperlink ref="Y528" r:id="rId1388" xr:uid="{6A4C3141-FDB4-294F-B2E6-7EEC1199B37A}"/>
    <hyperlink ref="AA528" r:id="rId1389" xr:uid="{D7CBF5C2-9C43-F540-BD23-18D3566D6584}"/>
    <hyperlink ref="U523" r:id="rId1390" xr:uid="{D906B920-F9FE-D946-B7BB-D99DB7331976}"/>
    <hyperlink ref="U526" r:id="rId1391" xr:uid="{5864B90A-030C-2845-B75D-619BB6BC0BBC}"/>
    <hyperlink ref="U527" r:id="rId1392" xr:uid="{CDA4B145-B743-464B-8C08-2920863EA9AB}"/>
    <hyperlink ref="W526" r:id="rId1393" xr:uid="{AB1409D6-F74B-AA4F-BC08-05AFECE5B386}"/>
    <hyperlink ref="W527" r:id="rId1394" xr:uid="{29E4B126-FC8C-A64D-9065-7D1E55EF7A0A}"/>
    <hyperlink ref="Y527" r:id="rId1395" xr:uid="{1F59107D-582C-BB43-98A0-B74CFB1631FB}"/>
    <hyperlink ref="Y526" r:id="rId1396" xr:uid="{6A1431EF-30AB-F04B-BC5C-D1CF5809CE15}"/>
    <hyperlink ref="Z526" r:id="rId1397" xr:uid="{A768FFB1-675D-9548-9309-680DE3E9010F}"/>
    <hyperlink ref="Z527" r:id="rId1398" xr:uid="{E8E1B16C-1786-3342-9CB4-85888226F1AA}"/>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Indicators</vt:lpstr>
      <vt:lpstr>Methods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Rafael Camargo</dc:creator>
  <cp:lastModifiedBy>Rafael Camargo</cp:lastModifiedBy>
  <dcterms:created xsi:type="dcterms:W3CDTF">2026-01-09T13:59:00Z</dcterms:created>
  <dcterms:modified xsi:type="dcterms:W3CDTF">2026-01-09T22:21:12Z</dcterms:modified>
</cp:coreProperties>
</file>